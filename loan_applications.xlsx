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55BB3ED-E601-41FA-A768-B399B0DF4637}" xr6:coauthVersionLast="47" xr6:coauthVersionMax="47" xr10:uidLastSave="{00000000-0000-0000-0000-000000000000}"/>
  <bookViews>
    <workbookView xWindow="38280" yWindow="-120" windowWidth="29040" windowHeight="15720" firstSheet="2" activeTab="6" xr2:uid="{97275E31-6637-46BD-9513-73F90EF9DA39}"/>
  </bookViews>
  <sheets>
    <sheet name="loan_application_data" sheetId="1" r:id="rId1"/>
    <sheet name="default_rate_by_credit_score" sheetId="2" r:id="rId2"/>
    <sheet name="Detail1" sheetId="7" r:id="rId3"/>
    <sheet name="default_rate_by_dti" sheetId="3" r:id="rId4"/>
    <sheet name="default_rate_per_loan_amount" sheetId="4" r:id="rId5"/>
    <sheet name="default_risk_by_employment" sheetId="5" r:id="rId6"/>
    <sheet name="Loan Default Dashboard" sheetId="6" r:id="rId7"/>
  </sheets>
  <externalReferences>
    <externalReference r:id="rId8"/>
  </externalReferenc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M17" i="3" a="1"/>
  <c r="M17" i="3" s="1"/>
  <c r="M18" i="3" a="1"/>
  <c r="M18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4" i="3" a="1"/>
  <c r="M24" i="3" s="1"/>
  <c r="M25" i="3" a="1"/>
  <c r="M25" i="3" s="1"/>
  <c r="M26" i="3" a="1"/>
  <c r="M26" i="3" s="1"/>
  <c r="M27" i="3" a="1"/>
  <c r="M27" i="3" s="1"/>
  <c r="M28" i="3" a="1"/>
  <c r="M28" i="3" s="1"/>
  <c r="M29" i="3" a="1"/>
  <c r="M29" i="3" s="1"/>
  <c r="M30" i="3" a="1"/>
  <c r="M30" i="3" s="1"/>
  <c r="M31" i="3" a="1"/>
  <c r="M31" i="3" s="1"/>
  <c r="M32" i="3" a="1"/>
  <c r="M32" i="3" s="1"/>
  <c r="M33" i="3" a="1"/>
  <c r="M33" i="3" s="1"/>
  <c r="M34" i="3" a="1"/>
  <c r="M34" i="3" s="1"/>
  <c r="M35" i="3" a="1"/>
  <c r="M35" i="3" s="1"/>
  <c r="M36" i="3" a="1"/>
  <c r="M36" i="3" s="1"/>
  <c r="M37" i="3" a="1"/>
  <c r="M37" i="3" s="1"/>
  <c r="M38" i="3" a="1"/>
  <c r="M38" i="3" s="1"/>
  <c r="M39" i="3" a="1"/>
  <c r="M39" i="3" s="1"/>
  <c r="M40" i="3" a="1"/>
  <c r="M40" i="3" s="1"/>
  <c r="M41" i="3" a="1"/>
  <c r="M41" i="3" s="1"/>
  <c r="M42" i="3" a="1"/>
  <c r="M42" i="3" s="1"/>
  <c r="M43" i="3" a="1"/>
  <c r="M43" i="3" s="1"/>
  <c r="M44" i="3" a="1"/>
  <c r="M44" i="3"/>
  <c r="M45" i="3" a="1"/>
  <c r="M45" i="3" s="1"/>
  <c r="M46" i="3" a="1"/>
  <c r="M46" i="3" s="1"/>
  <c r="M47" i="3" a="1"/>
  <c r="M47" i="3" s="1"/>
  <c r="M48" i="3" a="1"/>
  <c r="M48" i="3" s="1"/>
  <c r="M49" i="3" a="1"/>
  <c r="M49" i="3" s="1"/>
  <c r="M50" i="3" a="1"/>
  <c r="M50" i="3" s="1"/>
  <c r="M51" i="3" a="1"/>
  <c r="M51" i="3" s="1"/>
  <c r="M52" i="3" a="1"/>
  <c r="M52" i="3" s="1"/>
  <c r="M53" i="3" a="1"/>
  <c r="M53" i="3" s="1"/>
  <c r="M54" i="3" a="1"/>
  <c r="M54" i="3" s="1"/>
  <c r="M55" i="3" a="1"/>
  <c r="M55" i="3" s="1"/>
  <c r="M56" i="3" a="1"/>
  <c r="M56" i="3" s="1"/>
  <c r="M57" i="3" a="1"/>
  <c r="M57" i="3" s="1"/>
  <c r="M58" i="3" a="1"/>
  <c r="M58" i="3" s="1"/>
  <c r="M59" i="3" a="1"/>
  <c r="M59" i="3" s="1"/>
  <c r="M60" i="3" a="1"/>
  <c r="M60" i="3" s="1"/>
  <c r="M61" i="3" a="1"/>
  <c r="M61" i="3" s="1"/>
  <c r="M62" i="3" a="1"/>
  <c r="M62" i="3" s="1"/>
  <c r="M63" i="3" a="1"/>
  <c r="M63" i="3" s="1"/>
  <c r="M64" i="3" a="1"/>
  <c r="M64" i="3" s="1"/>
  <c r="M65" i="3" a="1"/>
  <c r="M65" i="3" s="1"/>
  <c r="M66" i="3" a="1"/>
  <c r="M66" i="3" s="1"/>
  <c r="M67" i="3" a="1"/>
  <c r="M67" i="3" s="1"/>
  <c r="M68" i="3" a="1"/>
  <c r="M68" i="3"/>
  <c r="M69" i="3" a="1"/>
  <c r="M69" i="3" s="1"/>
  <c r="M70" i="3" a="1"/>
  <c r="M70" i="3" s="1"/>
  <c r="M71" i="3" a="1"/>
  <c r="M71" i="3" s="1"/>
  <c r="M72" i="3" a="1"/>
  <c r="M72" i="3" s="1"/>
  <c r="M73" i="3" a="1"/>
  <c r="M73" i="3" s="1"/>
  <c r="M74" i="3" a="1"/>
  <c r="M74" i="3" s="1"/>
  <c r="M75" i="3" a="1"/>
  <c r="M75" i="3" s="1"/>
  <c r="M76" i="3" a="1"/>
  <c r="M76" i="3" s="1"/>
  <c r="M77" i="3" a="1"/>
  <c r="M77" i="3" s="1"/>
  <c r="M78" i="3" a="1"/>
  <c r="M78" i="3" s="1"/>
  <c r="M79" i="3" a="1"/>
  <c r="M79" i="3" s="1"/>
  <c r="M80" i="3" a="1"/>
  <c r="M80" i="3"/>
  <c r="M81" i="3" a="1"/>
  <c r="M81" i="3" s="1"/>
  <c r="M82" i="3" a="1"/>
  <c r="M82" i="3" s="1"/>
  <c r="M83" i="3" a="1"/>
  <c r="M83" i="3" s="1"/>
  <c r="M84" i="3" a="1"/>
  <c r="M84" i="3" s="1"/>
  <c r="M85" i="3" a="1"/>
  <c r="M85" i="3" s="1"/>
  <c r="M86" i="3" a="1"/>
  <c r="M86" i="3" s="1"/>
  <c r="M87" i="3" a="1"/>
  <c r="M87" i="3" s="1"/>
  <c r="M88" i="3" a="1"/>
  <c r="M88" i="3" s="1"/>
  <c r="M89" i="3" a="1"/>
  <c r="M89" i="3" s="1"/>
  <c r="M90" i="3" a="1"/>
  <c r="M90" i="3" s="1"/>
  <c r="M91" i="3" a="1"/>
  <c r="M91" i="3" s="1"/>
  <c r="M92" i="3" a="1"/>
  <c r="M92" i="3" s="1"/>
  <c r="M93" i="3" a="1"/>
  <c r="M93" i="3" s="1"/>
  <c r="M94" i="3" a="1"/>
  <c r="M94" i="3" s="1"/>
  <c r="M95" i="3" a="1"/>
  <c r="M95" i="3" s="1"/>
  <c r="M96" i="3" a="1"/>
  <c r="M96" i="3" s="1"/>
  <c r="M97" i="3" a="1"/>
  <c r="M97" i="3" s="1"/>
  <c r="M98" i="3" a="1"/>
  <c r="M98" i="3" s="1"/>
  <c r="M99" i="3" a="1"/>
  <c r="M99" i="3" s="1"/>
  <c r="M100" i="3" a="1"/>
  <c r="M100" i="3" s="1"/>
  <c r="M101" i="3" a="1"/>
  <c r="M101" i="3" s="1"/>
  <c r="M102" i="3" a="1"/>
  <c r="M102" i="3" s="1"/>
  <c r="M103" i="3" a="1"/>
  <c r="M103" i="3" s="1"/>
  <c r="M104" i="3" a="1"/>
  <c r="M104" i="3" s="1"/>
  <c r="M105" i="3" a="1"/>
  <c r="M105" i="3" s="1"/>
  <c r="M106" i="3" a="1"/>
  <c r="M106" i="3" s="1"/>
  <c r="M107" i="3" a="1"/>
  <c r="M107" i="3" s="1"/>
  <c r="M108" i="3" a="1"/>
  <c r="M108" i="3" s="1"/>
  <c r="M109" i="3" a="1"/>
  <c r="M109" i="3" s="1"/>
  <c r="M110" i="3" a="1"/>
  <c r="M110" i="3" s="1"/>
  <c r="M111" i="3" a="1"/>
  <c r="M111" i="3" s="1"/>
  <c r="M112" i="3" a="1"/>
  <c r="M112" i="3" s="1"/>
  <c r="M113" i="3" a="1"/>
  <c r="M113" i="3" s="1"/>
  <c r="M114" i="3" a="1"/>
  <c r="M114" i="3" s="1"/>
  <c r="M115" i="3" a="1"/>
  <c r="M115" i="3" s="1"/>
  <c r="M116" i="3" a="1"/>
  <c r="M116" i="3" s="1"/>
  <c r="M117" i="3" a="1"/>
  <c r="M117" i="3" s="1"/>
  <c r="M118" i="3" a="1"/>
  <c r="M118" i="3" s="1"/>
  <c r="M119" i="3" a="1"/>
  <c r="M119" i="3" s="1"/>
  <c r="M120" i="3" a="1"/>
  <c r="M120" i="3" s="1"/>
  <c r="M121" i="3" a="1"/>
  <c r="M121" i="3" s="1"/>
  <c r="M122" i="3" a="1"/>
  <c r="M122" i="3" s="1"/>
  <c r="M123" i="3" a="1"/>
  <c r="M123" i="3" s="1"/>
  <c r="M124" i="3" a="1"/>
  <c r="M124" i="3" s="1"/>
  <c r="M125" i="3" a="1"/>
  <c r="M125" i="3" s="1"/>
  <c r="M126" i="3" a="1"/>
  <c r="M126" i="3" s="1"/>
  <c r="M127" i="3" a="1"/>
  <c r="M127" i="3" s="1"/>
  <c r="M128" i="3" a="1"/>
  <c r="M128" i="3" s="1"/>
  <c r="M129" i="3" a="1"/>
  <c r="M129" i="3" s="1"/>
  <c r="M130" i="3" a="1"/>
  <c r="M130" i="3" s="1"/>
  <c r="M131" i="3" a="1"/>
  <c r="M131" i="3" s="1"/>
  <c r="M132" i="3" a="1"/>
  <c r="M132" i="3" s="1"/>
  <c r="M133" i="3" a="1"/>
  <c r="M133" i="3" s="1"/>
  <c r="M134" i="3" a="1"/>
  <c r="M134" i="3" s="1"/>
  <c r="M135" i="3" a="1"/>
  <c r="M135" i="3" s="1"/>
  <c r="M136" i="3" a="1"/>
  <c r="M136" i="3" s="1"/>
  <c r="M137" i="3" a="1"/>
  <c r="M137" i="3" s="1"/>
  <c r="M138" i="3" a="1"/>
  <c r="M138" i="3" s="1"/>
  <c r="M139" i="3" a="1"/>
  <c r="M139" i="3" s="1"/>
  <c r="M140" i="3" a="1"/>
  <c r="M140" i="3" s="1"/>
  <c r="M141" i="3" a="1"/>
  <c r="M141" i="3" s="1"/>
  <c r="M142" i="3" a="1"/>
  <c r="M142" i="3" s="1"/>
  <c r="M143" i="3" a="1"/>
  <c r="M143" i="3" s="1"/>
  <c r="M144" i="3" a="1"/>
  <c r="M144" i="3" s="1"/>
  <c r="M145" i="3" a="1"/>
  <c r="M145" i="3" s="1"/>
  <c r="M146" i="3" a="1"/>
  <c r="M146" i="3" s="1"/>
  <c r="M147" i="3" a="1"/>
  <c r="M147" i="3" s="1"/>
  <c r="M148" i="3" a="1"/>
  <c r="M148" i="3" s="1"/>
  <c r="M149" i="3" a="1"/>
  <c r="M149" i="3" s="1"/>
  <c r="M150" i="3" a="1"/>
  <c r="M150" i="3" s="1"/>
  <c r="M151" i="3" a="1"/>
  <c r="M151" i="3" s="1"/>
  <c r="M152" i="3" a="1"/>
  <c r="M152" i="3" s="1"/>
  <c r="M153" i="3" a="1"/>
  <c r="M153" i="3" s="1"/>
  <c r="M154" i="3" a="1"/>
  <c r="M154" i="3" s="1"/>
  <c r="M155" i="3" a="1"/>
  <c r="M155" i="3" s="1"/>
  <c r="M156" i="3" a="1"/>
  <c r="M156" i="3" s="1"/>
  <c r="M157" i="3" a="1"/>
  <c r="M157" i="3" s="1"/>
  <c r="M158" i="3" a="1"/>
  <c r="M158" i="3" s="1"/>
  <c r="M159" i="3" a="1"/>
  <c r="M159" i="3" s="1"/>
  <c r="M160" i="3" a="1"/>
  <c r="M160" i="3" s="1"/>
  <c r="M161" i="3" a="1"/>
  <c r="M161" i="3" s="1"/>
  <c r="M162" i="3" a="1"/>
  <c r="M162" i="3" s="1"/>
  <c r="M163" i="3" a="1"/>
  <c r="M163" i="3" s="1"/>
  <c r="M164" i="3" a="1"/>
  <c r="M164" i="3" s="1"/>
  <c r="M165" i="3" a="1"/>
  <c r="M165" i="3" s="1"/>
  <c r="M166" i="3" a="1"/>
  <c r="M166" i="3" s="1"/>
  <c r="M167" i="3" a="1"/>
  <c r="M167" i="3" s="1"/>
  <c r="M168" i="3" a="1"/>
  <c r="M168" i="3" s="1"/>
  <c r="M169" i="3" a="1"/>
  <c r="M169" i="3" s="1"/>
  <c r="M170" i="3" a="1"/>
  <c r="M170" i="3" s="1"/>
  <c r="M171" i="3" a="1"/>
  <c r="M171" i="3" s="1"/>
  <c r="M172" i="3" a="1"/>
  <c r="M172" i="3" s="1"/>
  <c r="M173" i="3" a="1"/>
  <c r="M173" i="3" s="1"/>
  <c r="M174" i="3" a="1"/>
  <c r="M174" i="3" s="1"/>
  <c r="M175" i="3" a="1"/>
  <c r="M175" i="3" s="1"/>
  <c r="M176" i="3" a="1"/>
  <c r="M176" i="3" s="1"/>
  <c r="M177" i="3" a="1"/>
  <c r="M177" i="3" s="1"/>
  <c r="M178" i="3" a="1"/>
  <c r="M178" i="3" s="1"/>
  <c r="M179" i="3" a="1"/>
  <c r="M179" i="3" s="1"/>
  <c r="M180" i="3" a="1"/>
  <c r="M180" i="3" s="1"/>
  <c r="M181" i="3" a="1"/>
  <c r="M181" i="3" s="1"/>
  <c r="M182" i="3" a="1"/>
  <c r="M182" i="3" s="1"/>
  <c r="M183" i="3" a="1"/>
  <c r="M183" i="3" s="1"/>
  <c r="M184" i="3" a="1"/>
  <c r="M184" i="3" s="1"/>
  <c r="M185" i="3" a="1"/>
  <c r="M185" i="3" s="1"/>
  <c r="M186" i="3" a="1"/>
  <c r="M186" i="3" s="1"/>
  <c r="M187" i="3" a="1"/>
  <c r="M187" i="3" s="1"/>
  <c r="M188" i="3" a="1"/>
  <c r="M188" i="3" s="1"/>
  <c r="M189" i="3" a="1"/>
  <c r="M189" i="3" s="1"/>
  <c r="M190" i="3" a="1"/>
  <c r="M190" i="3" s="1"/>
  <c r="M191" i="3" a="1"/>
  <c r="M191" i="3" s="1"/>
  <c r="M192" i="3" a="1"/>
  <c r="M192" i="3" s="1"/>
  <c r="M193" i="3" a="1"/>
  <c r="M193" i="3" s="1"/>
  <c r="M194" i="3" a="1"/>
  <c r="M194" i="3" s="1"/>
  <c r="M195" i="3" a="1"/>
  <c r="M195" i="3" s="1"/>
  <c r="M196" i="3" a="1"/>
  <c r="M196" i="3" s="1"/>
  <c r="M197" i="3" a="1"/>
  <c r="M197" i="3" s="1"/>
  <c r="M198" i="3" a="1"/>
  <c r="M198" i="3" s="1"/>
  <c r="M199" i="3" a="1"/>
  <c r="M199" i="3" s="1"/>
  <c r="M200" i="3" a="1"/>
  <c r="M200" i="3" s="1"/>
  <c r="M201" i="3" a="1"/>
  <c r="M201" i="3" s="1"/>
  <c r="M202" i="3" a="1"/>
  <c r="M202" i="3" s="1"/>
  <c r="M203" i="3" a="1"/>
  <c r="M203" i="3" s="1"/>
  <c r="M204" i="3" a="1"/>
  <c r="M204" i="3" s="1"/>
  <c r="M205" i="3" a="1"/>
  <c r="M205" i="3" s="1"/>
  <c r="M206" i="3" a="1"/>
  <c r="M206" i="3" s="1"/>
  <c r="M207" i="3" a="1"/>
  <c r="M207" i="3" s="1"/>
  <c r="M208" i="3" a="1"/>
  <c r="M208" i="3" s="1"/>
  <c r="M209" i="3" a="1"/>
  <c r="M209" i="3" s="1"/>
  <c r="M210" i="3" a="1"/>
  <c r="M210" i="3" s="1"/>
  <c r="M211" i="3" a="1"/>
  <c r="M211" i="3" s="1"/>
  <c r="M212" i="3" a="1"/>
  <c r="M212" i="3" s="1"/>
  <c r="M213" i="3" a="1"/>
  <c r="M213" i="3" s="1"/>
  <c r="M214" i="3" a="1"/>
  <c r="M214" i="3" s="1"/>
  <c r="M215" i="3" a="1"/>
  <c r="M215" i="3" s="1"/>
  <c r="M216" i="3" a="1"/>
  <c r="M216" i="3" s="1"/>
  <c r="M217" i="3" a="1"/>
  <c r="M217" i="3" s="1"/>
  <c r="M218" i="3" a="1"/>
  <c r="M218" i="3" s="1"/>
  <c r="M219" i="3" a="1"/>
  <c r="M219" i="3" s="1"/>
  <c r="M220" i="3" a="1"/>
  <c r="M220" i="3" s="1"/>
  <c r="M221" i="3" a="1"/>
  <c r="M221" i="3" s="1"/>
  <c r="M222" i="3" a="1"/>
  <c r="M222" i="3" s="1"/>
  <c r="M223" i="3" a="1"/>
  <c r="M223" i="3" s="1"/>
  <c r="M224" i="3" a="1"/>
  <c r="M224" i="3" s="1"/>
  <c r="M225" i="3" a="1"/>
  <c r="M225" i="3" s="1"/>
  <c r="M226" i="3" a="1"/>
  <c r="M226" i="3" s="1"/>
  <c r="M227" i="3" a="1"/>
  <c r="M227" i="3" s="1"/>
  <c r="M228" i="3" a="1"/>
  <c r="M228" i="3" s="1"/>
  <c r="M229" i="3" a="1"/>
  <c r="M229" i="3" s="1"/>
  <c r="M230" i="3" a="1"/>
  <c r="M230" i="3" s="1"/>
  <c r="M231" i="3" a="1"/>
  <c r="M231" i="3" s="1"/>
  <c r="M232" i="3" a="1"/>
  <c r="M232" i="3" s="1"/>
  <c r="M233" i="3" a="1"/>
  <c r="M233" i="3" s="1"/>
  <c r="M234" i="3" a="1"/>
  <c r="M234" i="3" s="1"/>
  <c r="M235" i="3" a="1"/>
  <c r="M235" i="3" s="1"/>
  <c r="M236" i="3" a="1"/>
  <c r="M236" i="3" s="1"/>
  <c r="M237" i="3" a="1"/>
  <c r="M237" i="3" s="1"/>
  <c r="M238" i="3" a="1"/>
  <c r="M238" i="3" s="1"/>
  <c r="M239" i="3" a="1"/>
  <c r="M239" i="3" s="1"/>
  <c r="M240" i="3" a="1"/>
  <c r="M240" i="3" s="1"/>
  <c r="M241" i="3" a="1"/>
  <c r="M241" i="3" s="1"/>
  <c r="M242" i="3" a="1"/>
  <c r="M242" i="3" s="1"/>
  <c r="M243" i="3" a="1"/>
  <c r="M243" i="3" s="1"/>
  <c r="M244" i="3" a="1"/>
  <c r="M244" i="3" s="1"/>
  <c r="M245" i="3" a="1"/>
  <c r="M245" i="3" s="1"/>
  <c r="M246" i="3" a="1"/>
  <c r="M246" i="3" s="1"/>
  <c r="M247" i="3" a="1"/>
  <c r="M247" i="3" s="1"/>
  <c r="M248" i="3" a="1"/>
  <c r="M248" i="3" s="1"/>
  <c r="M249" i="3" a="1"/>
  <c r="M249" i="3" s="1"/>
  <c r="M250" i="3" a="1"/>
  <c r="M250" i="3" s="1"/>
  <c r="M251" i="3" a="1"/>
  <c r="M251" i="3" s="1"/>
  <c r="M252" i="3" a="1"/>
  <c r="M252" i="3" s="1"/>
  <c r="M253" i="3" a="1"/>
  <c r="M253" i="3" s="1"/>
  <c r="M254" i="3" a="1"/>
  <c r="M254" i="3" s="1"/>
  <c r="M255" i="3" a="1"/>
  <c r="M255" i="3" s="1"/>
  <c r="M256" i="3" a="1"/>
  <c r="M256" i="3" s="1"/>
  <c r="M257" i="3" a="1"/>
  <c r="M257" i="3" s="1"/>
  <c r="M258" i="3" a="1"/>
  <c r="M258" i="3" s="1"/>
  <c r="M259" i="3" a="1"/>
  <c r="M259" i="3" s="1"/>
  <c r="M260" i="3" a="1"/>
  <c r="M260" i="3" s="1"/>
  <c r="M261" i="3" a="1"/>
  <c r="M261" i="3" s="1"/>
  <c r="M262" i="3" a="1"/>
  <c r="M262" i="3" s="1"/>
  <c r="M263" i="3" a="1"/>
  <c r="M263" i="3" s="1"/>
  <c r="M264" i="3" a="1"/>
  <c r="M264" i="3" s="1"/>
  <c r="M265" i="3" a="1"/>
  <c r="M265" i="3" s="1"/>
  <c r="M266" i="3" a="1"/>
  <c r="M266" i="3" s="1"/>
  <c r="M267" i="3" a="1"/>
  <c r="M267" i="3" s="1"/>
  <c r="M268" i="3" a="1"/>
  <c r="M268" i="3" s="1"/>
  <c r="M269" i="3" a="1"/>
  <c r="M269" i="3" s="1"/>
  <c r="M270" i="3" a="1"/>
  <c r="M270" i="3" s="1"/>
  <c r="M271" i="3" a="1"/>
  <c r="M271" i="3" s="1"/>
  <c r="M272" i="3" a="1"/>
  <c r="M272" i="3" s="1"/>
  <c r="M273" i="3" a="1"/>
  <c r="M273" i="3" s="1"/>
  <c r="M274" i="3" a="1"/>
  <c r="M274" i="3" s="1"/>
  <c r="M275" i="3" a="1"/>
  <c r="M275" i="3" s="1"/>
  <c r="M276" i="3" a="1"/>
  <c r="M276" i="3" s="1"/>
  <c r="M277" i="3" a="1"/>
  <c r="M277" i="3" s="1"/>
  <c r="M278" i="3" a="1"/>
  <c r="M278" i="3" s="1"/>
  <c r="M279" i="3" a="1"/>
  <c r="M279" i="3" s="1"/>
  <c r="M280" i="3" a="1"/>
  <c r="M280" i="3" s="1"/>
  <c r="M281" i="3" a="1"/>
  <c r="M281" i="3" s="1"/>
  <c r="M282" i="3" a="1"/>
  <c r="M282" i="3" s="1"/>
  <c r="M283" i="3" a="1"/>
  <c r="M283" i="3" s="1"/>
  <c r="M284" i="3" a="1"/>
  <c r="M284" i="3" s="1"/>
  <c r="M285" i="3" a="1"/>
  <c r="M285" i="3" s="1"/>
  <c r="M286" i="3" a="1"/>
  <c r="M286" i="3" s="1"/>
  <c r="M287" i="3" a="1"/>
  <c r="M287" i="3" s="1"/>
  <c r="M288" i="3" a="1"/>
  <c r="M288" i="3" s="1"/>
  <c r="M289" i="3" a="1"/>
  <c r="M289" i="3" s="1"/>
  <c r="M290" i="3" a="1"/>
  <c r="M290" i="3" s="1"/>
  <c r="M291" i="3" a="1"/>
  <c r="M291" i="3" s="1"/>
  <c r="M292" i="3" a="1"/>
  <c r="M292" i="3" s="1"/>
  <c r="M293" i="3" a="1"/>
  <c r="M293" i="3" s="1"/>
  <c r="M294" i="3" a="1"/>
  <c r="M294" i="3" s="1"/>
  <c r="M295" i="3" a="1"/>
  <c r="M295" i="3" s="1"/>
  <c r="M296" i="3" a="1"/>
  <c r="M296" i="3" s="1"/>
  <c r="M297" i="3" a="1"/>
  <c r="M297" i="3" s="1"/>
  <c r="M298" i="3" a="1"/>
  <c r="M298" i="3" s="1"/>
  <c r="M299" i="3" a="1"/>
  <c r="M299" i="3" s="1"/>
  <c r="M300" i="3" a="1"/>
  <c r="M300" i="3" s="1"/>
  <c r="M301" i="3" a="1"/>
  <c r="M301" i="3" s="1"/>
  <c r="M302" i="3" a="1"/>
  <c r="M302" i="3" s="1"/>
  <c r="M303" i="3" a="1"/>
  <c r="M303" i="3" s="1"/>
  <c r="M304" i="3" a="1"/>
  <c r="M304" i="3" s="1"/>
  <c r="M305" i="3" a="1"/>
  <c r="M305" i="3" s="1"/>
  <c r="M306" i="3" a="1"/>
  <c r="M306" i="3" s="1"/>
  <c r="M307" i="3" a="1"/>
  <c r="M307" i="3" s="1"/>
  <c r="M308" i="3" a="1"/>
  <c r="M308" i="3" s="1"/>
  <c r="M309" i="3" a="1"/>
  <c r="M309" i="3" s="1"/>
  <c r="M310" i="3" a="1"/>
  <c r="M310" i="3" s="1"/>
  <c r="M311" i="3" a="1"/>
  <c r="M311" i="3" s="1"/>
  <c r="M312" i="3" a="1"/>
  <c r="M312" i="3" s="1"/>
  <c r="M313" i="3" a="1"/>
  <c r="M313" i="3" s="1"/>
  <c r="M314" i="3" a="1"/>
  <c r="M314" i="3" s="1"/>
  <c r="M315" i="3" a="1"/>
  <c r="M315" i="3" s="1"/>
  <c r="M316" i="3" a="1"/>
  <c r="M316" i="3" s="1"/>
  <c r="M317" i="3" a="1"/>
  <c r="M317" i="3" s="1"/>
  <c r="M318" i="3" a="1"/>
  <c r="M318" i="3" s="1"/>
  <c r="M319" i="3" a="1"/>
  <c r="M319" i="3" s="1"/>
  <c r="M320" i="3" a="1"/>
  <c r="M320" i="3" s="1"/>
  <c r="M321" i="3" a="1"/>
  <c r="M321" i="3" s="1"/>
  <c r="M322" i="3" a="1"/>
  <c r="M322" i="3" s="1"/>
  <c r="M323" i="3" a="1"/>
  <c r="M323" i="3" s="1"/>
  <c r="M324" i="3" a="1"/>
  <c r="M324" i="3" s="1"/>
  <c r="M325" i="3" a="1"/>
  <c r="M325" i="3" s="1"/>
  <c r="M326" i="3" a="1"/>
  <c r="M326" i="3" s="1"/>
  <c r="M327" i="3" a="1"/>
  <c r="M327" i="3" s="1"/>
  <c r="M328" i="3" a="1"/>
  <c r="M328" i="3" s="1"/>
  <c r="M329" i="3" a="1"/>
  <c r="M329" i="3" s="1"/>
  <c r="M330" i="3" a="1"/>
  <c r="M330" i="3" s="1"/>
  <c r="M331" i="3" a="1"/>
  <c r="M331" i="3" s="1"/>
  <c r="M332" i="3" a="1"/>
  <c r="M332" i="3" s="1"/>
  <c r="M333" i="3" a="1"/>
  <c r="M333" i="3" s="1"/>
  <c r="M334" i="3" a="1"/>
  <c r="M334" i="3" s="1"/>
  <c r="M335" i="3" a="1"/>
  <c r="M335" i="3" s="1"/>
  <c r="M336" i="3" a="1"/>
  <c r="M336" i="3" s="1"/>
  <c r="M337" i="3" a="1"/>
  <c r="M337" i="3" s="1"/>
  <c r="M338" i="3" a="1"/>
  <c r="M338" i="3" s="1"/>
  <c r="M339" i="3" a="1"/>
  <c r="M339" i="3" s="1"/>
  <c r="M340" i="3" a="1"/>
  <c r="M340" i="3" s="1"/>
  <c r="M341" i="3" a="1"/>
  <c r="M341" i="3" s="1"/>
  <c r="M342" i="3" a="1"/>
  <c r="M342" i="3" s="1"/>
  <c r="M343" i="3" a="1"/>
  <c r="M343" i="3" s="1"/>
  <c r="M344" i="3" a="1"/>
  <c r="M344" i="3" s="1"/>
  <c r="M345" i="3" a="1"/>
  <c r="M345" i="3" s="1"/>
  <c r="M346" i="3" a="1"/>
  <c r="M346" i="3" s="1"/>
  <c r="M347" i="3" a="1"/>
  <c r="M347" i="3" s="1"/>
  <c r="M348" i="3" a="1"/>
  <c r="M348" i="3" s="1"/>
  <c r="M349" i="3" a="1"/>
  <c r="M349" i="3" s="1"/>
  <c r="M350" i="3" a="1"/>
  <c r="M350" i="3" s="1"/>
  <c r="M351" i="3" a="1"/>
  <c r="M351" i="3" s="1"/>
  <c r="M352" i="3" a="1"/>
  <c r="M352" i="3" s="1"/>
  <c r="M353" i="3" a="1"/>
  <c r="M353" i="3" s="1"/>
  <c r="M354" i="3" a="1"/>
  <c r="M354" i="3" s="1"/>
  <c r="M355" i="3" a="1"/>
  <c r="M355" i="3" s="1"/>
  <c r="M356" i="3" a="1"/>
  <c r="M356" i="3" s="1"/>
  <c r="M357" i="3" a="1"/>
  <c r="M357" i="3" s="1"/>
  <c r="M358" i="3" a="1"/>
  <c r="M358" i="3" s="1"/>
  <c r="M359" i="3" a="1"/>
  <c r="M359" i="3" s="1"/>
  <c r="M360" i="3" a="1"/>
  <c r="M360" i="3" s="1"/>
  <c r="M361" i="3" a="1"/>
  <c r="M361" i="3" s="1"/>
  <c r="M362" i="3" a="1"/>
  <c r="M362" i="3" s="1"/>
  <c r="M363" i="3" a="1"/>
  <c r="M363" i="3" s="1"/>
  <c r="M364" i="3" a="1"/>
  <c r="M364" i="3" s="1"/>
  <c r="M365" i="3" a="1"/>
  <c r="M365" i="3" s="1"/>
  <c r="M366" i="3" a="1"/>
  <c r="M366" i="3" s="1"/>
  <c r="M367" i="3" a="1"/>
  <c r="M367" i="3" s="1"/>
  <c r="M368" i="3" a="1"/>
  <c r="M368" i="3" s="1"/>
  <c r="M369" i="3" a="1"/>
  <c r="M369" i="3" s="1"/>
  <c r="M370" i="3" a="1"/>
  <c r="M370" i="3" s="1"/>
  <c r="M371" i="3" a="1"/>
  <c r="M371" i="3" s="1"/>
  <c r="M372" i="3" a="1"/>
  <c r="M372" i="3" s="1"/>
  <c r="M373" i="3" a="1"/>
  <c r="M373" i="3" s="1"/>
  <c r="M374" i="3" a="1"/>
  <c r="M374" i="3" s="1"/>
  <c r="M375" i="3" a="1"/>
  <c r="M375" i="3" s="1"/>
  <c r="M376" i="3" a="1"/>
  <c r="M376" i="3" s="1"/>
  <c r="M377" i="3" a="1"/>
  <c r="M377" i="3" s="1"/>
  <c r="M378" i="3" a="1"/>
  <c r="M378" i="3" s="1"/>
  <c r="M379" i="3" a="1"/>
  <c r="M379" i="3" s="1"/>
  <c r="M380" i="3" a="1"/>
  <c r="M380" i="3" s="1"/>
  <c r="M381" i="3" a="1"/>
  <c r="M381" i="3" s="1"/>
  <c r="M382" i="3" a="1"/>
  <c r="M382" i="3" s="1"/>
  <c r="M383" i="3" a="1"/>
  <c r="M383" i="3" s="1"/>
  <c r="M384" i="3" a="1"/>
  <c r="M384" i="3" s="1"/>
  <c r="M385" i="3" a="1"/>
  <c r="M385" i="3" s="1"/>
  <c r="M386" i="3" a="1"/>
  <c r="M386" i="3" s="1"/>
  <c r="M387" i="3" a="1"/>
  <c r="M387" i="3" s="1"/>
  <c r="M388" i="3" a="1"/>
  <c r="M388" i="3" s="1"/>
  <c r="M389" i="3" a="1"/>
  <c r="M389" i="3" s="1"/>
  <c r="M390" i="3" a="1"/>
  <c r="M390" i="3" s="1"/>
  <c r="M391" i="3" a="1"/>
  <c r="M391" i="3" s="1"/>
  <c r="M392" i="3" a="1"/>
  <c r="M392" i="3" s="1"/>
  <c r="M393" i="3" a="1"/>
  <c r="M393" i="3" s="1"/>
  <c r="M394" i="3" a="1"/>
  <c r="M394" i="3" s="1"/>
  <c r="M395" i="3" a="1"/>
  <c r="M395" i="3" s="1"/>
  <c r="M396" i="3" a="1"/>
  <c r="M396" i="3" s="1"/>
  <c r="M397" i="3" a="1"/>
  <c r="M397" i="3" s="1"/>
  <c r="M398" i="3" a="1"/>
  <c r="M398" i="3" s="1"/>
  <c r="M399" i="3" a="1"/>
  <c r="M399" i="3" s="1"/>
  <c r="M400" i="3" a="1"/>
  <c r="M400" i="3" s="1"/>
  <c r="M401" i="3" a="1"/>
  <c r="M401" i="3" s="1"/>
  <c r="M402" i="3" a="1"/>
  <c r="M402" i="3" s="1"/>
  <c r="M403" i="3" a="1"/>
  <c r="M403" i="3" s="1"/>
  <c r="M404" i="3" a="1"/>
  <c r="M404" i="3"/>
  <c r="M405" i="3" a="1"/>
  <c r="M405" i="3" s="1"/>
  <c r="M406" i="3" a="1"/>
  <c r="M406" i="3" s="1"/>
  <c r="M407" i="3" a="1"/>
  <c r="M407" i="3" s="1"/>
  <c r="M408" i="3" a="1"/>
  <c r="M408" i="3" s="1"/>
  <c r="M409" i="3" a="1"/>
  <c r="M409" i="3" s="1"/>
  <c r="M410" i="3" a="1"/>
  <c r="M410" i="3" s="1"/>
  <c r="M411" i="3" a="1"/>
  <c r="M411" i="3" s="1"/>
  <c r="M412" i="3" a="1"/>
  <c r="M412" i="3" s="1"/>
  <c r="M413" i="3" a="1"/>
  <c r="M413" i="3" s="1"/>
  <c r="M414" i="3" a="1"/>
  <c r="M414" i="3" s="1"/>
  <c r="M415" i="3" a="1"/>
  <c r="M415" i="3" s="1"/>
  <c r="M416" i="3" a="1"/>
  <c r="M416" i="3" s="1"/>
  <c r="M417" i="3" a="1"/>
  <c r="M417" i="3" s="1"/>
  <c r="M418" i="3" a="1"/>
  <c r="M418" i="3" s="1"/>
  <c r="M419" i="3" a="1"/>
  <c r="M419" i="3" s="1"/>
  <c r="M420" i="3" a="1"/>
  <c r="M420" i="3" s="1"/>
  <c r="M421" i="3" a="1"/>
  <c r="M421" i="3" s="1"/>
  <c r="M422" i="3" a="1"/>
  <c r="M422" i="3" s="1"/>
  <c r="M423" i="3" a="1"/>
  <c r="M423" i="3" s="1"/>
  <c r="M424" i="3" a="1"/>
  <c r="M424" i="3" s="1"/>
  <c r="M425" i="3" a="1"/>
  <c r="M425" i="3" s="1"/>
  <c r="M426" i="3" a="1"/>
  <c r="M426" i="3" s="1"/>
  <c r="M427" i="3" a="1"/>
  <c r="M427" i="3" s="1"/>
  <c r="M428" i="3" a="1"/>
  <c r="M428" i="3" s="1"/>
  <c r="M429" i="3" a="1"/>
  <c r="M429" i="3" s="1"/>
  <c r="M430" i="3" a="1"/>
  <c r="M430" i="3" s="1"/>
  <c r="M431" i="3" a="1"/>
  <c r="M431" i="3" s="1"/>
  <c r="M432" i="3" a="1"/>
  <c r="M432" i="3" s="1"/>
  <c r="M433" i="3" a="1"/>
  <c r="M433" i="3" s="1"/>
  <c r="M434" i="3" a="1"/>
  <c r="M434" i="3" s="1"/>
  <c r="M435" i="3" a="1"/>
  <c r="M435" i="3" s="1"/>
  <c r="M436" i="3" a="1"/>
  <c r="M436" i="3" s="1"/>
  <c r="M437" i="3" a="1"/>
  <c r="M437" i="3" s="1"/>
  <c r="M438" i="3" a="1"/>
  <c r="M438" i="3"/>
  <c r="M439" i="3" a="1"/>
  <c r="M439" i="3" s="1"/>
  <c r="M440" i="3" a="1"/>
  <c r="M440" i="3" s="1"/>
  <c r="M441" i="3" a="1"/>
  <c r="M441" i="3" s="1"/>
  <c r="M442" i="3" a="1"/>
  <c r="M442" i="3" s="1"/>
  <c r="M443" i="3" a="1"/>
  <c r="M443" i="3" s="1"/>
  <c r="M444" i="3" a="1"/>
  <c r="M444" i="3" s="1"/>
  <c r="M445" i="3" a="1"/>
  <c r="M445" i="3" s="1"/>
  <c r="M446" i="3" a="1"/>
  <c r="M446" i="3" s="1"/>
  <c r="M447" i="3" a="1"/>
  <c r="M447" i="3" s="1"/>
  <c r="M448" i="3" a="1"/>
  <c r="M448" i="3" s="1"/>
  <c r="M449" i="3" a="1"/>
  <c r="M449" i="3" s="1"/>
  <c r="M450" i="3" a="1"/>
  <c r="M450" i="3" s="1"/>
  <c r="M451" i="3" a="1"/>
  <c r="M451" i="3" s="1"/>
  <c r="M452" i="3" a="1"/>
  <c r="M452" i="3" s="1"/>
  <c r="M453" i="3" a="1"/>
  <c r="M453" i="3" s="1"/>
  <c r="M454" i="3" a="1"/>
  <c r="M454" i="3" s="1"/>
  <c r="M455" i="3" a="1"/>
  <c r="M455" i="3" s="1"/>
  <c r="M456" i="3" a="1"/>
  <c r="M456" i="3" s="1"/>
  <c r="M457" i="3" a="1"/>
  <c r="M457" i="3" s="1"/>
  <c r="M458" i="3" a="1"/>
  <c r="M458" i="3" s="1"/>
  <c r="M459" i="3" a="1"/>
  <c r="M459" i="3" s="1"/>
  <c r="M460" i="3" a="1"/>
  <c r="M460" i="3" s="1"/>
  <c r="M461" i="3" a="1"/>
  <c r="M461" i="3" s="1"/>
  <c r="M462" i="3" a="1"/>
  <c r="M462" i="3" s="1"/>
  <c r="M463" i="3" a="1"/>
  <c r="M463" i="3" s="1"/>
  <c r="M464" i="3" a="1"/>
  <c r="M464" i="3" s="1"/>
  <c r="M465" i="3" a="1"/>
  <c r="M465" i="3" s="1"/>
  <c r="M466" i="3" a="1"/>
  <c r="M466" i="3" s="1"/>
  <c r="M467" i="3" a="1"/>
  <c r="M467" i="3" s="1"/>
  <c r="M468" i="3" a="1"/>
  <c r="M468" i="3" s="1"/>
  <c r="M469" i="3" a="1"/>
  <c r="M469" i="3" s="1"/>
  <c r="M470" i="3" a="1"/>
  <c r="M470" i="3" s="1"/>
  <c r="M471" i="3" a="1"/>
  <c r="M471" i="3" s="1"/>
  <c r="M472" i="3" a="1"/>
  <c r="M472" i="3" s="1"/>
  <c r="M473" i="3" a="1"/>
  <c r="M473" i="3" s="1"/>
  <c r="M474" i="3" a="1"/>
  <c r="M474" i="3" s="1"/>
  <c r="M475" i="3" a="1"/>
  <c r="M475" i="3" s="1"/>
  <c r="M476" i="3" a="1"/>
  <c r="M476" i="3" s="1"/>
  <c r="M477" i="3" a="1"/>
  <c r="M477" i="3" s="1"/>
  <c r="M478" i="3" a="1"/>
  <c r="M478" i="3" s="1"/>
  <c r="M479" i="3" a="1"/>
  <c r="M479" i="3" s="1"/>
  <c r="M480" i="3" a="1"/>
  <c r="M480" i="3" s="1"/>
  <c r="M481" i="3" a="1"/>
  <c r="M481" i="3" s="1"/>
  <c r="M482" i="3" a="1"/>
  <c r="M482" i="3" s="1"/>
  <c r="M483" i="3" a="1"/>
  <c r="M483" i="3" s="1"/>
  <c r="M484" i="3" a="1"/>
  <c r="M484" i="3" s="1"/>
  <c r="M485" i="3" a="1"/>
  <c r="M485" i="3" s="1"/>
  <c r="M486" i="3" a="1"/>
  <c r="M486" i="3" s="1"/>
  <c r="M487" i="3" a="1"/>
  <c r="M487" i="3" s="1"/>
  <c r="M488" i="3" a="1"/>
  <c r="M488" i="3" s="1"/>
  <c r="M489" i="3" a="1"/>
  <c r="M489" i="3" s="1"/>
  <c r="M490" i="3" a="1"/>
  <c r="M490" i="3" s="1"/>
  <c r="M491" i="3" a="1"/>
  <c r="M491" i="3" s="1"/>
  <c r="M492" i="3" a="1"/>
  <c r="M492" i="3"/>
  <c r="M493" i="3" a="1"/>
  <c r="M493" i="3" s="1"/>
  <c r="M494" i="3" a="1"/>
  <c r="M494" i="3" s="1"/>
  <c r="M495" i="3" a="1"/>
  <c r="M495" i="3" s="1"/>
  <c r="M496" i="3" a="1"/>
  <c r="M496" i="3" s="1"/>
  <c r="M497" i="3" a="1"/>
  <c r="M497" i="3" s="1"/>
  <c r="M498" i="3" a="1"/>
  <c r="M498" i="3" s="1"/>
  <c r="M499" i="3" a="1"/>
  <c r="M499" i="3" s="1"/>
  <c r="M500" i="3" a="1"/>
  <c r="M500" i="3" s="1"/>
  <c r="M501" i="3" a="1"/>
  <c r="M501" i="3" s="1"/>
  <c r="M502" i="3" a="1"/>
  <c r="M502" i="3" s="1"/>
  <c r="M503" i="3" a="1"/>
  <c r="M503" i="3" s="1"/>
  <c r="M504" i="3" a="1"/>
  <c r="M504" i="3" s="1"/>
  <c r="M505" i="3" a="1"/>
  <c r="M505" i="3" s="1"/>
  <c r="M506" i="3" a="1"/>
  <c r="M506" i="3" s="1"/>
  <c r="M507" i="3" a="1"/>
  <c r="M507" i="3" s="1"/>
  <c r="M508" i="3" a="1"/>
  <c r="M508" i="3" s="1"/>
  <c r="M509" i="3" a="1"/>
  <c r="M509" i="3" s="1"/>
  <c r="M510" i="3" a="1"/>
  <c r="M510" i="3" s="1"/>
  <c r="M511" i="3" a="1"/>
  <c r="M511" i="3" s="1"/>
  <c r="M512" i="3" a="1"/>
  <c r="M512" i="3" s="1"/>
  <c r="M513" i="3" a="1"/>
  <c r="M513" i="3" s="1"/>
  <c r="M514" i="3" a="1"/>
  <c r="M514" i="3" s="1"/>
  <c r="M515" i="3" a="1"/>
  <c r="M515" i="3" s="1"/>
  <c r="M516" i="3" a="1"/>
  <c r="M516" i="3" s="1"/>
  <c r="M517" i="3" a="1"/>
  <c r="M517" i="3" s="1"/>
  <c r="M518" i="3" a="1"/>
  <c r="M518" i="3" s="1"/>
  <c r="M519" i="3" a="1"/>
  <c r="M519" i="3" s="1"/>
  <c r="M520" i="3" a="1"/>
  <c r="M520" i="3" s="1"/>
  <c r="M521" i="3" a="1"/>
  <c r="M521" i="3" s="1"/>
  <c r="M522" i="3" a="1"/>
  <c r="M522" i="3" s="1"/>
  <c r="M523" i="3" a="1"/>
  <c r="M523" i="3" s="1"/>
  <c r="M524" i="3" a="1"/>
  <c r="M524" i="3" s="1"/>
  <c r="M525" i="3" a="1"/>
  <c r="M525" i="3" s="1"/>
  <c r="M526" i="3" a="1"/>
  <c r="M526" i="3" s="1"/>
  <c r="M527" i="3" a="1"/>
  <c r="M527" i="3" s="1"/>
  <c r="M528" i="3" a="1"/>
  <c r="M528" i="3" s="1"/>
  <c r="M529" i="3" a="1"/>
  <c r="M529" i="3" s="1"/>
  <c r="M530" i="3" a="1"/>
  <c r="M530" i="3" s="1"/>
  <c r="M531" i="3" a="1"/>
  <c r="M531" i="3" s="1"/>
  <c r="M532" i="3" a="1"/>
  <c r="M532" i="3" s="1"/>
  <c r="M533" i="3" a="1"/>
  <c r="M533" i="3" s="1"/>
  <c r="M534" i="3" a="1"/>
  <c r="M534" i="3" s="1"/>
  <c r="M535" i="3" a="1"/>
  <c r="M535" i="3" s="1"/>
  <c r="M536" i="3" a="1"/>
  <c r="M536" i="3" s="1"/>
  <c r="M537" i="3" a="1"/>
  <c r="M537" i="3" s="1"/>
  <c r="M538" i="3" a="1"/>
  <c r="M538" i="3" s="1"/>
  <c r="M539" i="3" a="1"/>
  <c r="M539" i="3" s="1"/>
  <c r="M540" i="3" a="1"/>
  <c r="M540" i="3" s="1"/>
  <c r="M541" i="3" a="1"/>
  <c r="M541" i="3" s="1"/>
  <c r="M542" i="3" a="1"/>
  <c r="M542" i="3" s="1"/>
  <c r="M543" i="3" a="1"/>
  <c r="M543" i="3" s="1"/>
  <c r="M544" i="3" a="1"/>
  <c r="M544" i="3" s="1"/>
  <c r="M545" i="3" a="1"/>
  <c r="M545" i="3" s="1"/>
  <c r="M546" i="3" a="1"/>
  <c r="M546" i="3" s="1"/>
  <c r="M547" i="3" a="1"/>
  <c r="M547" i="3" s="1"/>
  <c r="M548" i="3" a="1"/>
  <c r="M548" i="3" s="1"/>
  <c r="M549" i="3" a="1"/>
  <c r="M549" i="3" s="1"/>
  <c r="M550" i="3" a="1"/>
  <c r="M550" i="3" s="1"/>
  <c r="M551" i="3" a="1"/>
  <c r="M551" i="3" s="1"/>
  <c r="M552" i="3" a="1"/>
  <c r="M552" i="3" s="1"/>
  <c r="M553" i="3" a="1"/>
  <c r="M553" i="3" s="1"/>
  <c r="M554" i="3" a="1"/>
  <c r="M554" i="3" s="1"/>
  <c r="M555" i="3" a="1"/>
  <c r="M555" i="3" s="1"/>
  <c r="M556" i="3" a="1"/>
  <c r="M556" i="3" s="1"/>
  <c r="M557" i="3" a="1"/>
  <c r="M557" i="3" s="1"/>
  <c r="M558" i="3" a="1"/>
  <c r="M558" i="3" s="1"/>
  <c r="M559" i="3" a="1"/>
  <c r="M559" i="3" s="1"/>
  <c r="M560" i="3" a="1"/>
  <c r="M560" i="3" s="1"/>
  <c r="M561" i="3" a="1"/>
  <c r="M561" i="3" s="1"/>
  <c r="M562" i="3" a="1"/>
  <c r="M562" i="3" s="1"/>
  <c r="M563" i="3" a="1"/>
  <c r="M563" i="3"/>
  <c r="M564" i="3" a="1"/>
  <c r="M564" i="3" s="1"/>
  <c r="M565" i="3" a="1"/>
  <c r="M565" i="3" s="1"/>
  <c r="M566" i="3" a="1"/>
  <c r="M566" i="3" s="1"/>
  <c r="M567" i="3" a="1"/>
  <c r="M567" i="3" s="1"/>
  <c r="M568" i="3" a="1"/>
  <c r="M568" i="3" s="1"/>
  <c r="M569" i="3" a="1"/>
  <c r="M569" i="3" s="1"/>
  <c r="M570" i="3" a="1"/>
  <c r="M570" i="3" s="1"/>
  <c r="M571" i="3" a="1"/>
  <c r="M571" i="3" s="1"/>
  <c r="M572" i="3" a="1"/>
  <c r="M572" i="3" s="1"/>
  <c r="M573" i="3" a="1"/>
  <c r="M573" i="3" s="1"/>
  <c r="M574" i="3" a="1"/>
  <c r="M574" i="3" s="1"/>
  <c r="M575" i="3" a="1"/>
  <c r="M575" i="3" s="1"/>
  <c r="M576" i="3" a="1"/>
  <c r="M576" i="3" s="1"/>
  <c r="M577" i="3" a="1"/>
  <c r="M577" i="3" s="1"/>
  <c r="M578" i="3" a="1"/>
  <c r="M578" i="3" s="1"/>
  <c r="M579" i="3" a="1"/>
  <c r="M579" i="3" s="1"/>
  <c r="M580" i="3" a="1"/>
  <c r="M580" i="3" s="1"/>
  <c r="M581" i="3" a="1"/>
  <c r="M581" i="3" s="1"/>
  <c r="M582" i="3" a="1"/>
  <c r="M582" i="3" s="1"/>
  <c r="M583" i="3" a="1"/>
  <c r="M583" i="3" s="1"/>
  <c r="M584" i="3" a="1"/>
  <c r="M584" i="3" s="1"/>
  <c r="M585" i="3" a="1"/>
  <c r="M585" i="3" s="1"/>
  <c r="M586" i="3" a="1"/>
  <c r="M586" i="3" s="1"/>
  <c r="M587" i="3" a="1"/>
  <c r="M587" i="3" s="1"/>
  <c r="M588" i="3" a="1"/>
  <c r="M588" i="3" s="1"/>
  <c r="M589" i="3" a="1"/>
  <c r="M589" i="3" s="1"/>
  <c r="M590" i="3" a="1"/>
  <c r="M590" i="3" s="1"/>
  <c r="M591" i="3" a="1"/>
  <c r="M591" i="3" s="1"/>
  <c r="M592" i="3" a="1"/>
  <c r="M592" i="3" s="1"/>
  <c r="M593" i="3" a="1"/>
  <c r="M593" i="3" s="1"/>
  <c r="M594" i="3" a="1"/>
  <c r="M594" i="3" s="1"/>
  <c r="M595" i="3" a="1"/>
  <c r="M595" i="3" s="1"/>
  <c r="M596" i="3" a="1"/>
  <c r="M596" i="3" s="1"/>
  <c r="M597" i="3" a="1"/>
  <c r="M597" i="3" s="1"/>
  <c r="M598" i="3" a="1"/>
  <c r="M598" i="3" s="1"/>
  <c r="M599" i="3" a="1"/>
  <c r="M599" i="3" s="1"/>
  <c r="M600" i="3" a="1"/>
  <c r="M600" i="3" s="1"/>
  <c r="M601" i="3" a="1"/>
  <c r="M601" i="3" s="1"/>
  <c r="M602" i="3" a="1"/>
  <c r="M602" i="3" s="1"/>
  <c r="M2" i="3" a="1"/>
  <c r="M2" i="3" s="1"/>
  <c r="N2" i="5" a="1"/>
  <c r="N2" i="5" s="1"/>
  <c r="O2" i="5" s="1"/>
  <c r="M2" i="5" a="1"/>
  <c r="M2" i="5" s="1"/>
  <c r="M2" i="2" a="1"/>
  <c r="M2" i="2" s="1"/>
  <c r="N2" i="2" s="1" a="1"/>
  <c r="N2" i="2" s="1"/>
  <c r="O527" i="5" l="1"/>
  <c r="O359" i="5"/>
  <c r="O119" i="5"/>
  <c r="O550" i="5"/>
  <c r="O334" i="5"/>
  <c r="O166" i="5"/>
  <c r="O381" i="5"/>
  <c r="O519" i="5"/>
  <c r="O375" i="5"/>
  <c r="O231" i="5"/>
  <c r="O159" i="5"/>
  <c r="O39" i="5"/>
  <c r="O562" i="5"/>
  <c r="O202" i="5"/>
  <c r="O602" i="5"/>
  <c r="O578" i="5"/>
  <c r="O554" i="5"/>
  <c r="O530" i="5"/>
  <c r="O506" i="5"/>
  <c r="O482" i="5"/>
  <c r="O458" i="5"/>
  <c r="O434" i="5"/>
  <c r="O410" i="5"/>
  <c r="O386" i="5"/>
  <c r="O362" i="5"/>
  <c r="O338" i="5"/>
  <c r="O314" i="5"/>
  <c r="O290" i="5"/>
  <c r="O266" i="5"/>
  <c r="O242" i="5"/>
  <c r="O218" i="5"/>
  <c r="O194" i="5"/>
  <c r="O170" i="5"/>
  <c r="O146" i="5"/>
  <c r="O122" i="5"/>
  <c r="O98" i="5"/>
  <c r="O74" i="5"/>
  <c r="O50" i="5"/>
  <c r="O26" i="5"/>
  <c r="O479" i="5"/>
  <c r="O263" i="5"/>
  <c r="O23" i="5"/>
  <c r="O526" i="5"/>
  <c r="O286" i="5"/>
  <c r="O118" i="5"/>
  <c r="O357" i="5"/>
  <c r="O543" i="5"/>
  <c r="O495" i="5"/>
  <c r="O399" i="5"/>
  <c r="O351" i="5"/>
  <c r="O255" i="5"/>
  <c r="O183" i="5"/>
  <c r="O87" i="5"/>
  <c r="O130" i="5"/>
  <c r="O577" i="5"/>
  <c r="O529" i="5"/>
  <c r="O481" i="5"/>
  <c r="O409" i="5"/>
  <c r="O361" i="5"/>
  <c r="O337" i="5"/>
  <c r="O289" i="5"/>
  <c r="O217" i="5"/>
  <c r="O169" i="5"/>
  <c r="O121" i="5"/>
  <c r="O97" i="5"/>
  <c r="O73" i="5"/>
  <c r="O25" i="5"/>
  <c r="O503" i="5"/>
  <c r="O239" i="5"/>
  <c r="O454" i="5"/>
  <c r="O46" i="5"/>
  <c r="O453" i="5"/>
  <c r="O471" i="5"/>
  <c r="O327" i="5"/>
  <c r="O207" i="5"/>
  <c r="O63" i="5"/>
  <c r="O586" i="5"/>
  <c r="O154" i="5"/>
  <c r="O601" i="5"/>
  <c r="O553" i="5"/>
  <c r="O505" i="5"/>
  <c r="O457" i="5"/>
  <c r="O433" i="5"/>
  <c r="O385" i="5"/>
  <c r="O313" i="5"/>
  <c r="O265" i="5"/>
  <c r="O241" i="5"/>
  <c r="O193" i="5"/>
  <c r="O145" i="5"/>
  <c r="O49" i="5"/>
  <c r="O600" i="5"/>
  <c r="O576" i="5"/>
  <c r="O552" i="5"/>
  <c r="O528" i="5"/>
  <c r="O504" i="5"/>
  <c r="O480" i="5"/>
  <c r="O456" i="5"/>
  <c r="O432" i="5"/>
  <c r="O408" i="5"/>
  <c r="O384" i="5"/>
  <c r="O360" i="5"/>
  <c r="O336" i="5"/>
  <c r="O312" i="5"/>
  <c r="O288" i="5"/>
  <c r="O264" i="5"/>
  <c r="O240" i="5"/>
  <c r="O216" i="5"/>
  <c r="O192" i="5"/>
  <c r="O168" i="5"/>
  <c r="O144" i="5"/>
  <c r="O120" i="5"/>
  <c r="O96" i="5"/>
  <c r="O72" i="5"/>
  <c r="O48" i="5"/>
  <c r="O24" i="5"/>
  <c r="O551" i="5"/>
  <c r="O383" i="5"/>
  <c r="O191" i="5"/>
  <c r="O71" i="5"/>
  <c r="O598" i="5"/>
  <c r="O382" i="5"/>
  <c r="O214" i="5"/>
  <c r="O94" i="5"/>
  <c r="O573" i="5"/>
  <c r="O501" i="5"/>
  <c r="O429" i="5"/>
  <c r="O285" i="5"/>
  <c r="O237" i="5"/>
  <c r="O213" i="5"/>
  <c r="O165" i="5"/>
  <c r="O141" i="5"/>
  <c r="O117" i="5"/>
  <c r="O69" i="5"/>
  <c r="O45" i="5"/>
  <c r="O572" i="5"/>
  <c r="O500" i="5"/>
  <c r="O476" i="5"/>
  <c r="O428" i="5"/>
  <c r="O380" i="5"/>
  <c r="O332" i="5"/>
  <c r="O284" i="5"/>
  <c r="O236" i="5"/>
  <c r="O188" i="5"/>
  <c r="O164" i="5"/>
  <c r="O140" i="5"/>
  <c r="O92" i="5"/>
  <c r="O44" i="5"/>
  <c r="O595" i="5"/>
  <c r="O571" i="5"/>
  <c r="O547" i="5"/>
  <c r="O523" i="5"/>
  <c r="O499" i="5"/>
  <c r="O475" i="5"/>
  <c r="O451" i="5"/>
  <c r="O427" i="5"/>
  <c r="O403" i="5"/>
  <c r="O379" i="5"/>
  <c r="O355" i="5"/>
  <c r="O331" i="5"/>
  <c r="O307" i="5"/>
  <c r="O283" i="5"/>
  <c r="O259" i="5"/>
  <c r="O235" i="5"/>
  <c r="O211" i="5"/>
  <c r="O187" i="5"/>
  <c r="O163" i="5"/>
  <c r="O139" i="5"/>
  <c r="O115" i="5"/>
  <c r="O91" i="5"/>
  <c r="O67" i="5"/>
  <c r="O43" i="5"/>
  <c r="O19" i="5"/>
  <c r="O594" i="5"/>
  <c r="O570" i="5"/>
  <c r="O546" i="5"/>
  <c r="O522" i="5"/>
  <c r="O498" i="5"/>
  <c r="O474" i="5"/>
  <c r="O450" i="5"/>
  <c r="O426" i="5"/>
  <c r="O402" i="5"/>
  <c r="O378" i="5"/>
  <c r="O354" i="5"/>
  <c r="O330" i="5"/>
  <c r="O306" i="5"/>
  <c r="O282" i="5"/>
  <c r="O258" i="5"/>
  <c r="O234" i="5"/>
  <c r="O210" i="5"/>
  <c r="O186" i="5"/>
  <c r="O162" i="5"/>
  <c r="O138" i="5"/>
  <c r="O114" i="5"/>
  <c r="O90" i="5"/>
  <c r="O66" i="5"/>
  <c r="O42" i="5"/>
  <c r="O18" i="5"/>
  <c r="O575" i="5"/>
  <c r="O407" i="5"/>
  <c r="O215" i="5"/>
  <c r="O47" i="5"/>
  <c r="O478" i="5"/>
  <c r="O238" i="5"/>
  <c r="O70" i="5"/>
  <c r="O597" i="5"/>
  <c r="O477" i="5"/>
  <c r="O405" i="5"/>
  <c r="O333" i="5"/>
  <c r="O309" i="5"/>
  <c r="O261" i="5"/>
  <c r="O189" i="5"/>
  <c r="O93" i="5"/>
  <c r="O21" i="5"/>
  <c r="O596" i="5"/>
  <c r="O548" i="5"/>
  <c r="O524" i="5"/>
  <c r="O452" i="5"/>
  <c r="O404" i="5"/>
  <c r="O356" i="5"/>
  <c r="O308" i="5"/>
  <c r="O260" i="5"/>
  <c r="O212" i="5"/>
  <c r="O116" i="5"/>
  <c r="O68" i="5"/>
  <c r="O20" i="5"/>
  <c r="O593" i="5"/>
  <c r="O569" i="5"/>
  <c r="O545" i="5"/>
  <c r="O521" i="5"/>
  <c r="O497" i="5"/>
  <c r="O473" i="5"/>
  <c r="O449" i="5"/>
  <c r="O425" i="5"/>
  <c r="O401" i="5"/>
  <c r="O377" i="5"/>
  <c r="O353" i="5"/>
  <c r="O329" i="5"/>
  <c r="O305" i="5"/>
  <c r="O281" i="5"/>
  <c r="O257" i="5"/>
  <c r="O233" i="5"/>
  <c r="O209" i="5"/>
  <c r="O185" i="5"/>
  <c r="O161" i="5"/>
  <c r="O137" i="5"/>
  <c r="O113" i="5"/>
  <c r="O89" i="5"/>
  <c r="O65" i="5"/>
  <c r="O41" i="5"/>
  <c r="O17" i="5"/>
  <c r="O592" i="5"/>
  <c r="O568" i="5"/>
  <c r="O544" i="5"/>
  <c r="O520" i="5"/>
  <c r="O496" i="5"/>
  <c r="O472" i="5"/>
  <c r="O448" i="5"/>
  <c r="O424" i="5"/>
  <c r="O400" i="5"/>
  <c r="O376" i="5"/>
  <c r="O352" i="5"/>
  <c r="O328" i="5"/>
  <c r="O304" i="5"/>
  <c r="O280" i="5"/>
  <c r="O256" i="5"/>
  <c r="O232" i="5"/>
  <c r="O208" i="5"/>
  <c r="O184" i="5"/>
  <c r="O160" i="5"/>
  <c r="O136" i="5"/>
  <c r="O112" i="5"/>
  <c r="O88" i="5"/>
  <c r="O64" i="5"/>
  <c r="O40" i="5"/>
  <c r="O16" i="5"/>
  <c r="O599" i="5"/>
  <c r="O335" i="5"/>
  <c r="O574" i="5"/>
  <c r="O310" i="5"/>
  <c r="O22" i="5"/>
  <c r="O549" i="5"/>
  <c r="O14" i="5"/>
  <c r="O589" i="5"/>
  <c r="O565" i="5"/>
  <c r="O541" i="5"/>
  <c r="O517" i="5"/>
  <c r="O493" i="5"/>
  <c r="O469" i="5"/>
  <c r="O445" i="5"/>
  <c r="O421" i="5"/>
  <c r="O397" i="5"/>
  <c r="O373" i="5"/>
  <c r="O349" i="5"/>
  <c r="O325" i="5"/>
  <c r="O301" i="5"/>
  <c r="O277" i="5"/>
  <c r="O253" i="5"/>
  <c r="O229" i="5"/>
  <c r="O205" i="5"/>
  <c r="O181" i="5"/>
  <c r="O157" i="5"/>
  <c r="O133" i="5"/>
  <c r="O109" i="5"/>
  <c r="O85" i="5"/>
  <c r="O61" i="5"/>
  <c r="O37" i="5"/>
  <c r="O13" i="5"/>
  <c r="O590" i="5"/>
  <c r="O566" i="5"/>
  <c r="O542" i="5"/>
  <c r="O518" i="5"/>
  <c r="O494" i="5"/>
  <c r="O470" i="5"/>
  <c r="O446" i="5"/>
  <c r="O422" i="5"/>
  <c r="O398" i="5"/>
  <c r="O374" i="5"/>
  <c r="O350" i="5"/>
  <c r="O326" i="5"/>
  <c r="O302" i="5"/>
  <c r="O278" i="5"/>
  <c r="O254" i="5"/>
  <c r="O230" i="5"/>
  <c r="O206" i="5"/>
  <c r="O182" i="5"/>
  <c r="O158" i="5"/>
  <c r="O134" i="5"/>
  <c r="O110" i="5"/>
  <c r="O86" i="5"/>
  <c r="O62" i="5"/>
  <c r="O38" i="5"/>
  <c r="O564" i="5"/>
  <c r="O516" i="5"/>
  <c r="O468" i="5"/>
  <c r="O396" i="5"/>
  <c r="O348" i="5"/>
  <c r="O300" i="5"/>
  <c r="O252" i="5"/>
  <c r="O204" i="5"/>
  <c r="O156" i="5"/>
  <c r="O132" i="5"/>
  <c r="O108" i="5"/>
  <c r="O84" i="5"/>
  <c r="O60" i="5"/>
  <c r="O12" i="5"/>
  <c r="O588" i="5"/>
  <c r="O540" i="5"/>
  <c r="O492" i="5"/>
  <c r="O444" i="5"/>
  <c r="O420" i="5"/>
  <c r="O372" i="5"/>
  <c r="O324" i="5"/>
  <c r="O276" i="5"/>
  <c r="O228" i="5"/>
  <c r="O180" i="5"/>
  <c r="O36" i="5"/>
  <c r="O587" i="5"/>
  <c r="O563" i="5"/>
  <c r="O539" i="5"/>
  <c r="O515" i="5"/>
  <c r="O491" i="5"/>
  <c r="O467" i="5"/>
  <c r="O443" i="5"/>
  <c r="O419" i="5"/>
  <c r="O395" i="5"/>
  <c r="O371" i="5"/>
  <c r="O347" i="5"/>
  <c r="O323" i="5"/>
  <c r="O299" i="5"/>
  <c r="O275" i="5"/>
  <c r="O251" i="5"/>
  <c r="O227" i="5"/>
  <c r="O203" i="5"/>
  <c r="O179" i="5"/>
  <c r="O155" i="5"/>
  <c r="O131" i="5"/>
  <c r="O107" i="5"/>
  <c r="O83" i="5"/>
  <c r="O59" i="5"/>
  <c r="O35" i="5"/>
  <c r="O11" i="5"/>
  <c r="O167" i="5"/>
  <c r="O455" i="5"/>
  <c r="O95" i="5"/>
  <c r="O406" i="5"/>
  <c r="O190" i="5"/>
  <c r="O525" i="5"/>
  <c r="O567" i="5"/>
  <c r="O423" i="5"/>
  <c r="O303" i="5"/>
  <c r="O135" i="5"/>
  <c r="O15" i="5"/>
  <c r="O514" i="5"/>
  <c r="O442" i="5"/>
  <c r="O394" i="5"/>
  <c r="O346" i="5"/>
  <c r="O298" i="5"/>
  <c r="O226" i="5"/>
  <c r="O106" i="5"/>
  <c r="O10" i="5"/>
  <c r="O585" i="5"/>
  <c r="O561" i="5"/>
  <c r="O513" i="5"/>
  <c r="O465" i="5"/>
  <c r="O417" i="5"/>
  <c r="O369" i="5"/>
  <c r="O297" i="5"/>
  <c r="O225" i="5"/>
  <c r="O177" i="5"/>
  <c r="O105" i="5"/>
  <c r="O57" i="5"/>
  <c r="O9" i="5"/>
  <c r="O584" i="5"/>
  <c r="O536" i="5"/>
  <c r="O488" i="5"/>
  <c r="O416" i="5"/>
  <c r="O368" i="5"/>
  <c r="O296" i="5"/>
  <c r="O224" i="5"/>
  <c r="O176" i="5"/>
  <c r="O128" i="5"/>
  <c r="O104" i="5"/>
  <c r="O80" i="5"/>
  <c r="O56" i="5"/>
  <c r="O8" i="5"/>
  <c r="O583" i="5"/>
  <c r="O559" i="5"/>
  <c r="O535" i="5"/>
  <c r="O511" i="5"/>
  <c r="O487" i="5"/>
  <c r="O463" i="5"/>
  <c r="O439" i="5"/>
  <c r="O415" i="5"/>
  <c r="O391" i="5"/>
  <c r="O367" i="5"/>
  <c r="O343" i="5"/>
  <c r="O319" i="5"/>
  <c r="O295" i="5"/>
  <c r="O271" i="5"/>
  <c r="O247" i="5"/>
  <c r="O223" i="5"/>
  <c r="O199" i="5"/>
  <c r="O175" i="5"/>
  <c r="O151" i="5"/>
  <c r="O127" i="5"/>
  <c r="O103" i="5"/>
  <c r="O79" i="5"/>
  <c r="O55" i="5"/>
  <c r="O31" i="5"/>
  <c r="O7" i="5"/>
  <c r="O431" i="5"/>
  <c r="O143" i="5"/>
  <c r="O502" i="5"/>
  <c r="O358" i="5"/>
  <c r="O262" i="5"/>
  <c r="O142" i="5"/>
  <c r="O591" i="5"/>
  <c r="O447" i="5"/>
  <c r="O279" i="5"/>
  <c r="O111" i="5"/>
  <c r="O538" i="5"/>
  <c r="O490" i="5"/>
  <c r="O466" i="5"/>
  <c r="O418" i="5"/>
  <c r="O370" i="5"/>
  <c r="O322" i="5"/>
  <c r="O274" i="5"/>
  <c r="O250" i="5"/>
  <c r="O178" i="5"/>
  <c r="O58" i="5"/>
  <c r="O34" i="5"/>
  <c r="O537" i="5"/>
  <c r="O489" i="5"/>
  <c r="O441" i="5"/>
  <c r="O393" i="5"/>
  <c r="O345" i="5"/>
  <c r="O321" i="5"/>
  <c r="O273" i="5"/>
  <c r="O249" i="5"/>
  <c r="O201" i="5"/>
  <c r="O153" i="5"/>
  <c r="O129" i="5"/>
  <c r="O81" i="5"/>
  <c r="O33" i="5"/>
  <c r="O560" i="5"/>
  <c r="O512" i="5"/>
  <c r="O464" i="5"/>
  <c r="O440" i="5"/>
  <c r="O392" i="5"/>
  <c r="O344" i="5"/>
  <c r="O320" i="5"/>
  <c r="O272" i="5"/>
  <c r="O248" i="5"/>
  <c r="O200" i="5"/>
  <c r="O152" i="5"/>
  <c r="O32" i="5"/>
  <c r="O582" i="5"/>
  <c r="O558" i="5"/>
  <c r="O534" i="5"/>
  <c r="O510" i="5"/>
  <c r="O486" i="5"/>
  <c r="O462" i="5"/>
  <c r="O438" i="5"/>
  <c r="O414" i="5"/>
  <c r="O390" i="5"/>
  <c r="O366" i="5"/>
  <c r="O342" i="5"/>
  <c r="O318" i="5"/>
  <c r="O294" i="5"/>
  <c r="O270" i="5"/>
  <c r="O246" i="5"/>
  <c r="O222" i="5"/>
  <c r="O198" i="5"/>
  <c r="O174" i="5"/>
  <c r="O150" i="5"/>
  <c r="O126" i="5"/>
  <c r="O102" i="5"/>
  <c r="O78" i="5"/>
  <c r="O54" i="5"/>
  <c r="O30" i="5"/>
  <c r="O6" i="5"/>
  <c r="O430" i="5"/>
  <c r="O557" i="5"/>
  <c r="O509" i="5"/>
  <c r="O413" i="5"/>
  <c r="O317" i="5"/>
  <c r="O197" i="5"/>
  <c r="O5" i="5"/>
  <c r="O311" i="5"/>
  <c r="O82" i="5"/>
  <c r="O581" i="5"/>
  <c r="O533" i="5"/>
  <c r="O485" i="5"/>
  <c r="O461" i="5"/>
  <c r="O437" i="5"/>
  <c r="O389" i="5"/>
  <c r="O365" i="5"/>
  <c r="O341" i="5"/>
  <c r="O293" i="5"/>
  <c r="O269" i="5"/>
  <c r="O245" i="5"/>
  <c r="O221" i="5"/>
  <c r="O173" i="5"/>
  <c r="O149" i="5"/>
  <c r="O125" i="5"/>
  <c r="O101" i="5"/>
  <c r="O77" i="5"/>
  <c r="O53" i="5"/>
  <c r="O29" i="5"/>
  <c r="O580" i="5"/>
  <c r="O556" i="5"/>
  <c r="O532" i="5"/>
  <c r="O508" i="5"/>
  <c r="O484" i="5"/>
  <c r="O460" i="5"/>
  <c r="O436" i="5"/>
  <c r="O412" i="5"/>
  <c r="O388" i="5"/>
  <c r="O364" i="5"/>
  <c r="O340" i="5"/>
  <c r="O316" i="5"/>
  <c r="O292" i="5"/>
  <c r="O268" i="5"/>
  <c r="O244" i="5"/>
  <c r="O220" i="5"/>
  <c r="O196" i="5"/>
  <c r="O172" i="5"/>
  <c r="O148" i="5"/>
  <c r="O124" i="5"/>
  <c r="O100" i="5"/>
  <c r="O76" i="5"/>
  <c r="O52" i="5"/>
  <c r="O28" i="5"/>
  <c r="O4" i="5"/>
  <c r="O287" i="5"/>
  <c r="O579" i="5"/>
  <c r="O555" i="5"/>
  <c r="O531" i="5"/>
  <c r="O507" i="5"/>
  <c r="O483" i="5"/>
  <c r="O459" i="5"/>
  <c r="O435" i="5"/>
  <c r="O411" i="5"/>
  <c r="O387" i="5"/>
  <c r="O363" i="5"/>
  <c r="O339" i="5"/>
  <c r="O315" i="5"/>
  <c r="O291" i="5"/>
  <c r="O267" i="5"/>
  <c r="O243" i="5"/>
  <c r="O219" i="5"/>
  <c r="O195" i="5"/>
  <c r="O171" i="5"/>
  <c r="O147" i="5"/>
  <c r="O123" i="5"/>
  <c r="O99" i="5"/>
  <c r="O75" i="5"/>
  <c r="O51" i="5"/>
  <c r="O27" i="5"/>
  <c r="O3" i="5"/>
  <c r="N576" i="2" a="1"/>
  <c r="N576" i="2" s="1"/>
  <c r="N469" i="2" a="1"/>
  <c r="N469" i="2" s="1"/>
  <c r="N413" i="2" a="1"/>
  <c r="N413" i="2" s="1"/>
  <c r="N291" i="2" a="1"/>
  <c r="N291" i="2" s="1"/>
  <c r="N248" i="2" a="1"/>
  <c r="N248" i="2" s="1"/>
  <c r="N194" i="2" a="1"/>
  <c r="N194" i="2" s="1"/>
  <c r="N139" i="2" a="1"/>
  <c r="N139" i="2" s="1"/>
  <c r="N33" i="2" a="1"/>
  <c r="N33" i="2" s="1"/>
  <c r="N592" i="2" a="1"/>
  <c r="N592" i="2" s="1"/>
  <c r="N568" i="2" a="1"/>
  <c r="N568" i="2" s="1"/>
  <c r="N544" i="2" a="1"/>
  <c r="N544" i="2" s="1"/>
  <c r="N520" i="2" a="1"/>
  <c r="N520" i="2" s="1"/>
  <c r="N513" i="2" a="1"/>
  <c r="N513" i="2" s="1"/>
  <c r="N501" i="2" a="1"/>
  <c r="N501" i="2" s="1"/>
  <c r="N490" i="2" a="1"/>
  <c r="N490" i="2" s="1"/>
  <c r="N479" i="2" a="1"/>
  <c r="N479" i="2" s="1"/>
  <c r="N468" i="2" a="1"/>
  <c r="N468" i="2" s="1"/>
  <c r="N458" i="2" a="1"/>
  <c r="N458" i="2" s="1"/>
  <c r="N446" i="2" a="1"/>
  <c r="N446" i="2" s="1"/>
  <c r="N434" i="2" a="1"/>
  <c r="N434" i="2" s="1"/>
  <c r="N423" i="2" a="1"/>
  <c r="N423" i="2" s="1"/>
  <c r="N412" i="2" a="1"/>
  <c r="N412" i="2" s="1"/>
  <c r="N402" i="2" a="1"/>
  <c r="N402" i="2" s="1"/>
  <c r="N391" i="2" a="1"/>
  <c r="N391" i="2" s="1"/>
  <c r="N379" i="2" a="1"/>
  <c r="N379" i="2" s="1"/>
  <c r="N367" i="2" a="1"/>
  <c r="N367" i="2" s="1"/>
  <c r="N356" i="2" a="1"/>
  <c r="N356" i="2" s="1"/>
  <c r="N345" i="2" a="1"/>
  <c r="N345" i="2" s="1"/>
  <c r="N334" i="2" a="1"/>
  <c r="N334" i="2" s="1"/>
  <c r="N323" i="2" a="1"/>
  <c r="N323" i="2" s="1"/>
  <c r="N312" i="2" a="1"/>
  <c r="N312" i="2" s="1"/>
  <c r="N301" i="2" a="1"/>
  <c r="N301" i="2" s="1"/>
  <c r="N290" i="2" a="1"/>
  <c r="N290" i="2" s="1"/>
  <c r="N279" i="2" a="1"/>
  <c r="N279" i="2" s="1"/>
  <c r="N268" i="2" a="1"/>
  <c r="N268" i="2" s="1"/>
  <c r="N257" i="2" a="1"/>
  <c r="N257" i="2" s="1"/>
  <c r="N247" i="2" a="1"/>
  <c r="N247" i="2" s="1"/>
  <c r="N235" i="2" a="1"/>
  <c r="N235" i="2" s="1"/>
  <c r="N213" i="2" a="1"/>
  <c r="N213" i="2" s="1"/>
  <c r="N203" i="2" a="1"/>
  <c r="N203" i="2" s="1"/>
  <c r="N193" i="2" a="1"/>
  <c r="N193" i="2" s="1"/>
  <c r="N182" i="2" a="1"/>
  <c r="N182" i="2" s="1"/>
  <c r="N171" i="2" a="1"/>
  <c r="N171" i="2" s="1"/>
  <c r="N159" i="2" a="1"/>
  <c r="N159" i="2" s="1"/>
  <c r="N149" i="2" a="1"/>
  <c r="N149" i="2" s="1"/>
  <c r="N138" i="2" a="1"/>
  <c r="N138" i="2" s="1"/>
  <c r="N128" i="2" a="1"/>
  <c r="N128" i="2" s="1"/>
  <c r="N117" i="2" a="1"/>
  <c r="N117" i="2" s="1"/>
  <c r="N105" i="2" a="1"/>
  <c r="N105" i="2" s="1"/>
  <c r="N94" i="2" a="1"/>
  <c r="N94" i="2" s="1"/>
  <c r="N84" i="2" a="1"/>
  <c r="N84" i="2" s="1"/>
  <c r="N74" i="2" a="1"/>
  <c r="N74" i="2" s="1"/>
  <c r="N63" i="2" a="1"/>
  <c r="N63" i="2" s="1"/>
  <c r="N53" i="2" a="1"/>
  <c r="N53" i="2" s="1"/>
  <c r="N43" i="2" a="1"/>
  <c r="N43" i="2" s="1"/>
  <c r="N22" i="2" a="1"/>
  <c r="N22" i="2" s="1"/>
  <c r="N12" i="2" a="1"/>
  <c r="N12" i="2" s="1"/>
  <c r="N536" i="2" a="1"/>
  <c r="N536" i="2" s="1"/>
  <c r="N480" i="2" a="1"/>
  <c r="N480" i="2" s="1"/>
  <c r="N424" i="2" a="1"/>
  <c r="N424" i="2" s="1"/>
  <c r="N335" i="2" a="1"/>
  <c r="N335" i="2" s="1"/>
  <c r="N280" i="2" a="1"/>
  <c r="N280" i="2" s="1"/>
  <c r="N258" i="2" a="1"/>
  <c r="N258" i="2" s="1"/>
  <c r="N214" i="2" a="1"/>
  <c r="N214" i="2" s="1"/>
  <c r="N150" i="2" a="1"/>
  <c r="N150" i="2" s="1"/>
  <c r="N95" i="2" a="1"/>
  <c r="N95" i="2" s="1"/>
  <c r="N599" i="2" a="1"/>
  <c r="N599" i="2" s="1"/>
  <c r="N575" i="2" a="1"/>
  <c r="N575" i="2" s="1"/>
  <c r="N567" i="2" a="1"/>
  <c r="N567" i="2" s="1"/>
  <c r="N559" i="2" a="1"/>
  <c r="N559" i="2" s="1"/>
  <c r="N551" i="2" a="1"/>
  <c r="N551" i="2" s="1"/>
  <c r="N543" i="2" a="1"/>
  <c r="N543" i="2" s="1"/>
  <c r="N535" i="2" a="1"/>
  <c r="N535" i="2" s="1"/>
  <c r="N527" i="2" a="1"/>
  <c r="N527" i="2" s="1"/>
  <c r="N512" i="2" a="1"/>
  <c r="N512" i="2" s="1"/>
  <c r="N489" i="2" a="1"/>
  <c r="N489" i="2" s="1"/>
  <c r="N478" i="2" a="1"/>
  <c r="N478" i="2" s="1"/>
  <c r="N467" i="2" a="1"/>
  <c r="N467" i="2" s="1"/>
  <c r="N457" i="2" a="1"/>
  <c r="N457" i="2" s="1"/>
  <c r="N445" i="2" a="1"/>
  <c r="N445" i="2" s="1"/>
  <c r="N433" i="2" a="1"/>
  <c r="N433" i="2" s="1"/>
  <c r="N411" i="2" a="1"/>
  <c r="N411" i="2" s="1"/>
  <c r="N401" i="2" a="1"/>
  <c r="N401" i="2" s="1"/>
  <c r="N390" i="2" a="1"/>
  <c r="N390" i="2" s="1"/>
  <c r="N378" i="2" a="1"/>
  <c r="N378" i="2" s="1"/>
  <c r="N366" i="2" a="1"/>
  <c r="N366" i="2" s="1"/>
  <c r="N355" i="2" a="1"/>
  <c r="N355" i="2" s="1"/>
  <c r="N344" i="2" a="1"/>
  <c r="N344" i="2" s="1"/>
  <c r="N333" i="2" a="1"/>
  <c r="N333" i="2" s="1"/>
  <c r="N322" i="2" a="1"/>
  <c r="N322" i="2" s="1"/>
  <c r="N311" i="2" a="1"/>
  <c r="N311" i="2" s="1"/>
  <c r="N300" i="2" a="1"/>
  <c r="N300" i="2" s="1"/>
  <c r="N289" i="2" a="1"/>
  <c r="N289" i="2" s="1"/>
  <c r="N267" i="2" a="1"/>
  <c r="N267" i="2" s="1"/>
  <c r="N256" i="2" a="1"/>
  <c r="N256" i="2" s="1"/>
  <c r="N246" i="2" a="1"/>
  <c r="N246" i="2" s="1"/>
  <c r="N234" i="2" a="1"/>
  <c r="N234" i="2" s="1"/>
  <c r="N224" i="2" a="1"/>
  <c r="N224" i="2" s="1"/>
  <c r="N202" i="2" a="1"/>
  <c r="N202" i="2" s="1"/>
  <c r="N192" i="2" a="1"/>
  <c r="N192" i="2" s="1"/>
  <c r="N181" i="2" a="1"/>
  <c r="N181" i="2" s="1"/>
  <c r="N170" i="2" a="1"/>
  <c r="N170" i="2" s="1"/>
  <c r="N148" i="2" a="1"/>
  <c r="N148" i="2" s="1"/>
  <c r="N137" i="2" a="1"/>
  <c r="N137" i="2" s="1"/>
  <c r="N127" i="2" a="1"/>
  <c r="N127" i="2" s="1"/>
  <c r="N116" i="2" a="1"/>
  <c r="N116" i="2" s="1"/>
  <c r="N93" i="2" a="1"/>
  <c r="N93" i="2" s="1"/>
  <c r="N83" i="2" a="1"/>
  <c r="N83" i="2" s="1"/>
  <c r="N73" i="2" a="1"/>
  <c r="N73" i="2" s="1"/>
  <c r="N52" i="2" a="1"/>
  <c r="N52" i="2" s="1"/>
  <c r="N42" i="2" a="1"/>
  <c r="N42" i="2" s="1"/>
  <c r="N32" i="2" a="1"/>
  <c r="N32" i="2" s="1"/>
  <c r="N21" i="2" a="1"/>
  <c r="N21" i="2" s="1"/>
  <c r="N11" i="2" a="1"/>
  <c r="N11" i="2" s="1"/>
  <c r="N560" i="2" a="1"/>
  <c r="N560" i="2" s="1"/>
  <c r="N491" i="2" a="1"/>
  <c r="N491" i="2" s="1"/>
  <c r="N403" i="2" a="1"/>
  <c r="N403" i="2" s="1"/>
  <c r="N313" i="2" a="1"/>
  <c r="N313" i="2" s="1"/>
  <c r="N236" i="2" a="1"/>
  <c r="N236" i="2" s="1"/>
  <c r="N172" i="2" a="1"/>
  <c r="N172" i="2" s="1"/>
  <c r="N23" i="2" a="1"/>
  <c r="N23" i="2" s="1"/>
  <c r="N566" i="2" a="1"/>
  <c r="N566" i="2" s="1"/>
  <c r="N558" i="2" a="1"/>
  <c r="N558" i="2" s="1"/>
  <c r="N542" i="2" a="1"/>
  <c r="N542" i="2" s="1"/>
  <c r="N534" i="2" a="1"/>
  <c r="N534" i="2" s="1"/>
  <c r="N519" i="2" a="1"/>
  <c r="N519" i="2" s="1"/>
  <c r="N511" i="2" a="1"/>
  <c r="N511" i="2" s="1"/>
  <c r="N500" i="2" a="1"/>
  <c r="N500" i="2" s="1"/>
  <c r="N488" i="2" a="1"/>
  <c r="N488" i="2" s="1"/>
  <c r="N477" i="2" a="1"/>
  <c r="N477" i="2" s="1"/>
  <c r="N466" i="2" a="1"/>
  <c r="N466" i="2" s="1"/>
  <c r="N456" i="2" a="1"/>
  <c r="N456" i="2" s="1"/>
  <c r="N444" i="2" a="1"/>
  <c r="N444" i="2" s="1"/>
  <c r="N432" i="2" a="1"/>
  <c r="N432" i="2" s="1"/>
  <c r="N422" i="2" a="1"/>
  <c r="N422" i="2" s="1"/>
  <c r="N400" i="2" a="1"/>
  <c r="N400" i="2" s="1"/>
  <c r="N389" i="2" a="1"/>
  <c r="N389" i="2" s="1"/>
  <c r="N377" i="2" a="1"/>
  <c r="N377" i="2" s="1"/>
  <c r="N365" i="2" a="1"/>
  <c r="N365" i="2" s="1"/>
  <c r="N354" i="2" a="1"/>
  <c r="N354" i="2" s="1"/>
  <c r="N343" i="2" a="1"/>
  <c r="N343" i="2" s="1"/>
  <c r="N332" i="2" a="1"/>
  <c r="N332" i="2" s="1"/>
  <c r="N321" i="2" a="1"/>
  <c r="N321" i="2" s="1"/>
  <c r="N310" i="2" a="1"/>
  <c r="N310" i="2" s="1"/>
  <c r="N299" i="2" a="1"/>
  <c r="N299" i="2" s="1"/>
  <c r="N288" i="2" a="1"/>
  <c r="N288" i="2" s="1"/>
  <c r="N278" i="2" a="1"/>
  <c r="N278" i="2" s="1"/>
  <c r="N255" i="2" a="1"/>
  <c r="N255" i="2" s="1"/>
  <c r="N245" i="2" a="1"/>
  <c r="N245" i="2" s="1"/>
  <c r="N233" i="2" a="1"/>
  <c r="N233" i="2" s="1"/>
  <c r="N223" i="2" a="1"/>
  <c r="N223" i="2" s="1"/>
  <c r="N212" i="2" a="1"/>
  <c r="N212" i="2" s="1"/>
  <c r="N201" i="2" a="1"/>
  <c r="N201" i="2" s="1"/>
  <c r="N191" i="2" a="1"/>
  <c r="N191" i="2" s="1"/>
  <c r="N180" i="2" a="1"/>
  <c r="N180" i="2" s="1"/>
  <c r="N169" i="2" a="1"/>
  <c r="N169" i="2" s="1"/>
  <c r="N158" i="2" a="1"/>
  <c r="N158" i="2" s="1"/>
  <c r="N147" i="2" a="1"/>
  <c r="N147" i="2" s="1"/>
  <c r="N136" i="2" a="1"/>
  <c r="N136" i="2" s="1"/>
  <c r="N126" i="2" a="1"/>
  <c r="N126" i="2" s="1"/>
  <c r="N115" i="2" a="1"/>
  <c r="N115" i="2" s="1"/>
  <c r="N104" i="2" a="1"/>
  <c r="N104" i="2" s="1"/>
  <c r="N82" i="2" a="1"/>
  <c r="N82" i="2" s="1"/>
  <c r="N72" i="2" a="1"/>
  <c r="N72" i="2" s="1"/>
  <c r="N62" i="2" a="1"/>
  <c r="N62" i="2" s="1"/>
  <c r="N51" i="2" a="1"/>
  <c r="N51" i="2" s="1"/>
  <c r="N41" i="2" a="1"/>
  <c r="N41" i="2" s="1"/>
  <c r="N31" i="2" a="1"/>
  <c r="N31" i="2" s="1"/>
  <c r="N10" i="2" a="1"/>
  <c r="N10" i="2" s="1"/>
  <c r="N600" i="2" a="1"/>
  <c r="N600" i="2" s="1"/>
  <c r="N324" i="2" a="1"/>
  <c r="N324" i="2" s="1"/>
  <c r="N13" i="2" a="1"/>
  <c r="N13" i="2" s="1"/>
  <c r="N598" i="2" a="1"/>
  <c r="N598" i="2" s="1"/>
  <c r="N574" i="2" a="1"/>
  <c r="N574" i="2" s="1"/>
  <c r="N550" i="2" a="1"/>
  <c r="N550" i="2" s="1"/>
  <c r="N526" i="2" a="1"/>
  <c r="N526" i="2" s="1"/>
  <c r="N518" i="2" a="1"/>
  <c r="N518" i="2" s="1"/>
  <c r="N510" i="2" a="1"/>
  <c r="N510" i="2" s="1"/>
  <c r="N499" i="2" a="1"/>
  <c r="N499" i="2" s="1"/>
  <c r="N487" i="2" a="1"/>
  <c r="N487" i="2" s="1"/>
  <c r="N465" i="2" a="1"/>
  <c r="N465" i="2" s="1"/>
  <c r="N455" i="2" a="1"/>
  <c r="N455" i="2" s="1"/>
  <c r="N443" i="2" a="1"/>
  <c r="N443" i="2" s="1"/>
  <c r="N431" i="2" a="1"/>
  <c r="N431" i="2" s="1"/>
  <c r="N421" i="2" a="1"/>
  <c r="N421" i="2" s="1"/>
  <c r="N410" i="2" a="1"/>
  <c r="N410" i="2" s="1"/>
  <c r="N399" i="2" a="1"/>
  <c r="N399" i="2" s="1"/>
  <c r="N388" i="2" a="1"/>
  <c r="N388" i="2" s="1"/>
  <c r="N376" i="2" a="1"/>
  <c r="N376" i="2" s="1"/>
  <c r="N364" i="2" a="1"/>
  <c r="N364" i="2" s="1"/>
  <c r="N353" i="2" a="1"/>
  <c r="N353" i="2" s="1"/>
  <c r="N342" i="2" a="1"/>
  <c r="N342" i="2" s="1"/>
  <c r="N331" i="2" a="1"/>
  <c r="N331" i="2" s="1"/>
  <c r="N309" i="2" a="1"/>
  <c r="N309" i="2" s="1"/>
  <c r="N298" i="2" a="1"/>
  <c r="N298" i="2" s="1"/>
  <c r="N287" i="2" a="1"/>
  <c r="N287" i="2" s="1"/>
  <c r="N277" i="2" a="1"/>
  <c r="N277" i="2" s="1"/>
  <c r="N266" i="2" a="1"/>
  <c r="N266" i="2" s="1"/>
  <c r="N244" i="2" a="1"/>
  <c r="N244" i="2" s="1"/>
  <c r="N232" i="2" a="1"/>
  <c r="N232" i="2" s="1"/>
  <c r="N222" i="2" a="1"/>
  <c r="N222" i="2" s="1"/>
  <c r="N211" i="2" a="1"/>
  <c r="N211" i="2" s="1"/>
  <c r="N190" i="2" a="1"/>
  <c r="N190" i="2" s="1"/>
  <c r="N179" i="2" a="1"/>
  <c r="N179" i="2" s="1"/>
  <c r="N168" i="2" a="1"/>
  <c r="N168" i="2" s="1"/>
  <c r="N157" i="2" a="1"/>
  <c r="N157" i="2" s="1"/>
  <c r="N146" i="2" a="1"/>
  <c r="N146" i="2" s="1"/>
  <c r="N135" i="2" a="1"/>
  <c r="N135" i="2" s="1"/>
  <c r="N125" i="2" a="1"/>
  <c r="N125" i="2" s="1"/>
  <c r="N114" i="2" a="1"/>
  <c r="N114" i="2" s="1"/>
  <c r="N103" i="2" a="1"/>
  <c r="N103" i="2" s="1"/>
  <c r="N92" i="2" a="1"/>
  <c r="N92" i="2" s="1"/>
  <c r="N81" i="2" a="1"/>
  <c r="N81" i="2" s="1"/>
  <c r="N71" i="2" a="1"/>
  <c r="N71" i="2" s="1"/>
  <c r="N61" i="2" a="1"/>
  <c r="N61" i="2" s="1"/>
  <c r="N40" i="2" a="1"/>
  <c r="N40" i="2" s="1"/>
  <c r="N30" i="2" a="1"/>
  <c r="N30" i="2" s="1"/>
  <c r="N20" i="2" a="1"/>
  <c r="N20" i="2" s="1"/>
  <c r="N9" i="2" a="1"/>
  <c r="N9" i="2" s="1"/>
  <c r="N380" i="2" a="1"/>
  <c r="N380" i="2" s="1"/>
  <c r="N85" i="2" a="1"/>
  <c r="N85" i="2" s="1"/>
  <c r="N591" i="2" a="1"/>
  <c r="N591" i="2" s="1"/>
  <c r="N597" i="2" a="1"/>
  <c r="N597" i="2" s="1"/>
  <c r="N589" i="2" a="1"/>
  <c r="N589" i="2" s="1"/>
  <c r="N581" i="2" a="1"/>
  <c r="N581" i="2" s="1"/>
  <c r="N573" i="2" a="1"/>
  <c r="N573" i="2" s="1"/>
  <c r="N565" i="2" a="1"/>
  <c r="N565" i="2" s="1"/>
  <c r="N557" i="2" a="1"/>
  <c r="N557" i="2" s="1"/>
  <c r="N549" i="2" a="1"/>
  <c r="N549" i="2" s="1"/>
  <c r="N541" i="2" a="1"/>
  <c r="N541" i="2" s="1"/>
  <c r="N533" i="2" a="1"/>
  <c r="N533" i="2" s="1"/>
  <c r="N525" i="2" a="1"/>
  <c r="N525" i="2" s="1"/>
  <c r="N509" i="2" a="1"/>
  <c r="N509" i="2" s="1"/>
  <c r="N498" i="2" a="1"/>
  <c r="N498" i="2" s="1"/>
  <c r="N486" i="2" a="1"/>
  <c r="N486" i="2" s="1"/>
  <c r="N476" i="2" a="1"/>
  <c r="N476" i="2" s="1"/>
  <c r="N454" i="2" a="1"/>
  <c r="N454" i="2" s="1"/>
  <c r="N442" i="2" a="1"/>
  <c r="N442" i="2" s="1"/>
  <c r="N430" i="2" a="1"/>
  <c r="N430" i="2" s="1"/>
  <c r="N420" i="2" a="1"/>
  <c r="N420" i="2" s="1"/>
  <c r="N409" i="2" a="1"/>
  <c r="N409" i="2" s="1"/>
  <c r="N398" i="2" a="1"/>
  <c r="N398" i="2" s="1"/>
  <c r="N387" i="2" a="1"/>
  <c r="N387" i="2" s="1"/>
  <c r="N375" i="2" a="1"/>
  <c r="N375" i="2" s="1"/>
  <c r="N363" i="2" a="1"/>
  <c r="N363" i="2" s="1"/>
  <c r="N352" i="2" a="1"/>
  <c r="N352" i="2" s="1"/>
  <c r="N341" i="2" a="1"/>
  <c r="N341" i="2" s="1"/>
  <c r="N330" i="2" a="1"/>
  <c r="N330" i="2" s="1"/>
  <c r="N320" i="2" a="1"/>
  <c r="N320" i="2" s="1"/>
  <c r="N308" i="2" a="1"/>
  <c r="N308" i="2" s="1"/>
  <c r="N297" i="2" a="1"/>
  <c r="N297" i="2" s="1"/>
  <c r="N286" i="2" a="1"/>
  <c r="N286" i="2" s="1"/>
  <c r="N276" i="2" a="1"/>
  <c r="N276" i="2" s="1"/>
  <c r="N265" i="2" a="1"/>
  <c r="N265" i="2" s="1"/>
  <c r="N254" i="2" a="1"/>
  <c r="N254" i="2" s="1"/>
  <c r="N243" i="2" a="1"/>
  <c r="N243" i="2" s="1"/>
  <c r="N231" i="2" a="1"/>
  <c r="N231" i="2" s="1"/>
  <c r="N221" i="2" a="1"/>
  <c r="N221" i="2" s="1"/>
  <c r="N210" i="2" a="1"/>
  <c r="N210" i="2" s="1"/>
  <c r="N200" i="2" a="1"/>
  <c r="N200" i="2" s="1"/>
  <c r="N189" i="2" a="1"/>
  <c r="N189" i="2" s="1"/>
  <c r="N178" i="2" a="1"/>
  <c r="N178" i="2" s="1"/>
  <c r="N167" i="2" a="1"/>
  <c r="N167" i="2" s="1"/>
  <c r="N156" i="2" a="1"/>
  <c r="N156" i="2" s="1"/>
  <c r="N145" i="2" a="1"/>
  <c r="N145" i="2" s="1"/>
  <c r="N124" i="2" a="1"/>
  <c r="N124" i="2" s="1"/>
  <c r="N113" i="2" a="1"/>
  <c r="N113" i="2" s="1"/>
  <c r="N102" i="2" a="1"/>
  <c r="N102" i="2" s="1"/>
  <c r="N91" i="2" a="1"/>
  <c r="N91" i="2" s="1"/>
  <c r="N70" i="2" a="1"/>
  <c r="N70" i="2" s="1"/>
  <c r="N60" i="2" a="1"/>
  <c r="N60" i="2" s="1"/>
  <c r="N50" i="2" a="1"/>
  <c r="N50" i="2" s="1"/>
  <c r="N39" i="2" a="1"/>
  <c r="N39" i="2" s="1"/>
  <c r="N29" i="2" a="1"/>
  <c r="N29" i="2" s="1"/>
  <c r="N19" i="2" a="1"/>
  <c r="N19" i="2" s="1"/>
  <c r="N552" i="2" a="1"/>
  <c r="N552" i="2" s="1"/>
  <c r="N392" i="2" a="1"/>
  <c r="N392" i="2" s="1"/>
  <c r="N582" i="2" a="1"/>
  <c r="N582" i="2" s="1"/>
  <c r="N596" i="2" a="1"/>
  <c r="N596" i="2" s="1"/>
  <c r="N588" i="2" a="1"/>
  <c r="N588" i="2" s="1"/>
  <c r="N572" i="2" a="1"/>
  <c r="N572" i="2" s="1"/>
  <c r="N564" i="2" a="1"/>
  <c r="N564" i="2" s="1"/>
  <c r="N548" i="2" a="1"/>
  <c r="N548" i="2" s="1"/>
  <c r="N540" i="2" a="1"/>
  <c r="N540" i="2" s="1"/>
  <c r="N524" i="2" a="1"/>
  <c r="N524" i="2" s="1"/>
  <c r="N517" i="2" a="1"/>
  <c r="N517" i="2" s="1"/>
  <c r="N508" i="2" a="1"/>
  <c r="N508" i="2" s="1"/>
  <c r="N497" i="2" a="1"/>
  <c r="N497" i="2" s="1"/>
  <c r="N485" i="2" a="1"/>
  <c r="N485" i="2" s="1"/>
  <c r="N475" i="2" a="1"/>
  <c r="N475" i="2" s="1"/>
  <c r="N464" i="2" a="1"/>
  <c r="N464" i="2" s="1"/>
  <c r="N453" i="2" a="1"/>
  <c r="N453" i="2" s="1"/>
  <c r="N441" i="2" a="1"/>
  <c r="N441" i="2" s="1"/>
  <c r="N429" i="2" a="1"/>
  <c r="N429" i="2" s="1"/>
  <c r="N419" i="2" a="1"/>
  <c r="N419" i="2" s="1"/>
  <c r="N408" i="2" a="1"/>
  <c r="N408" i="2" s="1"/>
  <c r="N397" i="2" a="1"/>
  <c r="N397" i="2" s="1"/>
  <c r="N386" i="2" a="1"/>
  <c r="N386" i="2" s="1"/>
  <c r="N374" i="2" a="1"/>
  <c r="N374" i="2" s="1"/>
  <c r="N362" i="2" a="1"/>
  <c r="N362" i="2" s="1"/>
  <c r="N351" i="2" a="1"/>
  <c r="N351" i="2" s="1"/>
  <c r="N340" i="2" a="1"/>
  <c r="N340" i="2" s="1"/>
  <c r="N329" i="2" a="1"/>
  <c r="N329" i="2" s="1"/>
  <c r="N319" i="2" a="1"/>
  <c r="N319" i="2" s="1"/>
  <c r="N307" i="2" a="1"/>
  <c r="N307" i="2" s="1"/>
  <c r="N285" i="2" a="1"/>
  <c r="N285" i="2" s="1"/>
  <c r="N275" i="2" a="1"/>
  <c r="N275" i="2" s="1"/>
  <c r="N264" i="2" a="1"/>
  <c r="N264" i="2" s="1"/>
  <c r="N253" i="2" a="1"/>
  <c r="N253" i="2" s="1"/>
  <c r="N242" i="2" a="1"/>
  <c r="N242" i="2" s="1"/>
  <c r="N220" i="2" a="1"/>
  <c r="N220" i="2" s="1"/>
  <c r="N209" i="2" a="1"/>
  <c r="N209" i="2" s="1"/>
  <c r="N199" i="2" a="1"/>
  <c r="N199" i="2" s="1"/>
  <c r="N188" i="2" a="1"/>
  <c r="N188" i="2" s="1"/>
  <c r="N177" i="2" a="1"/>
  <c r="N177" i="2" s="1"/>
  <c r="N166" i="2" a="1"/>
  <c r="N166" i="2" s="1"/>
  <c r="N155" i="2" a="1"/>
  <c r="N155" i="2" s="1"/>
  <c r="N144" i="2" a="1"/>
  <c r="N144" i="2" s="1"/>
  <c r="N134" i="2" a="1"/>
  <c r="N134" i="2" s="1"/>
  <c r="N123" i="2" a="1"/>
  <c r="N123" i="2" s="1"/>
  <c r="N112" i="2" a="1"/>
  <c r="N112" i="2" s="1"/>
  <c r="N101" i="2" a="1"/>
  <c r="N101" i="2" s="1"/>
  <c r="N90" i="2" a="1"/>
  <c r="N90" i="2" s="1"/>
  <c r="N80" i="2" a="1"/>
  <c r="N80" i="2" s="1"/>
  <c r="N69" i="2" a="1"/>
  <c r="N69" i="2" s="1"/>
  <c r="N59" i="2" a="1"/>
  <c r="N59" i="2" s="1"/>
  <c r="N49" i="2" a="1"/>
  <c r="N49" i="2" s="1"/>
  <c r="N28" i="2" a="1"/>
  <c r="N28" i="2" s="1"/>
  <c r="N18" i="2" a="1"/>
  <c r="N18" i="2" s="1"/>
  <c r="N8" i="2" a="1"/>
  <c r="N8" i="2" s="1"/>
  <c r="N580" i="2" a="1"/>
  <c r="N580" i="2" s="1"/>
  <c r="N556" i="2" a="1"/>
  <c r="N556" i="2" s="1"/>
  <c r="N532" i="2" a="1"/>
  <c r="N532" i="2" s="1"/>
  <c r="N516" i="2" a="1"/>
  <c r="N516" i="2" s="1"/>
  <c r="N507" i="2" a="1"/>
  <c r="N507" i="2" s="1"/>
  <c r="N496" i="2" a="1"/>
  <c r="N496" i="2" s="1"/>
  <c r="N484" i="2" a="1"/>
  <c r="N484" i="2" s="1"/>
  <c r="N474" i="2" a="1"/>
  <c r="N474" i="2" s="1"/>
  <c r="N463" i="2" a="1"/>
  <c r="N463" i="2" s="1"/>
  <c r="N452" i="2" a="1"/>
  <c r="N452" i="2" s="1"/>
  <c r="N440" i="2" a="1"/>
  <c r="N440" i="2" s="1"/>
  <c r="N418" i="2" a="1"/>
  <c r="N418" i="2" s="1"/>
  <c r="N407" i="2" a="1"/>
  <c r="N407" i="2" s="1"/>
  <c r="N396" i="2" a="1"/>
  <c r="N396" i="2" s="1"/>
  <c r="N385" i="2" a="1"/>
  <c r="N385" i="2" s="1"/>
  <c r="N373" i="2" a="1"/>
  <c r="N373" i="2" s="1"/>
  <c r="N361" i="2" a="1"/>
  <c r="N361" i="2" s="1"/>
  <c r="N339" i="2" a="1"/>
  <c r="N339" i="2" s="1"/>
  <c r="N328" i="2" a="1"/>
  <c r="N328" i="2" s="1"/>
  <c r="N318" i="2" a="1"/>
  <c r="N318" i="2" s="1"/>
  <c r="N306" i="2" a="1"/>
  <c r="N306" i="2" s="1"/>
  <c r="N296" i="2" a="1"/>
  <c r="N296" i="2" s="1"/>
  <c r="N274" i="2" a="1"/>
  <c r="N274" i="2" s="1"/>
  <c r="N263" i="2" a="1"/>
  <c r="N263" i="2" s="1"/>
  <c r="N252" i="2" a="1"/>
  <c r="N252" i="2" s="1"/>
  <c r="N241" i="2" a="1"/>
  <c r="N241" i="2" s="1"/>
  <c r="N230" i="2" a="1"/>
  <c r="N230" i="2" s="1"/>
  <c r="N219" i="2" a="1"/>
  <c r="N219" i="2" s="1"/>
  <c r="N208" i="2" a="1"/>
  <c r="N208" i="2" s="1"/>
  <c r="N198" i="2" a="1"/>
  <c r="N198" i="2" s="1"/>
  <c r="N187" i="2" a="1"/>
  <c r="N187" i="2" s="1"/>
  <c r="N165" i="2" a="1"/>
  <c r="N165" i="2" s="1"/>
  <c r="N154" i="2" a="1"/>
  <c r="N154" i="2" s="1"/>
  <c r="N143" i="2" a="1"/>
  <c r="N143" i="2" s="1"/>
  <c r="N133" i="2" a="1"/>
  <c r="N133" i="2" s="1"/>
  <c r="N111" i="2" a="1"/>
  <c r="N111" i="2" s="1"/>
  <c r="N100" i="2" a="1"/>
  <c r="N100" i="2" s="1"/>
  <c r="N89" i="2" a="1"/>
  <c r="N89" i="2" s="1"/>
  <c r="N79" i="2" a="1"/>
  <c r="N79" i="2" s="1"/>
  <c r="N58" i="2" a="1"/>
  <c r="N58" i="2" s="1"/>
  <c r="N48" i="2" a="1"/>
  <c r="N48" i="2" s="1"/>
  <c r="N38" i="2" a="1"/>
  <c r="N38" i="2" s="1"/>
  <c r="N27" i="2" a="1"/>
  <c r="N27" i="2" s="1"/>
  <c r="N17" i="2" a="1"/>
  <c r="N17" i="2" s="1"/>
  <c r="N7" i="2" a="1"/>
  <c r="N7" i="2" s="1"/>
  <c r="N584" i="2" a="1"/>
  <c r="N584" i="2" s="1"/>
  <c r="N502" i="2" a="1"/>
  <c r="N502" i="2" s="1"/>
  <c r="N447" i="2" a="1"/>
  <c r="N447" i="2" s="1"/>
  <c r="N346" i="2" a="1"/>
  <c r="N346" i="2" s="1"/>
  <c r="N302" i="2" a="1"/>
  <c r="N302" i="2" s="1"/>
  <c r="N269" i="2" a="1"/>
  <c r="N269" i="2" s="1"/>
  <c r="N204" i="2" a="1"/>
  <c r="N204" i="2" s="1"/>
  <c r="N160" i="2" a="1"/>
  <c r="N160" i="2" s="1"/>
  <c r="N118" i="2" a="1"/>
  <c r="N118" i="2" s="1"/>
  <c r="N64" i="2" a="1"/>
  <c r="N64" i="2" s="1"/>
  <c r="N583" i="2" a="1"/>
  <c r="N583" i="2" s="1"/>
  <c r="N595" i="2" a="1"/>
  <c r="N595" i="2" s="1"/>
  <c r="N587" i="2" a="1"/>
  <c r="N587" i="2" s="1"/>
  <c r="N579" i="2" a="1"/>
  <c r="N579" i="2" s="1"/>
  <c r="N571" i="2" a="1"/>
  <c r="N571" i="2" s="1"/>
  <c r="N563" i="2" a="1"/>
  <c r="N563" i="2" s="1"/>
  <c r="N555" i="2" a="1"/>
  <c r="N555" i="2" s="1"/>
  <c r="N547" i="2" a="1"/>
  <c r="N547" i="2" s="1"/>
  <c r="N539" i="2" a="1"/>
  <c r="N539" i="2" s="1"/>
  <c r="N531" i="2" a="1"/>
  <c r="N531" i="2" s="1"/>
  <c r="N523" i="2" a="1"/>
  <c r="N523" i="2" s="1"/>
  <c r="N506" i="2" a="1"/>
  <c r="N506" i="2" s="1"/>
  <c r="N495" i="2" a="1"/>
  <c r="N495" i="2" s="1"/>
  <c r="N483" i="2" a="1"/>
  <c r="N483" i="2" s="1"/>
  <c r="N473" i="2" a="1"/>
  <c r="N473" i="2" s="1"/>
  <c r="N462" i="2" a="1"/>
  <c r="N462" i="2" s="1"/>
  <c r="N451" i="2" a="1"/>
  <c r="N451" i="2" s="1"/>
  <c r="N439" i="2" a="1"/>
  <c r="N439" i="2" s="1"/>
  <c r="N428" i="2" a="1"/>
  <c r="N428" i="2" s="1"/>
  <c r="N417" i="2" a="1"/>
  <c r="N417" i="2" s="1"/>
  <c r="N406" i="2" a="1"/>
  <c r="N406" i="2" s="1"/>
  <c r="N395" i="2" a="1"/>
  <c r="N395" i="2" s="1"/>
  <c r="N384" i="2" a="1"/>
  <c r="N384" i="2" s="1"/>
  <c r="N372" i="2" a="1"/>
  <c r="N372" i="2" s="1"/>
  <c r="N360" i="2" a="1"/>
  <c r="N360" i="2" s="1"/>
  <c r="N350" i="2" a="1"/>
  <c r="N350" i="2" s="1"/>
  <c r="N327" i="2" a="1"/>
  <c r="N327" i="2" s="1"/>
  <c r="N317" i="2" a="1"/>
  <c r="N317" i="2" s="1"/>
  <c r="N305" i="2" a="1"/>
  <c r="N305" i="2" s="1"/>
  <c r="N295" i="2" a="1"/>
  <c r="N295" i="2" s="1"/>
  <c r="N284" i="2" a="1"/>
  <c r="N284" i="2" s="1"/>
  <c r="N273" i="2" a="1"/>
  <c r="N273" i="2" s="1"/>
  <c r="N262" i="2" a="1"/>
  <c r="N262" i="2" s="1"/>
  <c r="N251" i="2" a="1"/>
  <c r="N251" i="2" s="1"/>
  <c r="N240" i="2" a="1"/>
  <c r="N240" i="2" s="1"/>
  <c r="N229" i="2" a="1"/>
  <c r="N229" i="2" s="1"/>
  <c r="N218" i="2" a="1"/>
  <c r="N218" i="2" s="1"/>
  <c r="N207" i="2" a="1"/>
  <c r="N207" i="2" s="1"/>
  <c r="N197" i="2" a="1"/>
  <c r="N197" i="2" s="1"/>
  <c r="N186" i="2" a="1"/>
  <c r="N186" i="2" s="1"/>
  <c r="N176" i="2" a="1"/>
  <c r="N176" i="2" s="1"/>
  <c r="N164" i="2" a="1"/>
  <c r="N164" i="2" s="1"/>
  <c r="N153" i="2" a="1"/>
  <c r="N153" i="2" s="1"/>
  <c r="N142" i="2" a="1"/>
  <c r="N142" i="2" s="1"/>
  <c r="N132" i="2" a="1"/>
  <c r="N132" i="2" s="1"/>
  <c r="N122" i="2" a="1"/>
  <c r="N122" i="2" s="1"/>
  <c r="N110" i="2" a="1"/>
  <c r="N110" i="2" s="1"/>
  <c r="N99" i="2" a="1"/>
  <c r="N99" i="2" s="1"/>
  <c r="N88" i="2" a="1"/>
  <c r="N88" i="2" s="1"/>
  <c r="N78" i="2" a="1"/>
  <c r="N78" i="2" s="1"/>
  <c r="N68" i="2" a="1"/>
  <c r="N68" i="2" s="1"/>
  <c r="N57" i="2" a="1"/>
  <c r="N57" i="2" s="1"/>
  <c r="N47" i="2" a="1"/>
  <c r="N47" i="2" s="1"/>
  <c r="N37" i="2" a="1"/>
  <c r="N37" i="2" s="1"/>
  <c r="N16" i="2" a="1"/>
  <c r="N16" i="2" s="1"/>
  <c r="N6" i="2" a="1"/>
  <c r="N6" i="2" s="1"/>
  <c r="N528" i="2" a="1"/>
  <c r="N528" i="2" s="1"/>
  <c r="N368" i="2" a="1"/>
  <c r="N368" i="2" s="1"/>
  <c r="N225" i="2" a="1"/>
  <c r="N225" i="2" s="1"/>
  <c r="N106" i="2" a="1"/>
  <c r="N106" i="2" s="1"/>
  <c r="N594" i="2" a="1"/>
  <c r="N594" i="2" s="1"/>
  <c r="N578" i="2" a="1"/>
  <c r="N578" i="2" s="1"/>
  <c r="N570" i="2" a="1"/>
  <c r="N570" i="2" s="1"/>
  <c r="N554" i="2" a="1"/>
  <c r="N554" i="2" s="1"/>
  <c r="N546" i="2" a="1"/>
  <c r="N546" i="2" s="1"/>
  <c r="N530" i="2" a="1"/>
  <c r="N530" i="2" s="1"/>
  <c r="N522" i="2" a="1"/>
  <c r="N522" i="2" s="1"/>
  <c r="N515" i="2" a="1"/>
  <c r="N515" i="2" s="1"/>
  <c r="N505" i="2" a="1"/>
  <c r="N505" i="2" s="1"/>
  <c r="N494" i="2" a="1"/>
  <c r="N494" i="2" s="1"/>
  <c r="N472" i="2" a="1"/>
  <c r="N472" i="2" s="1"/>
  <c r="N461" i="2" a="1"/>
  <c r="N461" i="2" s="1"/>
  <c r="N450" i="2" a="1"/>
  <c r="N450" i="2" s="1"/>
  <c r="N438" i="2" a="1"/>
  <c r="N438" i="2" s="1"/>
  <c r="N427" i="2" a="1"/>
  <c r="N427" i="2" s="1"/>
  <c r="N416" i="2" a="1"/>
  <c r="N416" i="2" s="1"/>
  <c r="N405" i="2" a="1"/>
  <c r="N405" i="2" s="1"/>
  <c r="N394" i="2" a="1"/>
  <c r="N394" i="2" s="1"/>
  <c r="N383" i="2" a="1"/>
  <c r="N383" i="2" s="1"/>
  <c r="N371" i="2" a="1"/>
  <c r="N371" i="2" s="1"/>
  <c r="N359" i="2" a="1"/>
  <c r="N359" i="2" s="1"/>
  <c r="N349" i="2" a="1"/>
  <c r="N349" i="2" s="1"/>
  <c r="N338" i="2" a="1"/>
  <c r="N338" i="2" s="1"/>
  <c r="N316" i="2" a="1"/>
  <c r="N316" i="2" s="1"/>
  <c r="N304" i="2" a="1"/>
  <c r="N304" i="2" s="1"/>
  <c r="N294" i="2" a="1"/>
  <c r="N294" i="2" s="1"/>
  <c r="N283" i="2" a="1"/>
  <c r="N283" i="2" s="1"/>
  <c r="N272" i="2" a="1"/>
  <c r="N272" i="2" s="1"/>
  <c r="N261" i="2" a="1"/>
  <c r="N261" i="2" s="1"/>
  <c r="N250" i="2" a="1"/>
  <c r="N250" i="2" s="1"/>
  <c r="N239" i="2" a="1"/>
  <c r="N239" i="2" s="1"/>
  <c r="N228" i="2" a="1"/>
  <c r="N228" i="2" s="1"/>
  <c r="N217" i="2" a="1"/>
  <c r="N217" i="2" s="1"/>
  <c r="N196" i="2" a="1"/>
  <c r="N196" i="2" s="1"/>
  <c r="N185" i="2" a="1"/>
  <c r="N185" i="2" s="1"/>
  <c r="N175" i="2" a="1"/>
  <c r="N175" i="2" s="1"/>
  <c r="N163" i="2" a="1"/>
  <c r="N163" i="2" s="1"/>
  <c r="N141" i="2" a="1"/>
  <c r="N141" i="2" s="1"/>
  <c r="N131" i="2" a="1"/>
  <c r="N131" i="2" s="1"/>
  <c r="N121" i="2" a="1"/>
  <c r="N121" i="2" s="1"/>
  <c r="N109" i="2" a="1"/>
  <c r="N109" i="2" s="1"/>
  <c r="N98" i="2" a="1"/>
  <c r="N98" i="2" s="1"/>
  <c r="N87" i="2" a="1"/>
  <c r="N87" i="2" s="1"/>
  <c r="N77" i="2" a="1"/>
  <c r="N77" i="2" s="1"/>
  <c r="N67" i="2" a="1"/>
  <c r="N67" i="2" s="1"/>
  <c r="N46" i="2" a="1"/>
  <c r="N46" i="2" s="1"/>
  <c r="N36" i="2" a="1"/>
  <c r="N36" i="2" s="1"/>
  <c r="N26" i="2" a="1"/>
  <c r="N26" i="2" s="1"/>
  <c r="N15" i="2" a="1"/>
  <c r="N15" i="2" s="1"/>
  <c r="N5" i="2" a="1"/>
  <c r="N5" i="2" s="1"/>
  <c r="N435" i="2" a="1"/>
  <c r="N435" i="2" s="1"/>
  <c r="N54" i="2" a="1"/>
  <c r="N54" i="2" s="1"/>
  <c r="N590" i="2" a="1"/>
  <c r="N590" i="2" s="1"/>
  <c r="N602" i="2" a="1"/>
  <c r="N602" i="2" s="1"/>
  <c r="N586" i="2" a="1"/>
  <c r="N586" i="2" s="1"/>
  <c r="N562" i="2" a="1"/>
  <c r="N562" i="2" s="1"/>
  <c r="N538" i="2" a="1"/>
  <c r="N538" i="2" s="1"/>
  <c r="N504" i="2" a="1"/>
  <c r="N504" i="2" s="1"/>
  <c r="N493" i="2" a="1"/>
  <c r="N493" i="2" s="1"/>
  <c r="N482" i="2" a="1"/>
  <c r="N482" i="2" s="1"/>
  <c r="N471" i="2" a="1"/>
  <c r="N471" i="2" s="1"/>
  <c r="N460" i="2" a="1"/>
  <c r="N460" i="2" s="1"/>
  <c r="N449" i="2" a="1"/>
  <c r="N449" i="2" s="1"/>
  <c r="N437" i="2" a="1"/>
  <c r="N437" i="2" s="1"/>
  <c r="N426" i="2" a="1"/>
  <c r="N426" i="2" s="1"/>
  <c r="N415" i="2" a="1"/>
  <c r="N415" i="2" s="1"/>
  <c r="N393" i="2" a="1"/>
  <c r="N393" i="2" s="1"/>
  <c r="N382" i="2" a="1"/>
  <c r="N382" i="2" s="1"/>
  <c r="N370" i="2" a="1"/>
  <c r="N370" i="2" s="1"/>
  <c r="N358" i="2" a="1"/>
  <c r="N358" i="2" s="1"/>
  <c r="N348" i="2" a="1"/>
  <c r="N348" i="2" s="1"/>
  <c r="N337" i="2" a="1"/>
  <c r="N337" i="2" s="1"/>
  <c r="N326" i="2" a="1"/>
  <c r="N326" i="2" s="1"/>
  <c r="N315" i="2" a="1"/>
  <c r="N315" i="2" s="1"/>
  <c r="N303" i="2" a="1"/>
  <c r="N303" i="2" s="1"/>
  <c r="N293" i="2" a="1"/>
  <c r="N293" i="2" s="1"/>
  <c r="N282" i="2" a="1"/>
  <c r="N282" i="2" s="1"/>
  <c r="N271" i="2" a="1"/>
  <c r="N271" i="2" s="1"/>
  <c r="N260" i="2" a="1"/>
  <c r="N260" i="2" s="1"/>
  <c r="N249" i="2" a="1"/>
  <c r="N249" i="2" s="1"/>
  <c r="N238" i="2" a="1"/>
  <c r="N238" i="2" s="1"/>
  <c r="N227" i="2" a="1"/>
  <c r="N227" i="2" s="1"/>
  <c r="N216" i="2" a="1"/>
  <c r="N216" i="2" s="1"/>
  <c r="N206" i="2" a="1"/>
  <c r="N206" i="2" s="1"/>
  <c r="N195" i="2" a="1"/>
  <c r="N195" i="2" s="1"/>
  <c r="N184" i="2" a="1"/>
  <c r="N184" i="2" s="1"/>
  <c r="N174" i="2" a="1"/>
  <c r="N174" i="2" s="1"/>
  <c r="N162" i="2" a="1"/>
  <c r="N162" i="2" s="1"/>
  <c r="N152" i="2" a="1"/>
  <c r="N152" i="2" s="1"/>
  <c r="N130" i="2" a="1"/>
  <c r="N130" i="2" s="1"/>
  <c r="N120" i="2" a="1"/>
  <c r="N120" i="2" s="1"/>
  <c r="N108" i="2" a="1"/>
  <c r="N108" i="2" s="1"/>
  <c r="N97" i="2" a="1"/>
  <c r="N97" i="2" s="1"/>
  <c r="N76" i="2" a="1"/>
  <c r="N76" i="2" s="1"/>
  <c r="N66" i="2" a="1"/>
  <c r="N66" i="2" s="1"/>
  <c r="N56" i="2" a="1"/>
  <c r="N56" i="2" s="1"/>
  <c r="N45" i="2" a="1"/>
  <c r="N45" i="2" s="1"/>
  <c r="N35" i="2" a="1"/>
  <c r="N35" i="2" s="1"/>
  <c r="N25" i="2" a="1"/>
  <c r="N25" i="2" s="1"/>
  <c r="N4" i="2" a="1"/>
  <c r="N4" i="2" s="1"/>
  <c r="N44" i="2" a="1"/>
  <c r="N44" i="2" s="1"/>
  <c r="N601" i="2" a="1"/>
  <c r="N601" i="2" s="1"/>
  <c r="N593" i="2" a="1"/>
  <c r="N593" i="2" s="1"/>
  <c r="N585" i="2" a="1"/>
  <c r="N585" i="2" s="1"/>
  <c r="N577" i="2" a="1"/>
  <c r="N577" i="2" s="1"/>
  <c r="N569" i="2" a="1"/>
  <c r="N569" i="2" s="1"/>
  <c r="N561" i="2" a="1"/>
  <c r="N561" i="2" s="1"/>
  <c r="N553" i="2" a="1"/>
  <c r="N553" i="2" s="1"/>
  <c r="N545" i="2" a="1"/>
  <c r="N545" i="2" s="1"/>
  <c r="N537" i="2" a="1"/>
  <c r="N537" i="2" s="1"/>
  <c r="N529" i="2" a="1"/>
  <c r="N529" i="2" s="1"/>
  <c r="N521" i="2" a="1"/>
  <c r="N521" i="2" s="1"/>
  <c r="N514" i="2" a="1"/>
  <c r="N514" i="2" s="1"/>
  <c r="N503" i="2" a="1"/>
  <c r="N503" i="2" s="1"/>
  <c r="N492" i="2" a="1"/>
  <c r="N492" i="2" s="1"/>
  <c r="N481" i="2" a="1"/>
  <c r="N481" i="2" s="1"/>
  <c r="N470" i="2" a="1"/>
  <c r="N470" i="2" s="1"/>
  <c r="N459" i="2" a="1"/>
  <c r="N459" i="2" s="1"/>
  <c r="N448" i="2" a="1"/>
  <c r="N448" i="2" s="1"/>
  <c r="N436" i="2" a="1"/>
  <c r="N436" i="2" s="1"/>
  <c r="N425" i="2" a="1"/>
  <c r="N425" i="2" s="1"/>
  <c r="N414" i="2" a="1"/>
  <c r="N414" i="2" s="1"/>
  <c r="N404" i="2" a="1"/>
  <c r="N404" i="2" s="1"/>
  <c r="N381" i="2" a="1"/>
  <c r="N381" i="2" s="1"/>
  <c r="N369" i="2" a="1"/>
  <c r="N369" i="2" s="1"/>
  <c r="N357" i="2" a="1"/>
  <c r="N357" i="2" s="1"/>
  <c r="N347" i="2" a="1"/>
  <c r="N347" i="2" s="1"/>
  <c r="N336" i="2" a="1"/>
  <c r="N336" i="2" s="1"/>
  <c r="N325" i="2" a="1"/>
  <c r="N325" i="2" s="1"/>
  <c r="N314" i="2" a="1"/>
  <c r="N314" i="2" s="1"/>
  <c r="N292" i="2" a="1"/>
  <c r="N292" i="2" s="1"/>
  <c r="N281" i="2" a="1"/>
  <c r="N281" i="2" s="1"/>
  <c r="N270" i="2" a="1"/>
  <c r="N270" i="2" s="1"/>
  <c r="N259" i="2" a="1"/>
  <c r="N259" i="2" s="1"/>
  <c r="N237" i="2" a="1"/>
  <c r="N237" i="2" s="1"/>
  <c r="N226" i="2" a="1"/>
  <c r="N226" i="2" s="1"/>
  <c r="N215" i="2" a="1"/>
  <c r="N215" i="2" s="1"/>
  <c r="N205" i="2" a="1"/>
  <c r="N205" i="2" s="1"/>
  <c r="N183" i="2" a="1"/>
  <c r="N183" i="2" s="1"/>
  <c r="N173" i="2" a="1"/>
  <c r="N173" i="2" s="1"/>
  <c r="N161" i="2" a="1"/>
  <c r="N161" i="2" s="1"/>
  <c r="N151" i="2" a="1"/>
  <c r="N151" i="2" s="1"/>
  <c r="N140" i="2" a="1"/>
  <c r="N140" i="2" s="1"/>
  <c r="N129" i="2" a="1"/>
  <c r="N129" i="2" s="1"/>
  <c r="N119" i="2" a="1"/>
  <c r="N119" i="2" s="1"/>
  <c r="N107" i="2" a="1"/>
  <c r="N107" i="2" s="1"/>
  <c r="N96" i="2" a="1"/>
  <c r="N96" i="2" s="1"/>
  <c r="N86" i="2" a="1"/>
  <c r="N86" i="2" s="1"/>
  <c r="N75" i="2" a="1"/>
  <c r="N75" i="2" s="1"/>
  <c r="N65" i="2" a="1"/>
  <c r="N65" i="2" s="1"/>
  <c r="N55" i="2" a="1"/>
  <c r="N55" i="2" s="1"/>
  <c r="N34" i="2" a="1"/>
  <c r="N34" i="2" s="1"/>
  <c r="N24" i="2" a="1"/>
  <c r="N24" i="2" s="1"/>
  <c r="N14" i="2" a="1"/>
  <c r="N14" i="2" s="1"/>
  <c r="N3" i="2" a="1"/>
  <c r="N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<sst xmlns="http://schemas.openxmlformats.org/spreadsheetml/2006/main" count="13414" uniqueCount="1160">
  <si>
    <t>loan_id</t>
  </si>
  <si>
    <t>borrower_id</t>
  </si>
  <si>
    <t>application_date</t>
  </si>
  <si>
    <t>loan_purpose</t>
  </si>
  <si>
    <t>loan_amount</t>
  </si>
  <si>
    <t>term_months</t>
  </si>
  <si>
    <t>interest_rate</t>
  </si>
  <si>
    <t>monthly_payment</t>
  </si>
  <si>
    <t>dti_ratio</t>
  </si>
  <si>
    <t>loan_status</t>
  </si>
  <si>
    <t>days_delinquent</t>
  </si>
  <si>
    <t>defaulted</t>
  </si>
  <si>
    <t>LN-00001</t>
  </si>
  <si>
    <t>BRW-0001</t>
  </si>
  <si>
    <t>Vacation</t>
  </si>
  <si>
    <t>Paid Off</t>
  </si>
  <si>
    <t>LN-00002</t>
  </si>
  <si>
    <t>Major Purchase</t>
  </si>
  <si>
    <t>Default</t>
  </si>
  <si>
    <t>LN-00003</t>
  </si>
  <si>
    <t>BRW-0002</t>
  </si>
  <si>
    <t>Moving</t>
  </si>
  <si>
    <t>LN-00004</t>
  </si>
  <si>
    <t>BRW-0003</t>
  </si>
  <si>
    <t>Auto Loan</t>
  </si>
  <si>
    <t>LN-00005</t>
  </si>
  <si>
    <t>BRW-0004</t>
  </si>
  <si>
    <t>Current</t>
  </si>
  <si>
    <t>LN-00006</t>
  </si>
  <si>
    <t>BRW-0005</t>
  </si>
  <si>
    <t>Education</t>
  </si>
  <si>
    <t>LN-00007</t>
  </si>
  <si>
    <t>BRW-0006</t>
  </si>
  <si>
    <t>Medical Expenses</t>
  </si>
  <si>
    <t>LN-00008</t>
  </si>
  <si>
    <t>BRW-0007</t>
  </si>
  <si>
    <t>Home Improvement</t>
  </si>
  <si>
    <t>LN-00009</t>
  </si>
  <si>
    <t>Business Loan</t>
  </si>
  <si>
    <t>LN-00010</t>
  </si>
  <si>
    <t>BRW-0008</t>
  </si>
  <si>
    <t>Debt Consolidation</t>
  </si>
  <si>
    <t>LN-00011</t>
  </si>
  <si>
    <t>BRW-0009</t>
  </si>
  <si>
    <t>LN-00012</t>
  </si>
  <si>
    <t>LN-00013</t>
  </si>
  <si>
    <t>BRW-0010</t>
  </si>
  <si>
    <t>Wedding</t>
  </si>
  <si>
    <t>LN-00014</t>
  </si>
  <si>
    <t>BRW-0011</t>
  </si>
  <si>
    <t>LN-00015</t>
  </si>
  <si>
    <t>BRW-0012</t>
  </si>
  <si>
    <t>LN-00016</t>
  </si>
  <si>
    <t>LN-00017</t>
  </si>
  <si>
    <t>BRW-0013</t>
  </si>
  <si>
    <t>LN-00018</t>
  </si>
  <si>
    <t>LN-00019</t>
  </si>
  <si>
    <t>BRW-0014</t>
  </si>
  <si>
    <t>LN-00020</t>
  </si>
  <si>
    <t>BRW-0015</t>
  </si>
  <si>
    <t>LN-00021</t>
  </si>
  <si>
    <t>BRW-0016</t>
  </si>
  <si>
    <t>Late</t>
  </si>
  <si>
    <t>LN-00022</t>
  </si>
  <si>
    <t>BRW-0017</t>
  </si>
  <si>
    <t>LN-00023</t>
  </si>
  <si>
    <t>BRW-0018</t>
  </si>
  <si>
    <t>LN-00024</t>
  </si>
  <si>
    <t>BRW-0019</t>
  </si>
  <si>
    <t>LN-00025</t>
  </si>
  <si>
    <t>BRW-0020</t>
  </si>
  <si>
    <t>LN-00026</t>
  </si>
  <si>
    <t>BRW-0021</t>
  </si>
  <si>
    <t>LN-00027</t>
  </si>
  <si>
    <t>LN-00028</t>
  </si>
  <si>
    <t>BRW-0022</t>
  </si>
  <si>
    <t>LN-00029</t>
  </si>
  <si>
    <t>LN-00030</t>
  </si>
  <si>
    <t>BRW-0023</t>
  </si>
  <si>
    <t>LN-00031</t>
  </si>
  <si>
    <t>LN-00032</t>
  </si>
  <si>
    <t>BRW-0024</t>
  </si>
  <si>
    <t>LN-00033</t>
  </si>
  <si>
    <t>BRW-0025</t>
  </si>
  <si>
    <t>LN-00034</t>
  </si>
  <si>
    <t>BRW-0026</t>
  </si>
  <si>
    <t>LN-00035</t>
  </si>
  <si>
    <t>BRW-0027</t>
  </si>
  <si>
    <t>LN-00036</t>
  </si>
  <si>
    <t>BRW-0028</t>
  </si>
  <si>
    <t>LN-00037</t>
  </si>
  <si>
    <t>BRW-0029</t>
  </si>
  <si>
    <t>LN-00038</t>
  </si>
  <si>
    <t>BRW-0030</t>
  </si>
  <si>
    <t>LN-00039</t>
  </si>
  <si>
    <t>BRW-0031</t>
  </si>
  <si>
    <t>LN-00040</t>
  </si>
  <si>
    <t>BRW-0032</t>
  </si>
  <si>
    <t>LN-00041</t>
  </si>
  <si>
    <t>BRW-0033</t>
  </si>
  <si>
    <t>LN-00042</t>
  </si>
  <si>
    <t>BRW-0034</t>
  </si>
  <si>
    <t>LN-00043</t>
  </si>
  <si>
    <t>LN-00044</t>
  </si>
  <si>
    <t>BRW-0035</t>
  </si>
  <si>
    <t>LN-00045</t>
  </si>
  <si>
    <t>LN-00046</t>
  </si>
  <si>
    <t>BRW-0036</t>
  </si>
  <si>
    <t>LN-00047</t>
  </si>
  <si>
    <t>BRW-0037</t>
  </si>
  <si>
    <t>LN-00048</t>
  </si>
  <si>
    <t>BRW-0038</t>
  </si>
  <si>
    <t>LN-00049</t>
  </si>
  <si>
    <t>LN-00050</t>
  </si>
  <si>
    <t>BRW-0039</t>
  </si>
  <si>
    <t>LN-00051</t>
  </si>
  <si>
    <t>BRW-0040</t>
  </si>
  <si>
    <t>LN-00052</t>
  </si>
  <si>
    <t>BRW-0041</t>
  </si>
  <si>
    <t>LN-00053</t>
  </si>
  <si>
    <t>LN-00054</t>
  </si>
  <si>
    <t>BRW-0042</t>
  </si>
  <si>
    <t>LN-00055</t>
  </si>
  <si>
    <t>BRW-0043</t>
  </si>
  <si>
    <t>LN-00056</t>
  </si>
  <si>
    <t>BRW-0044</t>
  </si>
  <si>
    <t>LN-00057</t>
  </si>
  <si>
    <t>BRW-0045</t>
  </si>
  <si>
    <t>LN-00058</t>
  </si>
  <si>
    <t>BRW-0046</t>
  </si>
  <si>
    <t>LN-00059</t>
  </si>
  <si>
    <t>BRW-0047</t>
  </si>
  <si>
    <t>LN-00060</t>
  </si>
  <si>
    <t>BRW-0048</t>
  </si>
  <si>
    <t>LN-00061</t>
  </si>
  <si>
    <t>BRW-0049</t>
  </si>
  <si>
    <t>LN-00062</t>
  </si>
  <si>
    <t>BRW-0050</t>
  </si>
  <si>
    <t>LN-00063</t>
  </si>
  <si>
    <t>BRW-0051</t>
  </si>
  <si>
    <t>LN-00064</t>
  </si>
  <si>
    <t>BRW-0052</t>
  </si>
  <si>
    <t>LN-00065</t>
  </si>
  <si>
    <t>LN-00066</t>
  </si>
  <si>
    <t>BRW-0053</t>
  </si>
  <si>
    <t>LN-00067</t>
  </si>
  <si>
    <t>BRW-0054</t>
  </si>
  <si>
    <t>LN-00068</t>
  </si>
  <si>
    <t>BRW-0055</t>
  </si>
  <si>
    <t>LN-00069</t>
  </si>
  <si>
    <t>BRW-0056</t>
  </si>
  <si>
    <t>LN-00070</t>
  </si>
  <si>
    <t>BRW-0057</t>
  </si>
  <si>
    <t>LN-00071</t>
  </si>
  <si>
    <t>BRW-0058</t>
  </si>
  <si>
    <t>LN-00072</t>
  </si>
  <si>
    <t>LN-00073</t>
  </si>
  <si>
    <t>BRW-0059</t>
  </si>
  <si>
    <t>LN-00074</t>
  </si>
  <si>
    <t>BRW-0060</t>
  </si>
  <si>
    <t>LN-00075</t>
  </si>
  <si>
    <t>BRW-0061</t>
  </si>
  <si>
    <t>LN-00076</t>
  </si>
  <si>
    <t>BRW-0062</t>
  </si>
  <si>
    <t>LN-00077</t>
  </si>
  <si>
    <t>LN-00078</t>
  </si>
  <si>
    <t>BRW-0063</t>
  </si>
  <si>
    <t>LN-00079</t>
  </si>
  <si>
    <t>BRW-0064</t>
  </si>
  <si>
    <t>LN-00080</t>
  </si>
  <si>
    <t>BRW-0065</t>
  </si>
  <si>
    <t>LN-00081</t>
  </si>
  <si>
    <t>LN-00082</t>
  </si>
  <si>
    <t>BRW-0066</t>
  </si>
  <si>
    <t>LN-00083</t>
  </si>
  <si>
    <t>LN-00084</t>
  </si>
  <si>
    <t>BRW-0067</t>
  </si>
  <si>
    <t>LN-00085</t>
  </si>
  <si>
    <t>BRW-0068</t>
  </si>
  <si>
    <t>LN-00086</t>
  </si>
  <si>
    <t>BRW-0069</t>
  </si>
  <si>
    <t>LN-00087</t>
  </si>
  <si>
    <t>BRW-0070</t>
  </si>
  <si>
    <t>LN-00088</t>
  </si>
  <si>
    <t>LN-00089</t>
  </si>
  <si>
    <t>BRW-0071</t>
  </si>
  <si>
    <t>LN-00090</t>
  </si>
  <si>
    <t>LN-00091</t>
  </si>
  <si>
    <t>BRW-0072</t>
  </si>
  <si>
    <t>LN-00092</t>
  </si>
  <si>
    <t>BRW-0073</t>
  </si>
  <si>
    <t>LN-00093</t>
  </si>
  <si>
    <t>BRW-0074</t>
  </si>
  <si>
    <t>LN-00094</t>
  </si>
  <si>
    <t>BRW-0075</t>
  </si>
  <si>
    <t>LN-00095</t>
  </si>
  <si>
    <t>BRW-0076</t>
  </si>
  <si>
    <t>LN-00096</t>
  </si>
  <si>
    <t>BRW-0077</t>
  </si>
  <si>
    <t>LN-00097</t>
  </si>
  <si>
    <t>BRW-0078</t>
  </si>
  <si>
    <t>LN-00098</t>
  </si>
  <si>
    <t>BRW-0079</t>
  </si>
  <si>
    <t>LN-00099</t>
  </si>
  <si>
    <t>BRW-0080</t>
  </si>
  <si>
    <t>LN-00100</t>
  </si>
  <si>
    <t>LN-00101</t>
  </si>
  <si>
    <t>BRW-0081</t>
  </si>
  <si>
    <t>LN-00102</t>
  </si>
  <si>
    <t>BRW-0082</t>
  </si>
  <si>
    <t>LN-00103</t>
  </si>
  <si>
    <t>BRW-0083</t>
  </si>
  <si>
    <t>LN-00104</t>
  </si>
  <si>
    <t>BRW-0084</t>
  </si>
  <si>
    <t>LN-00105</t>
  </si>
  <si>
    <t>LN-00106</t>
  </si>
  <si>
    <t>BRW-0085</t>
  </si>
  <si>
    <t>LN-00107</t>
  </si>
  <si>
    <t>BRW-0086</t>
  </si>
  <si>
    <t>LN-00108</t>
  </si>
  <si>
    <t>BRW-0087</t>
  </si>
  <si>
    <t>LN-00109</t>
  </si>
  <si>
    <t>BRW-0088</t>
  </si>
  <si>
    <t>LN-00110</t>
  </si>
  <si>
    <t>BRW-0089</t>
  </si>
  <si>
    <t>LN-00111</t>
  </si>
  <si>
    <t>BRW-0090</t>
  </si>
  <si>
    <t>LN-00112</t>
  </si>
  <si>
    <t>BRW-0091</t>
  </si>
  <si>
    <t>LN-00113</t>
  </si>
  <si>
    <t>BRW-0092</t>
  </si>
  <si>
    <t>LN-00114</t>
  </si>
  <si>
    <t>LN-00115</t>
  </si>
  <si>
    <t>BRW-0093</t>
  </si>
  <si>
    <t>LN-00116</t>
  </si>
  <si>
    <t>BRW-0094</t>
  </si>
  <si>
    <t>LN-00117</t>
  </si>
  <si>
    <t>BRW-0095</t>
  </si>
  <si>
    <t>LN-00118</t>
  </si>
  <si>
    <t>LN-00119</t>
  </si>
  <si>
    <t>BRW-0096</t>
  </si>
  <si>
    <t>LN-00120</t>
  </si>
  <si>
    <t>BRW-0097</t>
  </si>
  <si>
    <t>LN-00121</t>
  </si>
  <si>
    <t>BRW-0098</t>
  </si>
  <si>
    <t>LN-00122</t>
  </si>
  <si>
    <t>BRW-0099</t>
  </si>
  <si>
    <t>LN-00123</t>
  </si>
  <si>
    <t>BRW-0100</t>
  </si>
  <si>
    <t>LN-00124</t>
  </si>
  <si>
    <t>BRW-0101</t>
  </si>
  <si>
    <t>LN-00125</t>
  </si>
  <si>
    <t>BRW-0102</t>
  </si>
  <si>
    <t>LN-00126</t>
  </si>
  <si>
    <t>BRW-0103</t>
  </si>
  <si>
    <t>LN-00127</t>
  </si>
  <si>
    <t>BRW-0104</t>
  </si>
  <si>
    <t>LN-00128</t>
  </si>
  <si>
    <t>LN-00129</t>
  </si>
  <si>
    <t>BRW-0105</t>
  </si>
  <si>
    <t>LN-00130</t>
  </si>
  <si>
    <t>BRW-0106</t>
  </si>
  <si>
    <t>LN-00131</t>
  </si>
  <si>
    <t>BRW-0107</t>
  </si>
  <si>
    <t>LN-00132</t>
  </si>
  <si>
    <t>BRW-0108</t>
  </si>
  <si>
    <t>LN-00133</t>
  </si>
  <si>
    <t>BRW-0109</t>
  </si>
  <si>
    <t>LN-00134</t>
  </si>
  <si>
    <t>BRW-0110</t>
  </si>
  <si>
    <t>LN-00135</t>
  </si>
  <si>
    <t>LN-00136</t>
  </si>
  <si>
    <t>BRW-0111</t>
  </si>
  <si>
    <t>LN-00137</t>
  </si>
  <si>
    <t>BRW-0112</t>
  </si>
  <si>
    <t>LN-00138</t>
  </si>
  <si>
    <t>LN-00139</t>
  </si>
  <si>
    <t>BRW-0113</t>
  </si>
  <si>
    <t>LN-00140</t>
  </si>
  <si>
    <t>BRW-0114</t>
  </si>
  <si>
    <t>LN-00141</t>
  </si>
  <si>
    <t>BRW-0115</t>
  </si>
  <si>
    <t>LN-00142</t>
  </si>
  <si>
    <t>LN-00143</t>
  </si>
  <si>
    <t>BRW-0116</t>
  </si>
  <si>
    <t>LN-00144</t>
  </si>
  <si>
    <t>BRW-0117</t>
  </si>
  <si>
    <t>LN-00145</t>
  </si>
  <si>
    <t>BRW-0118</t>
  </si>
  <si>
    <t>LN-00146</t>
  </si>
  <si>
    <t>BRW-0119</t>
  </si>
  <si>
    <t>LN-00147</t>
  </si>
  <si>
    <t>BRW-0120</t>
  </si>
  <si>
    <t>LN-00148</t>
  </si>
  <si>
    <t>BRW-0121</t>
  </si>
  <si>
    <t>LN-00149</t>
  </si>
  <si>
    <t>BRW-0122</t>
  </si>
  <si>
    <t>LN-00150</t>
  </si>
  <si>
    <t>BRW-0123</t>
  </si>
  <si>
    <t>LN-00151</t>
  </si>
  <si>
    <t>BRW-0124</t>
  </si>
  <si>
    <t>LN-00152</t>
  </si>
  <si>
    <t>BRW-0125</t>
  </si>
  <si>
    <t>LN-00153</t>
  </si>
  <si>
    <t>BRW-0126</t>
  </si>
  <si>
    <t>LN-00154</t>
  </si>
  <si>
    <t>BRW-0127</t>
  </si>
  <si>
    <t>LN-00155</t>
  </si>
  <si>
    <t>BRW-0128</t>
  </si>
  <si>
    <t>LN-00156</t>
  </si>
  <si>
    <t>BRW-0129</t>
  </si>
  <si>
    <t>LN-00157</t>
  </si>
  <si>
    <t>BRW-0130</t>
  </si>
  <si>
    <t>LN-00158</t>
  </si>
  <si>
    <t>BRW-0131</t>
  </si>
  <si>
    <t>LN-00159</t>
  </si>
  <si>
    <t>LN-00160</t>
  </si>
  <si>
    <t>BRW-0132</t>
  </si>
  <si>
    <t>LN-00161</t>
  </si>
  <si>
    <t>BRW-0133</t>
  </si>
  <si>
    <t>LN-00162</t>
  </si>
  <si>
    <t>LN-00163</t>
  </si>
  <si>
    <t>BRW-0134</t>
  </si>
  <si>
    <t>LN-00164</t>
  </si>
  <si>
    <t>BRW-0135</t>
  </si>
  <si>
    <t>LN-00165</t>
  </si>
  <si>
    <t>BRW-0136</t>
  </si>
  <si>
    <t>LN-00166</t>
  </si>
  <si>
    <t>LN-00167</t>
  </si>
  <si>
    <t>BRW-0137</t>
  </si>
  <si>
    <t>LN-00168</t>
  </si>
  <si>
    <t>BRW-0138</t>
  </si>
  <si>
    <t>LN-00169</t>
  </si>
  <si>
    <t>LN-00170</t>
  </si>
  <si>
    <t>BRW-0139</t>
  </si>
  <si>
    <t>LN-00171</t>
  </si>
  <si>
    <t>BRW-0140</t>
  </si>
  <si>
    <t>LN-00172</t>
  </si>
  <si>
    <t>BRW-0141</t>
  </si>
  <si>
    <t>LN-00173</t>
  </si>
  <si>
    <t>BRW-0142</t>
  </si>
  <si>
    <t>LN-00174</t>
  </si>
  <si>
    <t>LN-00175</t>
  </si>
  <si>
    <t>BRW-0143</t>
  </si>
  <si>
    <t>LN-00176</t>
  </si>
  <si>
    <t>BRW-0144</t>
  </si>
  <si>
    <t>LN-00177</t>
  </si>
  <si>
    <t>BRW-0145</t>
  </si>
  <si>
    <t>LN-00178</t>
  </si>
  <si>
    <t>BRW-0146</t>
  </si>
  <si>
    <t>LN-00179</t>
  </si>
  <si>
    <t>BRW-0147</t>
  </si>
  <si>
    <t>LN-00180</t>
  </si>
  <si>
    <t>BRW-0148</t>
  </si>
  <si>
    <t>LN-00181</t>
  </si>
  <si>
    <t>BRW-0149</t>
  </si>
  <si>
    <t>LN-00182</t>
  </si>
  <si>
    <t>BRW-0150</t>
  </si>
  <si>
    <t>LN-00183</t>
  </si>
  <si>
    <t>BRW-0151</t>
  </si>
  <si>
    <t>LN-00184</t>
  </si>
  <si>
    <t>BRW-0152</t>
  </si>
  <si>
    <t>LN-00185</t>
  </si>
  <si>
    <t>BRW-0153</t>
  </si>
  <si>
    <t>LN-00186</t>
  </si>
  <si>
    <t>BRW-0154</t>
  </si>
  <si>
    <t>LN-00187</t>
  </si>
  <si>
    <t>LN-00188</t>
  </si>
  <si>
    <t>BRW-0155</t>
  </si>
  <si>
    <t>LN-00189</t>
  </si>
  <si>
    <t>LN-00190</t>
  </si>
  <si>
    <t>BRW-0156</t>
  </si>
  <si>
    <t>LN-00191</t>
  </si>
  <si>
    <t>LN-00192</t>
  </si>
  <si>
    <t>BRW-0157</t>
  </si>
  <si>
    <t>LN-00193</t>
  </si>
  <si>
    <t>BRW-0158</t>
  </si>
  <si>
    <t>LN-00194</t>
  </si>
  <si>
    <t>BRW-0159</t>
  </si>
  <si>
    <t>LN-00195</t>
  </si>
  <si>
    <t>LN-00196</t>
  </si>
  <si>
    <t>BRW-0160</t>
  </si>
  <si>
    <t>LN-00197</t>
  </si>
  <si>
    <t>BRW-0161</t>
  </si>
  <si>
    <t>LN-00198</t>
  </si>
  <si>
    <t>BRW-0162</t>
  </si>
  <si>
    <t>LN-00199</t>
  </si>
  <si>
    <t>BRW-0163</t>
  </si>
  <si>
    <t>LN-00200</t>
  </si>
  <si>
    <t>BRW-0164</t>
  </si>
  <si>
    <t>LN-00201</t>
  </si>
  <si>
    <t>BRW-0165</t>
  </si>
  <si>
    <t>LN-00202</t>
  </si>
  <si>
    <t>BRW-0166</t>
  </si>
  <si>
    <t>LN-00203</t>
  </si>
  <si>
    <t>BRW-0167</t>
  </si>
  <si>
    <t>LN-00204</t>
  </si>
  <si>
    <t>BRW-0168</t>
  </si>
  <si>
    <t>LN-00205</t>
  </si>
  <si>
    <t>LN-00206</t>
  </si>
  <si>
    <t>BRW-0169</t>
  </si>
  <si>
    <t>LN-00207</t>
  </si>
  <si>
    <t>BRW-0170</t>
  </si>
  <si>
    <t>LN-00208</t>
  </si>
  <si>
    <t>BRW-0171</t>
  </si>
  <si>
    <t>LN-00209</t>
  </si>
  <si>
    <t>LN-00210</t>
  </si>
  <si>
    <t>BRW-0172</t>
  </si>
  <si>
    <t>LN-00211</t>
  </si>
  <si>
    <t>BRW-0173</t>
  </si>
  <si>
    <t>LN-00212</t>
  </si>
  <si>
    <t>BRW-0174</t>
  </si>
  <si>
    <t>LN-00213</t>
  </si>
  <si>
    <t>BRW-0175</t>
  </si>
  <si>
    <t>LN-00214</t>
  </si>
  <si>
    <t>BRW-0176</t>
  </si>
  <si>
    <t>LN-00215</t>
  </si>
  <si>
    <t>BRW-0177</t>
  </si>
  <si>
    <t>LN-00216</t>
  </si>
  <si>
    <t>BRW-0178</t>
  </si>
  <si>
    <t>LN-00217</t>
  </si>
  <si>
    <t>BRW-0179</t>
  </si>
  <si>
    <t>LN-00218</t>
  </si>
  <si>
    <t>LN-00219</t>
  </si>
  <si>
    <t>BRW-0180</t>
  </si>
  <si>
    <t>LN-00220</t>
  </si>
  <si>
    <t>BRW-0181</t>
  </si>
  <si>
    <t>LN-00221</t>
  </si>
  <si>
    <t>BRW-0182</t>
  </si>
  <si>
    <t>LN-00222</t>
  </si>
  <si>
    <t>LN-00223</t>
  </si>
  <si>
    <t>BRW-0183</t>
  </si>
  <si>
    <t>LN-00224</t>
  </si>
  <si>
    <t>LN-00225</t>
  </si>
  <si>
    <t>BRW-0184</t>
  </si>
  <si>
    <t>LN-00226</t>
  </si>
  <si>
    <t>BRW-0185</t>
  </si>
  <si>
    <t>LN-00227</t>
  </si>
  <si>
    <t>BRW-0186</t>
  </si>
  <si>
    <t>LN-00228</t>
  </si>
  <si>
    <t>BRW-0187</t>
  </si>
  <si>
    <t>LN-00229</t>
  </si>
  <si>
    <t>BRW-0188</t>
  </si>
  <si>
    <t>LN-00230</t>
  </si>
  <si>
    <t>BRW-0189</t>
  </si>
  <si>
    <t>LN-00231</t>
  </si>
  <si>
    <t>BRW-0190</t>
  </si>
  <si>
    <t>LN-00232</t>
  </si>
  <si>
    <t>BRW-0191</t>
  </si>
  <si>
    <t>LN-00233</t>
  </si>
  <si>
    <t>BRW-0192</t>
  </si>
  <si>
    <t>LN-00234</t>
  </si>
  <si>
    <t>BRW-0193</t>
  </si>
  <si>
    <t>LN-00235</t>
  </si>
  <si>
    <t>BRW-0194</t>
  </si>
  <si>
    <t>LN-00236</t>
  </si>
  <si>
    <t>LN-00237</t>
  </si>
  <si>
    <t>BRW-0195</t>
  </si>
  <si>
    <t>LN-00238</t>
  </si>
  <si>
    <t>BRW-0196</t>
  </si>
  <si>
    <t>LN-00239</t>
  </si>
  <si>
    <t>BRW-0197</t>
  </si>
  <si>
    <t>LN-00240</t>
  </si>
  <si>
    <t>BRW-0198</t>
  </si>
  <si>
    <t>LN-00241</t>
  </si>
  <si>
    <t>BRW-0199</t>
  </si>
  <si>
    <t>LN-00242</t>
  </si>
  <si>
    <t>BRW-0200</t>
  </si>
  <si>
    <t>LN-00243</t>
  </si>
  <si>
    <t>BRW-0201</t>
  </si>
  <si>
    <t>LN-00244</t>
  </si>
  <si>
    <t>LN-00245</t>
  </si>
  <si>
    <t>BRW-0202</t>
  </si>
  <si>
    <t>LN-00246</t>
  </si>
  <si>
    <t>BRW-0203</t>
  </si>
  <si>
    <t>LN-00247</t>
  </si>
  <si>
    <t>BRW-0204</t>
  </si>
  <si>
    <t>LN-00248</t>
  </si>
  <si>
    <t>LN-00249</t>
  </si>
  <si>
    <t>BRW-0205</t>
  </si>
  <si>
    <t>LN-00250</t>
  </si>
  <si>
    <t>BRW-0206</t>
  </si>
  <si>
    <t>LN-00251</t>
  </si>
  <si>
    <t>LN-00252</t>
  </si>
  <si>
    <t>BRW-0207</t>
  </si>
  <si>
    <t>LN-00253</t>
  </si>
  <si>
    <t>BRW-0208</t>
  </si>
  <si>
    <t>LN-00254</t>
  </si>
  <si>
    <t>LN-00255</t>
  </si>
  <si>
    <t>BRW-0209</t>
  </si>
  <si>
    <t>LN-00256</t>
  </si>
  <si>
    <t>BRW-0210</t>
  </si>
  <si>
    <t>LN-00257</t>
  </si>
  <si>
    <t>BRW-0211</t>
  </si>
  <si>
    <t>LN-00258</t>
  </si>
  <si>
    <t>BRW-0212</t>
  </si>
  <si>
    <t>LN-00259</t>
  </si>
  <si>
    <t>LN-00260</t>
  </si>
  <si>
    <t>BRW-0213</t>
  </si>
  <si>
    <t>LN-00261</t>
  </si>
  <si>
    <t>BRW-0214</t>
  </si>
  <si>
    <t>LN-00262</t>
  </si>
  <si>
    <t>BRW-0215</t>
  </si>
  <si>
    <t>LN-00263</t>
  </si>
  <si>
    <t>BRW-0216</t>
  </si>
  <si>
    <t>LN-00264</t>
  </si>
  <si>
    <t>BRW-0217</t>
  </si>
  <si>
    <t>LN-00265</t>
  </si>
  <si>
    <t>BRW-0218</t>
  </si>
  <si>
    <t>LN-00266</t>
  </si>
  <si>
    <t>BRW-0219</t>
  </si>
  <si>
    <t>LN-00267</t>
  </si>
  <si>
    <t>BRW-0220</t>
  </si>
  <si>
    <t>LN-00268</t>
  </si>
  <si>
    <t>LN-00269</t>
  </si>
  <si>
    <t>BRW-0221</t>
  </si>
  <si>
    <t>LN-00270</t>
  </si>
  <si>
    <t>BRW-0222</t>
  </si>
  <si>
    <t>LN-00271</t>
  </si>
  <si>
    <t>BRW-0223</t>
  </si>
  <si>
    <t>LN-00272</t>
  </si>
  <si>
    <t>BRW-0224</t>
  </si>
  <si>
    <t>LN-00273</t>
  </si>
  <si>
    <t>BRW-0225</t>
  </si>
  <si>
    <t>LN-00274</t>
  </si>
  <si>
    <t>BRW-0226</t>
  </si>
  <si>
    <t>LN-00275</t>
  </si>
  <si>
    <t>BRW-0227</t>
  </si>
  <si>
    <t>LN-00276</t>
  </si>
  <si>
    <t>BRW-0228</t>
  </si>
  <si>
    <t>LN-00277</t>
  </si>
  <si>
    <t>BRW-0229</t>
  </si>
  <si>
    <t>LN-00278</t>
  </si>
  <si>
    <t>LN-00279</t>
  </si>
  <si>
    <t>BRW-0230</t>
  </si>
  <si>
    <t>LN-00280</t>
  </si>
  <si>
    <t>BRW-0231</t>
  </si>
  <si>
    <t>LN-00281</t>
  </si>
  <si>
    <t>BRW-0232</t>
  </si>
  <si>
    <t>LN-00282</t>
  </si>
  <si>
    <t>BRW-0233</t>
  </si>
  <si>
    <t>LN-00283</t>
  </si>
  <si>
    <t>BRW-0234</t>
  </si>
  <si>
    <t>LN-00284</t>
  </si>
  <si>
    <t>BRW-0235</t>
  </si>
  <si>
    <t>LN-00285</t>
  </si>
  <si>
    <t>BRW-0236</t>
  </si>
  <si>
    <t>LN-00286</t>
  </si>
  <si>
    <t>BRW-0237</t>
  </si>
  <si>
    <t>LN-00287</t>
  </si>
  <si>
    <t>BRW-0238</t>
  </si>
  <si>
    <t>LN-00288</t>
  </si>
  <si>
    <t>BRW-0239</t>
  </si>
  <si>
    <t>LN-00289</t>
  </si>
  <si>
    <t>LN-00290</t>
  </si>
  <si>
    <t>BRW-0240</t>
  </si>
  <si>
    <t>LN-00291</t>
  </si>
  <si>
    <t>LN-00292</t>
  </si>
  <si>
    <t>BRW-0241</t>
  </si>
  <si>
    <t>LN-00293</t>
  </si>
  <si>
    <t>BRW-0242</t>
  </si>
  <si>
    <t>LN-00294</t>
  </si>
  <si>
    <t>BRW-0243</t>
  </si>
  <si>
    <t>LN-00295</t>
  </si>
  <si>
    <t>BRW-0244</t>
  </si>
  <si>
    <t>LN-00296</t>
  </si>
  <si>
    <t>BRW-0245</t>
  </si>
  <si>
    <t>LN-00297</t>
  </si>
  <si>
    <t>BRW-0246</t>
  </si>
  <si>
    <t>LN-00298</t>
  </si>
  <si>
    <t>LN-00299</t>
  </si>
  <si>
    <t>BRW-0247</t>
  </si>
  <si>
    <t>LN-00300</t>
  </si>
  <si>
    <t>BRW-0248</t>
  </si>
  <si>
    <t>LN-00301</t>
  </si>
  <si>
    <t>BRW-0249</t>
  </si>
  <si>
    <t>LN-00302</t>
  </si>
  <si>
    <t>BRW-0250</t>
  </si>
  <si>
    <t>LN-00303</t>
  </si>
  <si>
    <t>BRW-0251</t>
  </si>
  <si>
    <t>LN-00304</t>
  </si>
  <si>
    <t>LN-00305</t>
  </si>
  <si>
    <t>BRW-0252</t>
  </si>
  <si>
    <t>LN-00306</t>
  </si>
  <si>
    <t>BRW-0253</t>
  </si>
  <si>
    <t>LN-00307</t>
  </si>
  <si>
    <t>BRW-0254</t>
  </si>
  <si>
    <t>LN-00308</t>
  </si>
  <si>
    <t>BRW-0255</t>
  </si>
  <si>
    <t>LN-00309</t>
  </si>
  <si>
    <t>BRW-0256</t>
  </si>
  <si>
    <t>LN-00310</t>
  </si>
  <si>
    <t>BRW-0257</t>
  </si>
  <si>
    <t>LN-00311</t>
  </si>
  <si>
    <t>BRW-0258</t>
  </si>
  <si>
    <t>LN-00312</t>
  </si>
  <si>
    <t>LN-00313</t>
  </si>
  <si>
    <t>BRW-0259</t>
  </si>
  <si>
    <t>LN-00314</t>
  </si>
  <si>
    <t>BRW-0260</t>
  </si>
  <si>
    <t>LN-00315</t>
  </si>
  <si>
    <t>BRW-0261</t>
  </si>
  <si>
    <t>LN-00316</t>
  </si>
  <si>
    <t>BRW-0262</t>
  </si>
  <si>
    <t>LN-00317</t>
  </si>
  <si>
    <t>BRW-0263</t>
  </si>
  <si>
    <t>LN-00318</t>
  </si>
  <si>
    <t>LN-00319</t>
  </si>
  <si>
    <t>BRW-0264</t>
  </si>
  <si>
    <t>LN-00320</t>
  </si>
  <si>
    <t>LN-00321</t>
  </si>
  <si>
    <t>BRW-0265</t>
  </si>
  <si>
    <t>LN-00322</t>
  </si>
  <si>
    <t>BRW-0266</t>
  </si>
  <si>
    <t>LN-00323</t>
  </si>
  <si>
    <t>BRW-0267</t>
  </si>
  <si>
    <t>LN-00324</t>
  </si>
  <si>
    <t>LN-00325</t>
  </si>
  <si>
    <t>BRW-0268</t>
  </si>
  <si>
    <t>LN-00326</t>
  </si>
  <si>
    <t>LN-00327</t>
  </si>
  <si>
    <t>BRW-0269</t>
  </si>
  <si>
    <t>LN-00328</t>
  </si>
  <si>
    <t>BRW-0270</t>
  </si>
  <si>
    <t>LN-00329</t>
  </si>
  <si>
    <t>BRW-0271</t>
  </si>
  <si>
    <t>LN-00330</t>
  </si>
  <si>
    <t>BRW-0272</t>
  </si>
  <si>
    <t>LN-00331</t>
  </si>
  <si>
    <t>BRW-0273</t>
  </si>
  <si>
    <t>LN-00332</t>
  </si>
  <si>
    <t>BRW-0274</t>
  </si>
  <si>
    <t>LN-00333</t>
  </si>
  <si>
    <t>BRW-0275</t>
  </si>
  <si>
    <t>LN-00334</t>
  </si>
  <si>
    <t>BRW-0276</t>
  </si>
  <si>
    <t>LN-00335</t>
  </si>
  <si>
    <t>BRW-0277</t>
  </si>
  <si>
    <t>LN-00336</t>
  </si>
  <si>
    <t>BRW-0278</t>
  </si>
  <si>
    <t>LN-00337</t>
  </si>
  <si>
    <t>BRW-0279</t>
  </si>
  <si>
    <t>LN-00338</t>
  </si>
  <si>
    <t>BRW-0280</t>
  </si>
  <si>
    <t>LN-00339</t>
  </si>
  <si>
    <t>BRW-0281</t>
  </si>
  <si>
    <t>LN-00340</t>
  </si>
  <si>
    <t>BRW-0282</t>
  </si>
  <si>
    <t>LN-00341</t>
  </si>
  <si>
    <t>LN-00342</t>
  </si>
  <si>
    <t>BRW-0283</t>
  </si>
  <si>
    <t>LN-00343</t>
  </si>
  <si>
    <t>LN-00344</t>
  </si>
  <si>
    <t>BRW-0284</t>
  </si>
  <si>
    <t>LN-00345</t>
  </si>
  <si>
    <t>BRW-0285</t>
  </si>
  <si>
    <t>LN-00346</t>
  </si>
  <si>
    <t>BRW-0286</t>
  </si>
  <si>
    <t>LN-00347</t>
  </si>
  <si>
    <t>BRW-0287</t>
  </si>
  <si>
    <t>LN-00348</t>
  </si>
  <si>
    <t>BRW-0288</t>
  </si>
  <si>
    <t>LN-00349</t>
  </si>
  <si>
    <t>BRW-0289</t>
  </si>
  <si>
    <t>LN-00350</t>
  </si>
  <si>
    <t>BRW-0290</t>
  </si>
  <si>
    <t>LN-00351</t>
  </si>
  <si>
    <t>BRW-0291</t>
  </si>
  <si>
    <t>LN-00352</t>
  </si>
  <si>
    <t>BRW-0292</t>
  </si>
  <si>
    <t>LN-00353</t>
  </si>
  <si>
    <t>BRW-0293</t>
  </si>
  <si>
    <t>LN-00354</t>
  </si>
  <si>
    <t>LN-00355</t>
  </si>
  <si>
    <t>BRW-0294</t>
  </si>
  <si>
    <t>LN-00356</t>
  </si>
  <si>
    <t>BRW-0295</t>
  </si>
  <si>
    <t>LN-00357</t>
  </si>
  <si>
    <t>BRW-0296</t>
  </si>
  <si>
    <t>LN-00358</t>
  </si>
  <si>
    <t>BRW-0297</t>
  </si>
  <si>
    <t>LN-00359</t>
  </si>
  <si>
    <t>LN-00360</t>
  </si>
  <si>
    <t>BRW-0298</t>
  </si>
  <si>
    <t>LN-00361</t>
  </si>
  <si>
    <t>BRW-0299</t>
  </si>
  <si>
    <t>LN-00362</t>
  </si>
  <si>
    <t>BRW-0300</t>
  </si>
  <si>
    <t>LN-00363</t>
  </si>
  <si>
    <t>LN-00364</t>
  </si>
  <si>
    <t>BRW-0301</t>
  </si>
  <si>
    <t>LN-00365</t>
  </si>
  <si>
    <t>LN-00366</t>
  </si>
  <si>
    <t>BRW-0302</t>
  </si>
  <si>
    <t>LN-00367</t>
  </si>
  <si>
    <t>BRW-0303</t>
  </si>
  <si>
    <t>LN-00368</t>
  </si>
  <si>
    <t>LN-00369</t>
  </si>
  <si>
    <t>BRW-0304</t>
  </si>
  <si>
    <t>LN-00370</t>
  </si>
  <si>
    <t>BRW-0305</t>
  </si>
  <si>
    <t>LN-00371</t>
  </si>
  <si>
    <t>BRW-0306</t>
  </si>
  <si>
    <t>LN-00372</t>
  </si>
  <si>
    <t>BRW-0307</t>
  </si>
  <si>
    <t>LN-00373</t>
  </si>
  <si>
    <t>BRW-0308</t>
  </si>
  <si>
    <t>LN-00374</t>
  </si>
  <si>
    <t>BRW-0309</t>
  </si>
  <si>
    <t>LN-00375</t>
  </si>
  <si>
    <t>BRW-0310</t>
  </si>
  <si>
    <t>LN-00376</t>
  </si>
  <si>
    <t>BRW-0311</t>
  </si>
  <si>
    <t>LN-00377</t>
  </si>
  <si>
    <t>BRW-0312</t>
  </si>
  <si>
    <t>LN-00378</t>
  </si>
  <si>
    <t>BRW-0313</t>
  </si>
  <si>
    <t>LN-00379</t>
  </si>
  <si>
    <t>BRW-0314</t>
  </si>
  <si>
    <t>LN-00380</t>
  </si>
  <si>
    <t>BRW-0315</t>
  </si>
  <si>
    <t>LN-00381</t>
  </si>
  <si>
    <t>BRW-0316</t>
  </si>
  <si>
    <t>LN-00382</t>
  </si>
  <si>
    <t>BRW-0317</t>
  </si>
  <si>
    <t>LN-00383</t>
  </si>
  <si>
    <t>BRW-0318</t>
  </si>
  <si>
    <t>LN-00384</t>
  </si>
  <si>
    <t>BRW-0319</t>
  </si>
  <si>
    <t>LN-00385</t>
  </si>
  <si>
    <t>BRW-0320</t>
  </si>
  <si>
    <t>LN-00386</t>
  </si>
  <si>
    <t>LN-00387</t>
  </si>
  <si>
    <t>BRW-0321</t>
  </si>
  <si>
    <t>LN-00388</t>
  </si>
  <si>
    <t>BRW-0322</t>
  </si>
  <si>
    <t>LN-00389</t>
  </si>
  <si>
    <t>LN-00390</t>
  </si>
  <si>
    <t>BRW-0323</t>
  </si>
  <si>
    <t>LN-00391</t>
  </si>
  <si>
    <t>BRW-0324</t>
  </si>
  <si>
    <t>LN-00392</t>
  </si>
  <si>
    <t>BRW-0325</t>
  </si>
  <si>
    <t>LN-00393</t>
  </si>
  <si>
    <t>BRW-0326</t>
  </si>
  <si>
    <t>LN-00394</t>
  </si>
  <si>
    <t>BRW-0327</t>
  </si>
  <si>
    <t>LN-00395</t>
  </si>
  <si>
    <t>BRW-0328</t>
  </si>
  <si>
    <t>LN-00396</t>
  </si>
  <si>
    <t>LN-00397</t>
  </si>
  <si>
    <t>BRW-0329</t>
  </si>
  <si>
    <t>LN-00398</t>
  </si>
  <si>
    <t>BRW-0330</t>
  </si>
  <si>
    <t>LN-00399</t>
  </si>
  <si>
    <t>BRW-0331</t>
  </si>
  <si>
    <t>LN-00400</t>
  </si>
  <si>
    <t>BRW-0332</t>
  </si>
  <si>
    <t>LN-00401</t>
  </si>
  <si>
    <t>BRW-0333</t>
  </si>
  <si>
    <t>LN-00402</t>
  </si>
  <si>
    <t>BRW-0334</t>
  </si>
  <si>
    <t>LN-00403</t>
  </si>
  <si>
    <t>BRW-0335</t>
  </si>
  <si>
    <t>LN-00404</t>
  </si>
  <si>
    <t>BRW-0336</t>
  </si>
  <si>
    <t>LN-00405</t>
  </si>
  <si>
    <t>BRW-0337</t>
  </si>
  <si>
    <t>LN-00406</t>
  </si>
  <si>
    <t>BRW-0338</t>
  </si>
  <si>
    <t>LN-00407</t>
  </si>
  <si>
    <t>LN-00408</t>
  </si>
  <si>
    <t>BRW-0339</t>
  </si>
  <si>
    <t>LN-00409</t>
  </si>
  <si>
    <t>LN-00410</t>
  </si>
  <si>
    <t>BRW-0340</t>
  </si>
  <si>
    <t>LN-00411</t>
  </si>
  <si>
    <t>BRW-0341</t>
  </si>
  <si>
    <t>LN-00412</t>
  </si>
  <si>
    <t>BRW-0342</t>
  </si>
  <si>
    <t>LN-00413</t>
  </si>
  <si>
    <t>BRW-0343</t>
  </si>
  <si>
    <t>LN-00414</t>
  </si>
  <si>
    <t>BRW-0344</t>
  </si>
  <si>
    <t>LN-00415</t>
  </si>
  <si>
    <t>BRW-0345</t>
  </si>
  <si>
    <t>LN-00416</t>
  </si>
  <si>
    <t>BRW-0346</t>
  </si>
  <si>
    <t>LN-00417</t>
  </si>
  <si>
    <t>LN-00418</t>
  </si>
  <si>
    <t>BRW-0347</t>
  </si>
  <si>
    <t>LN-00419</t>
  </si>
  <si>
    <t>BRW-0348</t>
  </si>
  <si>
    <t>LN-00420</t>
  </si>
  <si>
    <t>BRW-0349</t>
  </si>
  <si>
    <t>LN-00421</t>
  </si>
  <si>
    <t>BRW-0350</t>
  </si>
  <si>
    <t>LN-00422</t>
  </si>
  <si>
    <t>BRW-0351</t>
  </si>
  <si>
    <t>LN-00423</t>
  </si>
  <si>
    <t>LN-00424</t>
  </si>
  <si>
    <t>BRW-0352</t>
  </si>
  <si>
    <t>LN-00425</t>
  </si>
  <si>
    <t>BRW-0353</t>
  </si>
  <si>
    <t>LN-00426</t>
  </si>
  <si>
    <t>BRW-0354</t>
  </si>
  <si>
    <t>LN-00427</t>
  </si>
  <si>
    <t>BRW-0355</t>
  </si>
  <si>
    <t>LN-00428</t>
  </si>
  <si>
    <t>BRW-0356</t>
  </si>
  <si>
    <t>LN-00429</t>
  </si>
  <si>
    <t>BRW-0357</t>
  </si>
  <si>
    <t>LN-00430</t>
  </si>
  <si>
    <t>BRW-0358</t>
  </si>
  <si>
    <t>LN-00431</t>
  </si>
  <si>
    <t>BRW-0359</t>
  </si>
  <si>
    <t>LN-00432</t>
  </si>
  <si>
    <t>BRW-0360</t>
  </si>
  <si>
    <t>LN-00433</t>
  </si>
  <si>
    <t>BRW-0361</t>
  </si>
  <si>
    <t>LN-00434</t>
  </si>
  <si>
    <t>LN-00435</t>
  </si>
  <si>
    <t>BRW-0362</t>
  </si>
  <si>
    <t>LN-00436</t>
  </si>
  <si>
    <t>BRW-0363</t>
  </si>
  <si>
    <t>LN-00437</t>
  </si>
  <si>
    <t>BRW-0364</t>
  </si>
  <si>
    <t>LN-00438</t>
  </si>
  <si>
    <t>BRW-0365</t>
  </si>
  <si>
    <t>LN-00439</t>
  </si>
  <si>
    <t>BRW-0366</t>
  </si>
  <si>
    <t>LN-00440</t>
  </si>
  <si>
    <t>BRW-0367</t>
  </si>
  <si>
    <t>LN-00441</t>
  </si>
  <si>
    <t>BRW-0368</t>
  </si>
  <si>
    <t>LN-00442</t>
  </si>
  <si>
    <t>LN-00443</t>
  </si>
  <si>
    <t>BRW-0369</t>
  </si>
  <si>
    <t>LN-00444</t>
  </si>
  <si>
    <t>BRW-0370</t>
  </si>
  <si>
    <t>LN-00445</t>
  </si>
  <si>
    <t>BRW-0371</t>
  </si>
  <si>
    <t>LN-00446</t>
  </si>
  <si>
    <t>BRW-0372</t>
  </si>
  <si>
    <t>LN-00447</t>
  </si>
  <si>
    <t>BRW-0373</t>
  </si>
  <si>
    <t>LN-00448</t>
  </si>
  <si>
    <t>BRW-0374</t>
  </si>
  <si>
    <t>LN-00449</t>
  </si>
  <si>
    <t>LN-00450</t>
  </si>
  <si>
    <t>BRW-0375</t>
  </si>
  <si>
    <t>LN-00451</t>
  </si>
  <si>
    <t>LN-00452</t>
  </si>
  <si>
    <t>BRW-0376</t>
  </si>
  <si>
    <t>LN-00453</t>
  </si>
  <si>
    <t>LN-00454</t>
  </si>
  <si>
    <t>BRW-0377</t>
  </si>
  <si>
    <t>LN-00455</t>
  </si>
  <si>
    <t>BRW-0378</t>
  </si>
  <si>
    <t>LN-00456</t>
  </si>
  <si>
    <t>BRW-0379</t>
  </si>
  <si>
    <t>LN-00457</t>
  </si>
  <si>
    <t>BRW-0380</t>
  </si>
  <si>
    <t>LN-00458</t>
  </si>
  <si>
    <t>BRW-0381</t>
  </si>
  <si>
    <t>LN-00459</t>
  </si>
  <si>
    <t>BRW-0382</t>
  </si>
  <si>
    <t>LN-00460</t>
  </si>
  <si>
    <t>BRW-0383</t>
  </si>
  <si>
    <t>LN-00461</t>
  </si>
  <si>
    <t>BRW-0384</t>
  </si>
  <si>
    <t>LN-00462</t>
  </si>
  <si>
    <t>BRW-0385</t>
  </si>
  <si>
    <t>LN-00463</t>
  </si>
  <si>
    <t>BRW-0386</t>
  </si>
  <si>
    <t>LN-00464</t>
  </si>
  <si>
    <t>BRW-0387</t>
  </si>
  <si>
    <t>LN-00465</t>
  </si>
  <si>
    <t>BRW-0388</t>
  </si>
  <si>
    <t>LN-00466</t>
  </si>
  <si>
    <t>LN-00467</t>
  </si>
  <si>
    <t>BRW-0389</t>
  </si>
  <si>
    <t>LN-00468</t>
  </si>
  <si>
    <t>BRW-0390</t>
  </si>
  <si>
    <t>LN-00469</t>
  </si>
  <si>
    <t>BRW-0391</t>
  </si>
  <si>
    <t>LN-00470</t>
  </si>
  <si>
    <t>BRW-0392</t>
  </si>
  <si>
    <t>LN-00471</t>
  </si>
  <si>
    <t>BRW-0393</t>
  </si>
  <si>
    <t>LN-00472</t>
  </si>
  <si>
    <t>BRW-0394</t>
  </si>
  <si>
    <t>LN-00473</t>
  </si>
  <si>
    <t>LN-00474</t>
  </si>
  <si>
    <t>BRW-0395</t>
  </si>
  <si>
    <t>LN-00475</t>
  </si>
  <si>
    <t>BRW-0396</t>
  </si>
  <si>
    <t>LN-00476</t>
  </si>
  <si>
    <t>BRW-0397</t>
  </si>
  <si>
    <t>LN-00477</t>
  </si>
  <si>
    <t>BRW-0398</t>
  </si>
  <si>
    <t>LN-00478</t>
  </si>
  <si>
    <t>BRW-0399</t>
  </si>
  <si>
    <t>LN-00479</t>
  </si>
  <si>
    <t>BRW-0400</t>
  </si>
  <si>
    <t>LN-00480</t>
  </si>
  <si>
    <t>LN-00481</t>
  </si>
  <si>
    <t>BRW-0401</t>
  </si>
  <si>
    <t>LN-00482</t>
  </si>
  <si>
    <t>BRW-0402</t>
  </si>
  <si>
    <t>LN-00483</t>
  </si>
  <si>
    <t>BRW-0403</t>
  </si>
  <si>
    <t>LN-00484</t>
  </si>
  <si>
    <t>BRW-0404</t>
  </si>
  <si>
    <t>LN-00485</t>
  </si>
  <si>
    <t>BRW-0405</t>
  </si>
  <si>
    <t>LN-00486</t>
  </si>
  <si>
    <t>BRW-0406</t>
  </si>
  <si>
    <t>LN-00487</t>
  </si>
  <si>
    <t>LN-00488</t>
  </si>
  <si>
    <t>BRW-0407</t>
  </si>
  <si>
    <t>LN-00489</t>
  </si>
  <si>
    <t>BRW-0408</t>
  </si>
  <si>
    <t>LN-00490</t>
  </si>
  <si>
    <t>BRW-0409</t>
  </si>
  <si>
    <t>LN-00491</t>
  </si>
  <si>
    <t>BRW-0410</t>
  </si>
  <si>
    <t>LN-00492</t>
  </si>
  <si>
    <t>BRW-0411</t>
  </si>
  <si>
    <t>LN-00493</t>
  </si>
  <si>
    <t>BRW-0412</t>
  </si>
  <si>
    <t>LN-00494</t>
  </si>
  <si>
    <t>BRW-0413</t>
  </si>
  <si>
    <t>LN-00495</t>
  </si>
  <si>
    <t>BRW-0414</t>
  </si>
  <si>
    <t>LN-00496</t>
  </si>
  <si>
    <t>BRW-0415</t>
  </si>
  <si>
    <t>LN-00497</t>
  </si>
  <si>
    <t>LN-00498</t>
  </si>
  <si>
    <t>BRW-0416</t>
  </si>
  <si>
    <t>LN-00499</t>
  </si>
  <si>
    <t>BRW-0417</t>
  </si>
  <si>
    <t>LN-00500</t>
  </si>
  <si>
    <t>BRW-0418</t>
  </si>
  <si>
    <t>LN-00501</t>
  </si>
  <si>
    <t>BRW-0419</t>
  </si>
  <si>
    <t>LN-00502</t>
  </si>
  <si>
    <t>BRW-0420</t>
  </si>
  <si>
    <t>LN-00503</t>
  </si>
  <si>
    <t>LN-00504</t>
  </si>
  <si>
    <t>BRW-0421</t>
  </si>
  <si>
    <t>LN-00505</t>
  </si>
  <si>
    <t>BRW-0422</t>
  </si>
  <si>
    <t>LN-00506</t>
  </si>
  <si>
    <t>LN-00507</t>
  </si>
  <si>
    <t>BRW-0423</t>
  </si>
  <si>
    <t>LN-00508</t>
  </si>
  <si>
    <t>BRW-0424</t>
  </si>
  <si>
    <t>LN-00509</t>
  </si>
  <si>
    <t>BRW-0425</t>
  </si>
  <si>
    <t>LN-00510</t>
  </si>
  <si>
    <t>BRW-0426</t>
  </si>
  <si>
    <t>LN-00511</t>
  </si>
  <si>
    <t>LN-00512</t>
  </si>
  <si>
    <t>BRW-0427</t>
  </si>
  <si>
    <t>LN-00513</t>
  </si>
  <si>
    <t>BRW-0428</t>
  </si>
  <si>
    <t>LN-00514</t>
  </si>
  <si>
    <t>BRW-0429</t>
  </si>
  <si>
    <t>LN-00515</t>
  </si>
  <si>
    <t>BRW-0430</t>
  </si>
  <si>
    <t>LN-00516</t>
  </si>
  <si>
    <t>BRW-0431</t>
  </si>
  <si>
    <t>LN-00517</t>
  </si>
  <si>
    <t>LN-00518</t>
  </si>
  <si>
    <t>BRW-0432</t>
  </si>
  <si>
    <t>LN-00519</t>
  </si>
  <si>
    <t>BRW-0433</t>
  </si>
  <si>
    <t>LN-00520</t>
  </si>
  <si>
    <t>LN-00521</t>
  </si>
  <si>
    <t>BRW-0434</t>
  </si>
  <si>
    <t>LN-00522</t>
  </si>
  <si>
    <t>BRW-0435</t>
  </si>
  <si>
    <t>LN-00523</t>
  </si>
  <si>
    <t>BRW-0436</t>
  </si>
  <si>
    <t>LN-00524</t>
  </si>
  <si>
    <t>BRW-0437</t>
  </si>
  <si>
    <t>LN-00525</t>
  </si>
  <si>
    <t>BRW-0438</t>
  </si>
  <si>
    <t>LN-00526</t>
  </si>
  <si>
    <t>BRW-0439</t>
  </si>
  <si>
    <t>LN-00527</t>
  </si>
  <si>
    <t>BRW-0440</t>
  </si>
  <si>
    <t>LN-00528</t>
  </si>
  <si>
    <t>BRW-0441</t>
  </si>
  <si>
    <t>LN-00529</t>
  </si>
  <si>
    <t>BRW-0442</t>
  </si>
  <si>
    <t>LN-00530</t>
  </si>
  <si>
    <t>BRW-0443</t>
  </si>
  <si>
    <t>LN-00531</t>
  </si>
  <si>
    <t>BRW-0444</t>
  </si>
  <si>
    <t>LN-00532</t>
  </si>
  <si>
    <t>BRW-0445</t>
  </si>
  <si>
    <t>LN-00533</t>
  </si>
  <si>
    <t>BRW-0446</t>
  </si>
  <si>
    <t>LN-00534</t>
  </si>
  <si>
    <t>LN-00535</t>
  </si>
  <si>
    <t>BRW-0447</t>
  </si>
  <si>
    <t>LN-00536</t>
  </si>
  <si>
    <t>BRW-0448</t>
  </si>
  <si>
    <t>LN-00537</t>
  </si>
  <si>
    <t>BRW-0449</t>
  </si>
  <si>
    <t>LN-00538</t>
  </si>
  <si>
    <t>BRW-0450</t>
  </si>
  <si>
    <t>LN-00539</t>
  </si>
  <si>
    <t>BRW-0451</t>
  </si>
  <si>
    <t>LN-00540</t>
  </si>
  <si>
    <t>BRW-0452</t>
  </si>
  <si>
    <t>LN-00541</t>
  </si>
  <si>
    <t>BRW-0453</t>
  </si>
  <si>
    <t>LN-00542</t>
  </si>
  <si>
    <t>LN-00543</t>
  </si>
  <si>
    <t>BRW-0454</t>
  </si>
  <si>
    <t>LN-00544</t>
  </si>
  <si>
    <t>BRW-0455</t>
  </si>
  <si>
    <t>LN-00545</t>
  </si>
  <si>
    <t>BRW-0456</t>
  </si>
  <si>
    <t>LN-00546</t>
  </si>
  <si>
    <t>LN-00547</t>
  </si>
  <si>
    <t>BRW-0457</t>
  </si>
  <si>
    <t>LN-00548</t>
  </si>
  <si>
    <t>BRW-0458</t>
  </si>
  <si>
    <t>LN-00549</t>
  </si>
  <si>
    <t>BRW-0459</t>
  </si>
  <si>
    <t>LN-00550</t>
  </si>
  <si>
    <t>BRW-0460</t>
  </si>
  <si>
    <t>LN-00551</t>
  </si>
  <si>
    <t>BRW-0461</t>
  </si>
  <si>
    <t>LN-00552</t>
  </si>
  <si>
    <t>BRW-0462</t>
  </si>
  <si>
    <t>LN-00553</t>
  </si>
  <si>
    <t>BRW-0463</t>
  </si>
  <si>
    <t>LN-00554</t>
  </si>
  <si>
    <t>LN-00555</t>
  </si>
  <si>
    <t>BRW-0464</t>
  </si>
  <si>
    <t>LN-00556</t>
  </si>
  <si>
    <t>BRW-0465</t>
  </si>
  <si>
    <t>LN-00557</t>
  </si>
  <si>
    <t>LN-00558</t>
  </si>
  <si>
    <t>BRW-0466</t>
  </si>
  <si>
    <t>LN-00559</t>
  </si>
  <si>
    <t>BRW-0467</t>
  </si>
  <si>
    <t>LN-00560</t>
  </si>
  <si>
    <t>BRW-0468</t>
  </si>
  <si>
    <t>LN-00561</t>
  </si>
  <si>
    <t>LN-00562</t>
  </si>
  <si>
    <t>BRW-0469</t>
  </si>
  <si>
    <t>LN-00563</t>
  </si>
  <si>
    <t>LN-00564</t>
  </si>
  <si>
    <t>BRW-0470</t>
  </si>
  <si>
    <t>LN-00565</t>
  </si>
  <si>
    <t>BRW-0471</t>
  </si>
  <si>
    <t>LN-00566</t>
  </si>
  <si>
    <t>LN-00567</t>
  </si>
  <si>
    <t>BRW-0472</t>
  </si>
  <si>
    <t>LN-00568</t>
  </si>
  <si>
    <t>LN-00569</t>
  </si>
  <si>
    <t>BRW-0473</t>
  </si>
  <si>
    <t>LN-00570</t>
  </si>
  <si>
    <t>BRW-0474</t>
  </si>
  <si>
    <t>LN-00571</t>
  </si>
  <si>
    <t>BRW-0475</t>
  </si>
  <si>
    <t>LN-00572</t>
  </si>
  <si>
    <t>BRW-0476</t>
  </si>
  <si>
    <t>LN-00573</t>
  </si>
  <si>
    <t>BRW-0477</t>
  </si>
  <si>
    <t>LN-00574</t>
  </si>
  <si>
    <t>BRW-0478</t>
  </si>
  <si>
    <t>LN-00575</t>
  </si>
  <si>
    <t>BRW-0479</t>
  </si>
  <si>
    <t>LN-00576</t>
  </si>
  <si>
    <t>BRW-0480</t>
  </si>
  <si>
    <t>LN-00577</t>
  </si>
  <si>
    <t>BRW-0481</t>
  </si>
  <si>
    <t>LN-00578</t>
  </si>
  <si>
    <t>BRW-0482</t>
  </si>
  <si>
    <t>LN-00579</t>
  </si>
  <si>
    <t>BRW-0483</t>
  </si>
  <si>
    <t>LN-00580</t>
  </si>
  <si>
    <t>BRW-0484</t>
  </si>
  <si>
    <t>LN-00581</t>
  </si>
  <si>
    <t>LN-00582</t>
  </si>
  <si>
    <t>BRW-0485</t>
  </si>
  <si>
    <t>LN-00583</t>
  </si>
  <si>
    <t>BRW-0486</t>
  </si>
  <si>
    <t>LN-00584</t>
  </si>
  <si>
    <t>BRW-0487</t>
  </si>
  <si>
    <t>LN-00585</t>
  </si>
  <si>
    <t>LN-00586</t>
  </si>
  <si>
    <t>BRW-0488</t>
  </si>
  <si>
    <t>LN-00587</t>
  </si>
  <si>
    <t>LN-00588</t>
  </si>
  <si>
    <t>BRW-0489</t>
  </si>
  <si>
    <t>LN-00589</t>
  </si>
  <si>
    <t>BRW-0490</t>
  </si>
  <si>
    <t>LN-00590</t>
  </si>
  <si>
    <t>BRW-0491</t>
  </si>
  <si>
    <t>LN-00591</t>
  </si>
  <si>
    <t>BRW-0492</t>
  </si>
  <si>
    <t>LN-00592</t>
  </si>
  <si>
    <t>BRW-0493</t>
  </si>
  <si>
    <t>LN-00593</t>
  </si>
  <si>
    <t>BRW-0494</t>
  </si>
  <si>
    <t>LN-00594</t>
  </si>
  <si>
    <t>BRW-0495</t>
  </si>
  <si>
    <t>LN-00595</t>
  </si>
  <si>
    <t>BRW-0496</t>
  </si>
  <si>
    <t>LN-00596</t>
  </si>
  <si>
    <t>BRW-0497</t>
  </si>
  <si>
    <t>LN-00597</t>
  </si>
  <si>
    <t>LN-00598</t>
  </si>
  <si>
    <t>BRW-0498</t>
  </si>
  <si>
    <t>LN-00599</t>
  </si>
  <si>
    <t>BRW-0499</t>
  </si>
  <si>
    <t>LN-00600</t>
  </si>
  <si>
    <t>BRW-0500</t>
  </si>
  <si>
    <t>LN-00601</t>
  </si>
  <si>
    <t>credit_score_bucket</t>
  </si>
  <si>
    <t>credit_score</t>
  </si>
  <si>
    <t>employment_status</t>
  </si>
  <si>
    <t>years_employed</t>
  </si>
  <si>
    <t>520-599</t>
  </si>
  <si>
    <t>600-649</t>
  </si>
  <si>
    <t>650-699</t>
  </si>
  <si>
    <t>700-749</t>
  </si>
  <si>
    <t>750+</t>
  </si>
  <si>
    <t>Grand Total</t>
  </si>
  <si>
    <t>Average of defaulted</t>
  </si>
  <si>
    <t>Column Labels</t>
  </si>
  <si>
    <t>(All)</t>
  </si>
  <si>
    <t>dti_ratio_bucket</t>
  </si>
  <si>
    <t>0-25</t>
  </si>
  <si>
    <t>100-125</t>
  </si>
  <si>
    <t>125+</t>
  </si>
  <si>
    <t>25-50</t>
  </si>
  <si>
    <t>50-75</t>
  </si>
  <si>
    <t>75-100</t>
  </si>
  <si>
    <t>Max of loan_amount</t>
  </si>
  <si>
    <t>Average of loan_amount</t>
  </si>
  <si>
    <t>Min of loan_amount</t>
  </si>
  <si>
    <t>Contract</t>
  </si>
  <si>
    <t>Full-Time</t>
  </si>
  <si>
    <t>Part-Time</t>
  </si>
  <si>
    <t>Retired</t>
  </si>
  <si>
    <t>Self-Employed</t>
  </si>
  <si>
    <t>employment_years_group</t>
  </si>
  <si>
    <t>Years Employed</t>
  </si>
  <si>
    <t>Employed &gt;2 Years</t>
  </si>
  <si>
    <t>Employed &lt;2 Years</t>
  </si>
  <si>
    <t>Details for Average of defaulted - dti_ratio_bucket: 25-50, loan_id: LN-00001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</si>
</sst>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33" borderId="0" xfId="0" applyFill="1"/>
    <xf numFmtId="0" fontId="16" fillId="0" borderId="0" xfId="0" applyFont="1"/>
    <xf numFmtId="0" fontId="0" fillId="33" borderId="10" xfId="0" applyFill="1" applyBorder="1"/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0.0%"/>
    </dxf>
    <dxf>
      <numFmt numFmtId="14" formatCode="0.00%"/>
    </dxf>
    <dxf>
      <numFmt numFmtId="164" formatCode="0.0%"/>
    </dxf>
    <dxf>
      <numFmt numFmtId="13" formatCode="0%"/>
    </dxf>
    <dxf>
      <numFmt numFmtId="1" formatCode="0"/>
    </dxf>
    <dxf>
      <numFmt numFmtId="1" formatCode="0"/>
    </dxf>
    <dxf>
      <numFmt numFmtId="14" formatCode="0.00%"/>
    </dxf>
    <dxf>
      <numFmt numFmtId="19" formatCode="m/d/yyyy"/>
    </dxf>
    <dxf>
      <numFmt numFmtId="14" formatCode="0.00%"/>
    </dxf>
  </dxfs>
  <tableStyles count="0" defaultTableStyle="TableStyleMedium2" defaultPivotStyle="PivotStyleLight16"/>
  <colors>
    <mruColors>
      <color rgb="FFE4DDCB"/>
      <color rgb="FFF7F6F3"/>
      <color rgb="FF0F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[loan_applications.xlsx]default_risk_by_employment!PivotTable1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</a:t>
            </a:r>
            <a:r>
              <a:rPr lang="en-US" b="1" baseline="0"/>
              <a:t> Risk by Employment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953827685366993E-2"/>
          <c:y val="0.21918116132857302"/>
          <c:w val="0.95337697386524078"/>
          <c:h val="0.74061225106524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default_risk_by_employment!$R$1:$R$2</c:f>
              <c:strCache>
                <c:ptCount val="1"/>
                <c:pt idx="0">
                  <c:v>Contract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default_risk_by_employment!$Q$3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default_risk_by_employment!$R$3</c:f>
              <c:numCache>
                <c:formatCode>0.00%</c:formatCode>
                <c:ptCount val="1"/>
                <c:pt idx="0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C-46B3-B032-B2BF68C2B6A0}"/>
            </c:ext>
          </c:extLst>
        </c:ser>
        <c:ser>
          <c:idx val="1"/>
          <c:order val="1"/>
          <c:tx>
            <c:strRef>
              <c:f>default_risk_by_employment!$S$1:$S$2</c:f>
              <c:strCache>
                <c:ptCount val="1"/>
                <c:pt idx="0">
                  <c:v>Retired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default_risk_by_employment!$Q$3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default_risk_by_employment!$S$3</c:f>
              <c:numCache>
                <c:formatCode>0.00%</c:formatCode>
                <c:ptCount val="1"/>
                <c:pt idx="0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C-46B3-B032-B2BF68C2B6A0}"/>
            </c:ext>
          </c:extLst>
        </c:ser>
        <c:ser>
          <c:idx val="2"/>
          <c:order val="2"/>
          <c:tx>
            <c:strRef>
              <c:f>default_risk_by_employment!$T$1:$T$2</c:f>
              <c:strCache>
                <c:ptCount val="1"/>
                <c:pt idx="0">
                  <c:v>Full-Time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default_risk_by_employment!$Q$3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default_risk_by_employment!$T$3</c:f>
              <c:numCache>
                <c:formatCode>0.00%</c:formatCode>
                <c:ptCount val="1"/>
                <c:pt idx="0">
                  <c:v>0.23934426229508196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EC-46B3-B032-B2BF68C2B6A0}"/>
            </c:ext>
          </c:extLst>
        </c:ser>
        <c:ser>
          <c:idx val="3"/>
          <c:order val="3"/>
          <c:tx>
            <c:strRef>
              <c:f>default_risk_by_employment!$U$1:$U$2</c:f>
              <c:strCache>
                <c:ptCount val="1"/>
                <c:pt idx="0">
                  <c:v>Self-Employed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default_risk_by_employment!$Q$3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default_risk_by_employment!$U$3</c:f>
              <c:numCache>
                <c:formatCode>0.00%</c:formatCode>
                <c:ptCount val="1"/>
                <c:pt idx="0">
                  <c:v>0.24761904761904763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EC-46B3-B032-B2BF68C2B6A0}"/>
            </c:ext>
          </c:extLst>
        </c:ser>
        <c:ser>
          <c:idx val="4"/>
          <c:order val="4"/>
          <c:tx>
            <c:strRef>
              <c:f>default_risk_by_employment!$V$1:$V$2</c:f>
              <c:strCache>
                <c:ptCount val="1"/>
                <c:pt idx="0">
                  <c:v>Part-Time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default_risk_by_employment!$Q$3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default_risk_by_employment!$V$3</c:f>
              <c:numCache>
                <c:formatCode>0.00%</c:formatCode>
                <c:ptCount val="1"/>
                <c:pt idx="0">
                  <c:v>0.27692307692307694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EC-46B3-B032-B2BF68C2B6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98094032"/>
        <c:axId val="1330829552"/>
      </c:barChart>
      <c:catAx>
        <c:axId val="1498094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0829552"/>
        <c:crosses val="autoZero"/>
        <c:auto val="1"/>
        <c:lblAlgn val="ctr"/>
        <c:lblOffset val="100"/>
        <c:noMultiLvlLbl val="0"/>
      </c:catAx>
      <c:valAx>
        <c:axId val="133082955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4980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161513474182063"/>
          <c:y val="0.14856481481481484"/>
          <c:w val="0.7726113146747745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[loan_applications.xlsx]default_risk_by_employment!PivotTable2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</a:t>
            </a:r>
            <a:r>
              <a:rPr lang="en-US" b="1" baseline="0"/>
              <a:t> Risk by Years Employed</a:t>
            </a:r>
            <a:endParaRPr lang="en-US" b="1"/>
          </a:p>
        </c:rich>
      </c:tx>
      <c:layout>
        <c:manualLayout>
          <c:xMode val="edge"/>
          <c:yMode val="edge"/>
          <c:x val="0.30312631512195687"/>
          <c:y val="2.6540110047416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30453434861715"/>
              <c:y val="5.47546660834061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7595908-022B-4093-9F44-A1CB52D33859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918413437910386"/>
              <c:y val="-7.748067949839611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ECEC4FA-EE58-499F-A8FF-6E7A86D30A87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235384320963824"/>
              <c:y val="-7.880098556153913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Employed &lt;2 Years</a:t>
                </a:r>
                <a:br>
                  <a:rPr lang="en-US" sz="1100"/>
                </a:br>
                <a:fld id="{8ECEC4FA-EE58-499F-A8FF-6E7A86D30A87}" type="VALUE">
                  <a:rPr lang="en-US" sz="1100"/>
                  <a:pPr>
                    <a:defRPr sz="1100" b="1"/>
                  </a:pPr>
                  <a:t>[VALUE]</a:t>
                </a:fld>
                <a:endParaRPr lang="en-US" sz="110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Employed</a:t>
                </a:r>
                <a:r>
                  <a:rPr lang="en-US" sz="1100" baseline="0"/>
                  <a:t> &gt;2 Years</a:t>
                </a:r>
                <a:br>
                  <a:rPr lang="en-US" sz="1100" baseline="0"/>
                </a:br>
                <a:fld id="{77595908-022B-4093-9F44-A1CB52D33859}" type="VALUE">
                  <a:rPr lang="en-US" sz="1100"/>
                  <a:pPr>
                    <a:defRPr sz="1100" b="1"/>
                  </a:pPr>
                  <a:t>[VALUE]</a:t>
                </a:fld>
                <a:endParaRPr lang="en-US" sz="11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4830773564661754"/>
          <c:y val="0.1533132838233188"/>
          <c:w val="0.4986618335869803"/>
          <c:h val="0.78513116018461104"/>
        </c:manualLayout>
      </c:layout>
      <c:pieChart>
        <c:varyColors val="1"/>
        <c:ser>
          <c:idx val="0"/>
          <c:order val="0"/>
          <c:tx>
            <c:strRef>
              <c:f>default_risk_by_employment!$Z$2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61-45FB-A9A1-A51DC7A4FA1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61-45FB-A9A1-A51DC7A4FA11}"/>
              </c:ext>
            </c:extLst>
          </c:dPt>
          <c:dLbls>
            <c:dLbl>
              <c:idx val="0"/>
              <c:layout>
                <c:manualLayout>
                  <c:x val="-0.21235384320963824"/>
                  <c:y val="-7.8800985561539139E-2"/>
                </c:manualLayout>
              </c:layout>
              <c:tx>
                <c:rich>
                  <a:bodyPr/>
                  <a:lstStyle/>
                  <a:p>
                    <a:r>
                      <a:rPr lang="en-US" sz="1100"/>
                      <a:t>Employed &lt;2 Years</a:t>
                    </a:r>
                    <a:br>
                      <a:rPr lang="en-US" sz="1100"/>
                    </a:br>
                    <a:fld id="{8ECEC4FA-EE58-499F-A8FF-6E7A86D30A87}" type="VALUE">
                      <a:rPr lang="en-US" sz="1100"/>
                      <a:pPr/>
                      <a:t>[VALUE]</a:t>
                    </a:fld>
                    <a:endParaRPr lang="en-US" sz="1100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A61-45FB-A9A1-A51DC7A4FA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100"/>
                      <a:t>Employed</a:t>
                    </a:r>
                    <a:r>
                      <a:rPr lang="en-US" sz="1100" baseline="0"/>
                      <a:t> &gt;2 Years</a:t>
                    </a:r>
                    <a:br>
                      <a:rPr lang="en-US" sz="1100" baseline="0"/>
                    </a:br>
                    <a:fld id="{77595908-022B-4093-9F44-A1CB52D33859}" type="VALUE">
                      <a:rPr lang="en-US" sz="1100"/>
                      <a:pPr/>
                      <a:t>[VALUE]</a:t>
                    </a:fld>
                    <a:endParaRPr lang="en-US" sz="1100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A61-45FB-A9A1-A51DC7A4F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default_risk_by_employment!$Y$3:$Y$5</c:f>
              <c:strCache>
                <c:ptCount val="2"/>
                <c:pt idx="0">
                  <c:v>Employed &lt;2 Years</c:v>
                </c:pt>
                <c:pt idx="1">
                  <c:v>Employed &gt;2 Years</c:v>
                </c:pt>
              </c:strCache>
            </c:strRef>
          </c:cat>
          <c:val>
            <c:numRef>
              <c:f>default_risk_by_employment!$Z$3:$Z$5</c:f>
              <c:numCache>
                <c:formatCode>0.0%</c:formatCode>
                <c:ptCount val="2"/>
                <c:pt idx="0">
                  <c:v>0.34523809523809523</c:v>
                </c:pt>
                <c:pt idx="1">
                  <c:v>0.22630560928433269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61-45FB-A9A1-A51DC7A4FA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[loan_applications.xlsx]default_rate_per_loan_amount!PivotTable2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Default</a:t>
            </a:r>
            <a:r>
              <a:rPr lang="en-US" sz="2000" b="1" baseline="0"/>
              <a:t> Rate by Loan Purpose</a:t>
            </a:r>
            <a:endParaRPr lang="en-US" sz="2000" b="1"/>
          </a:p>
        </c:rich>
      </c:tx>
      <c:layout>
        <c:manualLayout>
          <c:xMode val="edge"/>
          <c:yMode val="edge"/>
          <c:x val="0.22973916740562322"/>
          <c:y val="1.105128556162999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9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4773135621603813E-3"/>
              <c:y val="1.30081323019238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1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7.4373287925935914E-3"/>
              <c:y val="1.7344176402565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7.4373287925936825E-3"/>
              <c:y val="2.1680220503206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4.9582191950625762E-3"/>
              <c:y val="2.1680220503206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7.4373359561525484E-3"/>
              <c:y val="-4.336044100641290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512315800795165E-3"/>
              <c:y val="1.683131982595620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2322806717115027E-2"/>
                  <c:h val="3.4618610225305164E-2"/>
                </c:manualLayout>
              </c15:layout>
            </c:ext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512315800795165E-3"/>
              <c:y val="-1.234282528699691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5299622828458108E-2"/>
                  <c:h val="2.752651465999446E-2"/>
                </c:manualLayout>
              </c15:layout>
            </c:ext>
          </c:extLst>
        </c:dLbl>
      </c:pivotFmt>
      <c:pivotFmt>
        <c:idx val="37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</c:pivotFmt>
      <c:pivotFmt>
        <c:idx val="39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</c:pivotFmt>
      <c:pivotFmt>
        <c:idx val="41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  <c:pivotFmt>
        <c:idx val="43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188325593847455"/>
                  <c:h val="3.9421602514577103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1574142535184068E-2"/>
          <c:y val="0.21090836512619449"/>
          <c:w val="0.96844482048650016"/>
          <c:h val="0.785190346986272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default_rate_per_loan_amount!$O$3:$O$4</c:f>
              <c:strCache>
                <c:ptCount val="1"/>
                <c:pt idx="0">
                  <c:v>Medical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4E-42A6-BB34-1E4639AD934E}"/>
              </c:ext>
            </c:extLst>
          </c:dPt>
          <c:dLbls>
            <c:dLbl>
              <c:idx val="0"/>
              <c:layout>
                <c:manualLayout>
                  <c:x val="2.1512315800795165E-3"/>
                  <c:y val="1.68313198259562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4E-42A6-BB34-1E4639AD9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default_rate_per_loan_amount!$O$5</c:f>
              <c:numCache>
                <c:formatCode>0.0%</c:formatCode>
                <c:ptCount val="1"/>
                <c:pt idx="0">
                  <c:v>0.20588235294117646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E-42A6-BB34-1E4639AD934E}"/>
            </c:ext>
          </c:extLst>
        </c:ser>
        <c:ser>
          <c:idx val="1"/>
          <c:order val="1"/>
          <c:tx>
            <c:strRef>
              <c:f>default_rate_per_loan_amount!$P$3:$P$4</c:f>
              <c:strCache>
                <c:ptCount val="1"/>
                <c:pt idx="0">
                  <c:v>Moving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54E-42A6-BB34-1E4639AD93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default_rate_per_loan_amount!$P$5</c:f>
              <c:numCache>
                <c:formatCode>0.0%</c:formatCode>
                <c:ptCount val="1"/>
                <c:pt idx="0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4E-42A6-BB34-1E4639AD934E}"/>
            </c:ext>
          </c:extLst>
        </c:ser>
        <c:ser>
          <c:idx val="2"/>
          <c:order val="2"/>
          <c:tx>
            <c:strRef>
              <c:f>default_rate_per_loan_amount!$Q$3:$Q$4</c:f>
              <c:strCache>
                <c:ptCount val="1"/>
                <c:pt idx="0">
                  <c:v>Debt Consolidation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54E-42A6-BB34-1E4639AD93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default_rate_per_loan_amount!$Q$5</c:f>
              <c:numCache>
                <c:formatCode>0.0%</c:formatCode>
                <c:ptCount val="1"/>
                <c:pt idx="0">
                  <c:v>0.21568627450980393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4E-42A6-BB34-1E4639AD934E}"/>
            </c:ext>
          </c:extLst>
        </c:ser>
        <c:ser>
          <c:idx val="3"/>
          <c:order val="3"/>
          <c:tx>
            <c:strRef>
              <c:f>default_rate_per_loan_amount!$R$3:$R$4</c:f>
              <c:strCache>
                <c:ptCount val="1"/>
                <c:pt idx="0">
                  <c:v>Major Purchase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54E-42A6-BB34-1E4639AD934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322806717115027E-2"/>
                      <c:h val="3.46186102253051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54E-42A6-BB34-1E4639AD9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default_rate_per_loan_amount!$R$5</c:f>
              <c:numCache>
                <c:formatCode>0.0%</c:formatCode>
                <c:ptCount val="1"/>
                <c:pt idx="0">
                  <c:v>0.22058823529411764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54E-42A6-BB34-1E4639AD934E}"/>
            </c:ext>
          </c:extLst>
        </c:ser>
        <c:ser>
          <c:idx val="4"/>
          <c:order val="4"/>
          <c:tx>
            <c:strRef>
              <c:f>default_rate_per_loan_amount!$S$3:$S$4</c:f>
              <c:strCache>
                <c:ptCount val="1"/>
                <c:pt idx="0">
                  <c:v>Vacation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54E-42A6-BB34-1E4639AD93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default_rate_per_loan_amount!$S$5</c:f>
              <c:numCache>
                <c:formatCode>0.0%</c:formatCode>
                <c:ptCount val="1"/>
                <c:pt idx="0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54E-42A6-BB34-1E4639AD934E}"/>
            </c:ext>
          </c:extLst>
        </c:ser>
        <c:ser>
          <c:idx val="5"/>
          <c:order val="5"/>
          <c:tx>
            <c:strRef>
              <c:f>default_rate_per_loan_amount!$T$3:$T$4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54E-42A6-BB34-1E4639AD934E}"/>
              </c:ext>
            </c:extLst>
          </c:dPt>
          <c:dLbls>
            <c:dLbl>
              <c:idx val="0"/>
              <c:layout>
                <c:manualLayout>
                  <c:x val="2.1512315800795165E-3"/>
                  <c:y val="-1.2342825286996912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299622828458108E-2"/>
                      <c:h val="2.7526514659994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854E-42A6-BB34-1E4639AD9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default_rate_per_loan_amount!$T$5</c:f>
              <c:numCache>
                <c:formatCode>0.0%</c:formatCode>
                <c:ptCount val="1"/>
                <c:pt idx="0">
                  <c:v>0.22641509433962265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54E-42A6-BB34-1E4639AD934E}"/>
            </c:ext>
          </c:extLst>
        </c:ser>
        <c:ser>
          <c:idx val="6"/>
          <c:order val="6"/>
          <c:tx>
            <c:strRef>
              <c:f>default_rate_per_loan_amount!$U$3:$U$4</c:f>
              <c:strCache>
                <c:ptCount val="1"/>
                <c:pt idx="0">
                  <c:v>Business Loan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54E-42A6-BB34-1E4639AD93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default_rate_per_loan_amount!$U$5</c:f>
              <c:numCache>
                <c:formatCode>0.0%</c:formatCode>
                <c:ptCount val="1"/>
                <c:pt idx="0">
                  <c:v>0.2413793103448276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54E-42A6-BB34-1E4639AD934E}"/>
            </c:ext>
          </c:extLst>
        </c:ser>
        <c:ser>
          <c:idx val="7"/>
          <c:order val="7"/>
          <c:tx>
            <c:strRef>
              <c:f>default_rate_per_loan_amount!$V$3:$V$4</c:f>
              <c:strCache>
                <c:ptCount val="1"/>
                <c:pt idx="0">
                  <c:v>Auto Loan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54E-42A6-BB34-1E4639AD93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default_rate_per_loan_amount!$V$5</c:f>
              <c:numCache>
                <c:formatCode>0.0%</c:formatCode>
                <c:ptCount val="1"/>
                <c:pt idx="0">
                  <c:v>0.2711864406779661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54E-42A6-BB34-1E4639AD934E}"/>
            </c:ext>
          </c:extLst>
        </c:ser>
        <c:ser>
          <c:idx val="8"/>
          <c:order val="8"/>
          <c:tx>
            <c:strRef>
              <c:f>default_rate_per_loan_amount!$W$3:$W$4</c:f>
              <c:strCache>
                <c:ptCount val="1"/>
                <c:pt idx="0">
                  <c:v>Home Improvement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54E-42A6-BB34-1E4639AD93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default_rate_per_loan_amount!$W$5</c:f>
              <c:numCache>
                <c:formatCode>0.0%</c:formatCode>
                <c:ptCount val="1"/>
                <c:pt idx="0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54E-42A6-BB34-1E4639AD934E}"/>
            </c:ext>
          </c:extLst>
        </c:ser>
        <c:ser>
          <c:idx val="9"/>
          <c:order val="9"/>
          <c:tx>
            <c:strRef>
              <c:f>default_rate_per_loan_amount!$X$3:$X$4</c:f>
              <c:strCache>
                <c:ptCount val="1"/>
                <c:pt idx="0">
                  <c:v>Wedding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54E-42A6-BB34-1E4639AD934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88325593847455"/>
                      <c:h val="3.94216025145771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854E-42A6-BB34-1E4639AD9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default_rate_per_loan_amount!$N$5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default_rate_per_loan_amount!$X$5</c:f>
              <c:numCache>
                <c:formatCode>0.0%</c:formatCode>
                <c:ptCount val="1"/>
                <c:pt idx="0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54E-42A6-BB34-1E4639AD93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89812272"/>
        <c:axId val="598585488"/>
      </c:barChart>
      <c:catAx>
        <c:axId val="58981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8585488"/>
        <c:crosses val="autoZero"/>
        <c:auto val="1"/>
        <c:lblAlgn val="ctr"/>
        <c:lblOffset val="100"/>
        <c:noMultiLvlLbl val="0"/>
      </c:catAx>
      <c:valAx>
        <c:axId val="598585488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58981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724415377409863E-2"/>
          <c:y val="7.5596348902392543E-2"/>
          <c:w val="0.9316447012371275"/>
          <c:h val="0.14236648457074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[loan_applications.xlsx]default_rate_by_dti!PivotTable3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</a:t>
            </a:r>
            <a:r>
              <a:rPr lang="en-US" b="1" baseline="0"/>
              <a:t> Rate by DTI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default_rate_by_dti!$P$3:$P$4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898-41E9-8FDE-25DAA6B2C3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default_rate_by_dti!$O$5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default_rate_by_dti!$P$5</c:f>
              <c:numCache>
                <c:formatCode>0.00%</c:formatCode>
                <c:ptCount val="1"/>
                <c:pt idx="0">
                  <c:v>0.11538461538461539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8-41E9-8FDE-25DAA6B2C309}"/>
            </c:ext>
          </c:extLst>
        </c:ser>
        <c:ser>
          <c:idx val="1"/>
          <c:order val="1"/>
          <c:tx>
            <c:strRef>
              <c:f>default_rate_by_dti!$Q$3:$Q$4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898-41E9-8FDE-25DAA6B2C3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default_rate_by_dti!$O$5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default_rate_by_dti!$Q$5</c:f>
              <c:numCache>
                <c:formatCode>0.00%</c:formatCode>
                <c:ptCount val="1"/>
                <c:pt idx="0">
                  <c:v>0.17460317460317459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8-41E9-8FDE-25DAA6B2C309}"/>
            </c:ext>
          </c:extLst>
        </c:ser>
        <c:ser>
          <c:idx val="2"/>
          <c:order val="2"/>
          <c:tx>
            <c:strRef>
              <c:f>default_rate_by_dti!$R$3:$R$4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898-41E9-8FDE-25DAA6B2C3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default_rate_by_dti!$O$5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default_rate_by_dti!$R$5</c:f>
              <c:numCache>
                <c:formatCode>0.00%</c:formatCode>
                <c:ptCount val="1"/>
                <c:pt idx="0">
                  <c:v>0.35784313725490197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98-41E9-8FDE-25DAA6B2C309}"/>
            </c:ext>
          </c:extLst>
        </c:ser>
        <c:ser>
          <c:idx val="3"/>
          <c:order val="3"/>
          <c:tx>
            <c:strRef>
              <c:f>default_rate_by_dti!$S$3:$S$4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default_rate_by_dti!$O$5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default_rate_by_dti!$S$5</c:f>
              <c:numCache>
                <c:formatCode>0.00%</c:formatCode>
                <c:ptCount val="1"/>
                <c:pt idx="0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98-41E9-8FDE-25DAA6B2C309}"/>
            </c:ext>
          </c:extLst>
        </c:ser>
        <c:ser>
          <c:idx val="4"/>
          <c:order val="4"/>
          <c:tx>
            <c:strRef>
              <c:f>default_rate_by_dti!$T$3:$T$4</c:f>
              <c:strCache>
                <c:ptCount val="1"/>
                <c:pt idx="0">
                  <c:v>100-125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default_rate_by_dti!$O$5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default_rate_by_dti!$T$5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98-41E9-8FDE-25DAA6B2C309}"/>
            </c:ext>
          </c:extLst>
        </c:ser>
        <c:ser>
          <c:idx val="5"/>
          <c:order val="5"/>
          <c:tx>
            <c:strRef>
              <c:f>default_rate_by_dti!$U$3:$U$4</c:f>
              <c:strCache>
                <c:ptCount val="1"/>
                <c:pt idx="0">
                  <c:v>125+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default_rate_by_dti!$O$5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default_rate_by_dti!$U$5</c:f>
              <c:numCache>
                <c:formatCode>0.00%</c:formatCode>
                <c:ptCount val="1"/>
                <c:pt idx="0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98-41E9-8FDE-25DAA6B2C3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742576"/>
        <c:axId val="598650288"/>
      </c:barChart>
      <c:catAx>
        <c:axId val="47474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8650288"/>
        <c:crosses val="autoZero"/>
        <c:auto val="1"/>
        <c:lblAlgn val="ctr"/>
        <c:lblOffset val="100"/>
        <c:noMultiLvlLbl val="0"/>
      </c:catAx>
      <c:valAx>
        <c:axId val="598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4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[loan_applications.xlsx]default_rate_by_credit_score!PivotTable1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</a:t>
            </a:r>
            <a:r>
              <a:rPr lang="en-US" baseline="0"/>
              <a:t> Rate by Credit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default_rate_by_credit_score!$Q$3:$Q$4</c:f>
              <c:strCache>
                <c:ptCount val="1"/>
                <c:pt idx="0">
                  <c:v>520-599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A83-4903-AF7F-988284E761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default_rate_by_credit_score!$P$5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default_rate_by_credit_score!$Q$5</c:f>
              <c:numCache>
                <c:formatCode>0.00%</c:formatCode>
                <c:ptCount val="1"/>
                <c:pt idx="0">
                  <c:v>0.49137931034482757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83-4903-AF7F-988284E7619D}"/>
            </c:ext>
          </c:extLst>
        </c:ser>
        <c:ser>
          <c:idx val="1"/>
          <c:order val="1"/>
          <c:tx>
            <c:strRef>
              <c:f>default_rate_by_credit_score!$R$3:$R$4</c:f>
              <c:strCache>
                <c:ptCount val="1"/>
                <c:pt idx="0">
                  <c:v>600-649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A83-4903-AF7F-988284E761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default_rate_by_credit_score!$P$5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default_rate_by_credit_score!$R$5</c:f>
              <c:numCache>
                <c:formatCode>0.00%</c:formatCode>
                <c:ptCount val="1"/>
                <c:pt idx="0">
                  <c:v>0.29032258064516131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83-4903-AF7F-988284E7619D}"/>
            </c:ext>
          </c:extLst>
        </c:ser>
        <c:ser>
          <c:idx val="2"/>
          <c:order val="2"/>
          <c:tx>
            <c:strRef>
              <c:f>default_rate_by_credit_score!$S$3:$S$4</c:f>
              <c:strCache>
                <c:ptCount val="1"/>
                <c:pt idx="0">
                  <c:v>650-699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A83-4903-AF7F-988284E761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default_rate_by_credit_score!$P$5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default_rate_by_credit_score!$S$5</c:f>
              <c:numCache>
                <c:formatCode>0.00%</c:formatCode>
                <c:ptCount val="1"/>
                <c:pt idx="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83-4903-AF7F-988284E7619D}"/>
            </c:ext>
          </c:extLst>
        </c:ser>
        <c:ser>
          <c:idx val="3"/>
          <c:order val="3"/>
          <c:tx>
            <c:strRef>
              <c:f>default_rate_by_credit_score!$T$3:$T$4</c:f>
              <c:strCache>
                <c:ptCount val="1"/>
                <c:pt idx="0">
                  <c:v>700-749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default_rate_by_credit_score!$P$5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default_rate_by_credit_score!$T$5</c:f>
              <c:numCache>
                <c:formatCode>0.00%</c:formatCode>
                <c:ptCount val="1"/>
                <c:pt idx="0">
                  <c:v>0.16279069767441862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83-4903-AF7F-988284E7619D}"/>
            </c:ext>
          </c:extLst>
        </c:ser>
        <c:ser>
          <c:idx val="4"/>
          <c:order val="4"/>
          <c:tx>
            <c:strRef>
              <c:f>default_rate_by_credit_score!$U$3:$U$4</c:f>
              <c:strCache>
                <c:ptCount val="1"/>
                <c:pt idx="0">
                  <c:v>750+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default_rate_by_credit_score!$P$5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default_rate_by_credit_score!$U$5</c:f>
              <c:numCache>
                <c:formatCode>0.00%</c:formatCode>
                <c:ptCount val="1"/>
                <c:pt idx="0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83-4903-AF7F-988284E76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9825728"/>
        <c:axId val="329088976"/>
      </c:barChart>
      <c:catAx>
        <c:axId val="589825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9088976"/>
        <c:crosses val="autoZero"/>
        <c:auto val="1"/>
        <c:lblAlgn val="ctr"/>
        <c:lblOffset val="100"/>
        <c:noMultiLvlLbl val="0"/>
      </c:catAx>
      <c:valAx>
        <c:axId val="3290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2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</xdr:row>
      <xdr:rowOff>95250</xdr:rowOff>
    </xdr:from>
    <xdr:to>
      <xdr:col>24</xdr:col>
      <xdr:colOff>19050</xdr:colOff>
      <xdr:row>12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156748-0FFF-C9EC-B6C2-654255F3CAA1}"/>
            </a:ext>
          </a:extLst>
        </xdr:cNvPr>
        <xdr:cNvSpPr txBox="1"/>
      </xdr:nvSpPr>
      <xdr:spPr>
        <a:xfrm>
          <a:off x="10829925" y="285750"/>
          <a:ext cx="6715125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overall default rate, and how does it break down by credit score range (e.g., 520–599, 600–649, 650–699, 700–749, 750+)? Which credit score bucket has the highest default rate?</a:t>
          </a:r>
        </a:p>
        <a:p>
          <a:pPr lvl="0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there a relationship between a borrower’s debt-to-income (DTI) ratio and the likelihood of defaulting? What DTI threshold would you recommend as a cutoff for loan approval?</a:t>
          </a:r>
        </a:p>
        <a:p>
          <a:pPr lvl="0"/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loan purposes have the highest default rates, and does the average loan amount differ significantly between defaulted and non-defaulted loans?</a:t>
          </a:r>
        </a:p>
        <a:p>
          <a:pPr lvl="0"/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do employment status and years employed affect default risk? Are borrowers with less than 2 years of employment significantly more likely to default?</a:t>
          </a:r>
        </a:p>
        <a:p>
          <a:br>
            <a:rPr lang="en-US"/>
          </a:b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348181</xdr:colOff>
      <xdr:row>9</xdr:row>
      <xdr:rowOff>136072</xdr:rowOff>
    </xdr:from>
    <xdr:to>
      <xdr:col>32</xdr:col>
      <xdr:colOff>136071</xdr:colOff>
      <xdr:row>29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CD2DB-56BB-614C-DE4B-59CD2E7EB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322183</xdr:colOff>
      <xdr:row>10</xdr:row>
      <xdr:rowOff>49553</xdr:rowOff>
    </xdr:from>
    <xdr:to>
      <xdr:col>19</xdr:col>
      <xdr:colOff>57977</xdr:colOff>
      <xdr:row>29</xdr:row>
      <xdr:rowOff>95978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8998299-4999-AB64-EC85-C18A7E270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115956</xdr:colOff>
      <xdr:row>8</xdr:row>
      <xdr:rowOff>165651</xdr:rowOff>
    </xdr:from>
    <xdr:to>
      <xdr:col>9</xdr:col>
      <xdr:colOff>503334</xdr:colOff>
      <xdr:row>51</xdr:row>
      <xdr:rowOff>27214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8A53128-60F7-C18F-F367-768903C05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268593</xdr:colOff>
      <xdr:row>30</xdr:row>
      <xdr:rowOff>85783</xdr:rowOff>
    </xdr:from>
    <xdr:to>
      <xdr:col>32</xdr:col>
      <xdr:colOff>231321</xdr:colOff>
      <xdr:row>50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0B3E039-52ED-2EAA-4482-2AA97F776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222902</xdr:colOff>
      <xdr:row>30</xdr:row>
      <xdr:rowOff>113590</xdr:rowOff>
    </xdr:from>
    <xdr:to>
      <xdr:col>19</xdr:col>
      <xdr:colOff>326572</xdr:colOff>
      <xdr:row>50</xdr:row>
      <xdr:rowOff>108856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CFEBA74-5884-3C80-ABA1-313D4D459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521051</xdr:colOff>
      <xdr:row>5</xdr:row>
      <xdr:rowOff>40660</xdr:rowOff>
    </xdr:from>
    <xdr:to>
      <xdr:col>24</xdr:col>
      <xdr:colOff>306456</xdr:colOff>
      <xdr:row>7</xdr:row>
      <xdr:rowOff>157370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CEA04AA-08F4-1ED4-E23E-C4910123C682}"/>
            </a:ext>
          </a:extLst>
        </xdr:cNvPr>
        <xdr:cNvSpPr txBox="1"/>
      </xdr:nvSpPr>
      <xdr:spPr>
        <a:xfrm>
          <a:off x="14618051" y="993160"/>
          <a:ext cx="398318" cy="497710"/>
        </a:xfrm>
        <a:prstGeom prst="rect">
          <a:avLst/>
        </a:prstGeom>
        <a:solidFill>
          <a:srgbClr val="F7F6F3"/>
        </a:solidFill>
        <a:ln w="9525" cmpd="sng">
          <a:solidFill>
            <a:srgbClr val="F7F6F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 b="1">
            <a:latin typeface="+mj-lt"/>
          </a:endParaRPr>
        </a:p>
      </xdr:txBody>
    </xdr:sp>
    <xdr:clientData/>
  </xdr:twoCellAnchor>
  <xdr:twoCellAnchor>
    <xdr:from>
      <xdr:col>0</xdr:col>
      <xdr:colOff>190500</xdr:colOff>
      <xdr:row>1</xdr:row>
      <xdr:rowOff>40821</xdr:rowOff>
    </xdr:from>
    <xdr:to>
      <xdr:col>7</xdr:col>
      <xdr:colOff>438979</xdr:colOff>
      <xdr:row>7</xdr:row>
      <xdr:rowOff>8281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A711B85-4BE2-03B5-2DF9-F05919A864B7}"/>
            </a:ext>
          </a:extLst>
        </xdr:cNvPr>
        <xdr:cNvSpPr/>
      </xdr:nvSpPr>
      <xdr:spPr>
        <a:xfrm>
          <a:off x="190500" y="231321"/>
          <a:ext cx="4534729" cy="1110460"/>
        </a:xfrm>
        <a:prstGeom prst="roundRect">
          <a:avLst/>
        </a:prstGeom>
        <a:solidFill>
          <a:srgbClr val="E4DDCB"/>
        </a:solidFill>
        <a:ln>
          <a:solidFill>
            <a:srgbClr val="F7F6F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Horizon</a:t>
          </a:r>
          <a:r>
            <a:rPr lang="en-US" sz="2400" b="1" baseline="0">
              <a:solidFill>
                <a:schemeClr val="tx1"/>
              </a:solidFill>
            </a:rPr>
            <a:t> Finacial Group</a:t>
          </a:r>
          <a:br>
            <a:rPr lang="en-US" sz="2400" b="1" baseline="0">
              <a:solidFill>
                <a:schemeClr val="tx1"/>
              </a:solidFill>
            </a:rPr>
          </a:br>
          <a:r>
            <a:rPr lang="en-US" sz="2400" b="1" baseline="0">
              <a:solidFill>
                <a:schemeClr val="tx1"/>
              </a:solidFill>
            </a:rPr>
            <a:t>Personal Loan Analysis | 2026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116549</xdr:colOff>
      <xdr:row>2</xdr:row>
      <xdr:rowOff>13607</xdr:rowOff>
    </xdr:from>
    <xdr:to>
      <xdr:col>18</xdr:col>
      <xdr:colOff>231322</xdr:colOff>
      <xdr:row>6</xdr:row>
      <xdr:rowOff>176893</xdr:rowOff>
    </xdr:to>
    <xdr:sp macro="" textlink="">
      <xdr:nvSpPr>
        <xdr:cNvPr id="15" name="KPI Card - Default Rate">
          <a:extLst>
            <a:ext uri="{FF2B5EF4-FFF2-40B4-BE49-F238E27FC236}">
              <a16:creationId xmlns:a16="http://schemas.microsoft.com/office/drawing/2014/main" id="{8845A122-E8EA-4413-AF20-3FF3C414A198}"/>
            </a:ext>
          </a:extLst>
        </xdr:cNvPr>
        <xdr:cNvSpPr/>
      </xdr:nvSpPr>
      <xdr:spPr>
        <a:xfrm>
          <a:off x="8076728" y="394607"/>
          <a:ext cx="3176380" cy="925286"/>
        </a:xfrm>
        <a:prstGeom prst="roundRect">
          <a:avLst/>
        </a:prstGeom>
        <a:solidFill>
          <a:srgbClr val="E4DDCB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OVERALL DEFAULT RATE</a:t>
          </a:r>
        </a:p>
        <a:p>
          <a:pPr algn="ctr"/>
          <a:r>
            <a:rPr lang="en-US" sz="2400" b="1" baseline="0">
              <a:solidFill>
                <a:schemeClr val="accent2"/>
              </a:solidFill>
            </a:rPr>
            <a:t>24.8%</a:t>
          </a:r>
          <a:endParaRPr lang="en-US" sz="2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19</xdr:col>
      <xdr:colOff>421821</xdr:colOff>
      <xdr:row>1</xdr:row>
      <xdr:rowOff>176894</xdr:rowOff>
    </xdr:from>
    <xdr:to>
      <xdr:col>24</xdr:col>
      <xdr:colOff>571501</xdr:colOff>
      <xdr:row>6</xdr:row>
      <xdr:rowOff>176894</xdr:rowOff>
    </xdr:to>
    <xdr:sp macro="" textlink="">
      <xdr:nvSpPr>
        <xdr:cNvPr id="17" name="KPI Card - Total Loans">
          <a:extLst>
            <a:ext uri="{FF2B5EF4-FFF2-40B4-BE49-F238E27FC236}">
              <a16:creationId xmlns:a16="http://schemas.microsoft.com/office/drawing/2014/main" id="{4D7FF1EA-3D4C-457E-BE3D-7EA92EC4E7AF}"/>
            </a:ext>
          </a:extLst>
        </xdr:cNvPr>
        <xdr:cNvSpPr/>
      </xdr:nvSpPr>
      <xdr:spPr>
        <a:xfrm>
          <a:off x="12055928" y="367394"/>
          <a:ext cx="3211287" cy="952500"/>
        </a:xfrm>
        <a:prstGeom prst="roundRect">
          <a:avLst/>
        </a:prstGeom>
        <a:solidFill>
          <a:srgbClr val="E4DDCB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TOTAL LOANS</a:t>
          </a:r>
        </a:p>
        <a:p>
          <a:pPr algn="ctr"/>
          <a:r>
            <a:rPr lang="en-US" sz="2400" b="1" baseline="0">
              <a:solidFill>
                <a:schemeClr val="accent6">
                  <a:lumMod val="75000"/>
                </a:schemeClr>
              </a:solidFill>
            </a:rPr>
            <a:t>601</a:t>
          </a:r>
          <a:endParaRPr lang="en-US" sz="24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26</xdr:col>
      <xdr:colOff>69218</xdr:colOff>
      <xdr:row>1</xdr:row>
      <xdr:rowOff>176894</xdr:rowOff>
    </xdr:from>
    <xdr:to>
      <xdr:col>31</xdr:col>
      <xdr:colOff>231321</xdr:colOff>
      <xdr:row>6</xdr:row>
      <xdr:rowOff>165025</xdr:rowOff>
    </xdr:to>
    <xdr:sp macro="" textlink="">
      <xdr:nvSpPr>
        <xdr:cNvPr id="19" name="KPI Card - Avg Credit Score">
          <a:extLst>
            <a:ext uri="{FF2B5EF4-FFF2-40B4-BE49-F238E27FC236}">
              <a16:creationId xmlns:a16="http://schemas.microsoft.com/office/drawing/2014/main" id="{6D46EEA9-8247-4A71-B7CA-56D6340A869F}"/>
            </a:ext>
          </a:extLst>
        </xdr:cNvPr>
        <xdr:cNvSpPr/>
      </xdr:nvSpPr>
      <xdr:spPr>
        <a:xfrm>
          <a:off x="15989575" y="367394"/>
          <a:ext cx="3223710" cy="940631"/>
        </a:xfrm>
        <a:prstGeom prst="roundRect">
          <a:avLst/>
        </a:prstGeom>
        <a:solidFill>
          <a:srgbClr val="E4DDCB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AVG. CREDIT SCORE</a:t>
          </a:r>
        </a:p>
        <a:p>
          <a:pPr algn="ctr"/>
          <a:r>
            <a:rPr lang="en-US" sz="2400" b="1" baseline="0">
              <a:solidFill>
                <a:schemeClr val="accent1"/>
              </a:solidFill>
            </a:rPr>
            <a:t>520–599</a:t>
          </a:r>
          <a:endParaRPr lang="en-US" sz="2400" b="1">
            <a:solidFill>
              <a:schemeClr val="accent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orrower_profiles.csv" TargetMode="External"/><Relationship Id="rId1" Type="http://schemas.openxmlformats.org/officeDocument/2006/relationships/externalLinkPath" Target="borrower_profil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rrower_profiles"/>
    </sheetNames>
    <sheetDataSet>
      <sheetData sheetId="0">
        <row r="2">
          <cell r="A2" t="str">
            <v>BRW-0001</v>
          </cell>
          <cell r="E2" t="str">
            <v>Self-Employed</v>
          </cell>
          <cell r="F2">
            <v>6</v>
          </cell>
          <cell r="H2">
            <v>596</v>
          </cell>
        </row>
        <row r="3">
          <cell r="A3" t="str">
            <v>BRW-0002</v>
          </cell>
          <cell r="E3" t="str">
            <v>Full-Time</v>
          </cell>
          <cell r="F3">
            <v>4</v>
          </cell>
          <cell r="H3">
            <v>543</v>
          </cell>
        </row>
        <row r="4">
          <cell r="A4" t="str">
            <v>BRW-0003</v>
          </cell>
          <cell r="E4" t="str">
            <v>Contract</v>
          </cell>
          <cell r="F4">
            <v>22</v>
          </cell>
          <cell r="H4">
            <v>611</v>
          </cell>
        </row>
        <row r="5">
          <cell r="A5" t="str">
            <v>BRW-0004</v>
          </cell>
          <cell r="E5" t="str">
            <v>Full-Time</v>
          </cell>
          <cell r="F5">
            <v>19</v>
          </cell>
          <cell r="H5">
            <v>701</v>
          </cell>
        </row>
        <row r="6">
          <cell r="A6" t="str">
            <v>BRW-0005</v>
          </cell>
          <cell r="E6" t="str">
            <v>Full-Time</v>
          </cell>
          <cell r="F6">
            <v>18</v>
          </cell>
          <cell r="H6">
            <v>715</v>
          </cell>
        </row>
        <row r="7">
          <cell r="A7" t="str">
            <v>BRW-0006</v>
          </cell>
          <cell r="E7" t="str">
            <v>Contract</v>
          </cell>
          <cell r="F7">
            <v>8</v>
          </cell>
          <cell r="H7">
            <v>749</v>
          </cell>
        </row>
        <row r="8">
          <cell r="A8" t="str">
            <v>BRW-0007</v>
          </cell>
          <cell r="E8" t="str">
            <v>Self-Employed</v>
          </cell>
          <cell r="F8">
            <v>5</v>
          </cell>
          <cell r="H8">
            <v>576</v>
          </cell>
        </row>
        <row r="9">
          <cell r="A9" t="str">
            <v>BRW-0008</v>
          </cell>
          <cell r="E9" t="str">
            <v>Full-Time</v>
          </cell>
          <cell r="F9">
            <v>14</v>
          </cell>
          <cell r="H9">
            <v>563</v>
          </cell>
        </row>
        <row r="10">
          <cell r="A10" t="str">
            <v>BRW-0009</v>
          </cell>
          <cell r="E10" t="str">
            <v>Part-Time</v>
          </cell>
          <cell r="F10">
            <v>15</v>
          </cell>
          <cell r="H10">
            <v>643</v>
          </cell>
        </row>
        <row r="11">
          <cell r="A11" t="str">
            <v>BRW-0010</v>
          </cell>
          <cell r="E11" t="str">
            <v>Part-Time</v>
          </cell>
          <cell r="F11">
            <v>6</v>
          </cell>
          <cell r="H11">
            <v>824</v>
          </cell>
        </row>
        <row r="12">
          <cell r="A12" t="str">
            <v>BRW-0011</v>
          </cell>
          <cell r="E12" t="str">
            <v>Full-Time</v>
          </cell>
          <cell r="F12">
            <v>2</v>
          </cell>
          <cell r="H12">
            <v>586</v>
          </cell>
        </row>
        <row r="13">
          <cell r="A13" t="str">
            <v>BRW-0012</v>
          </cell>
          <cell r="E13" t="str">
            <v>Retired</v>
          </cell>
          <cell r="F13">
            <v>0</v>
          </cell>
          <cell r="H13">
            <v>813</v>
          </cell>
        </row>
        <row r="14">
          <cell r="A14" t="str">
            <v>BRW-0013</v>
          </cell>
          <cell r="E14" t="str">
            <v>Full-Time</v>
          </cell>
          <cell r="F14">
            <v>14</v>
          </cell>
          <cell r="H14">
            <v>615</v>
          </cell>
        </row>
        <row r="15">
          <cell r="A15" t="str">
            <v>BRW-0014</v>
          </cell>
          <cell r="E15" t="str">
            <v>Full-Time</v>
          </cell>
          <cell r="F15">
            <v>19</v>
          </cell>
          <cell r="H15">
            <v>850</v>
          </cell>
        </row>
        <row r="16">
          <cell r="A16" t="str">
            <v>BRW-0015</v>
          </cell>
          <cell r="E16" t="str">
            <v>Self-Employed</v>
          </cell>
          <cell r="F16">
            <v>9</v>
          </cell>
          <cell r="H16">
            <v>535</v>
          </cell>
        </row>
        <row r="17">
          <cell r="A17" t="str">
            <v>BRW-0016</v>
          </cell>
          <cell r="E17" t="str">
            <v>Full-Time</v>
          </cell>
          <cell r="F17">
            <v>2</v>
          </cell>
          <cell r="H17">
            <v>570</v>
          </cell>
        </row>
        <row r="18">
          <cell r="A18" t="str">
            <v>BRW-0017</v>
          </cell>
          <cell r="E18" t="str">
            <v>Full-Time</v>
          </cell>
          <cell r="F18">
            <v>8</v>
          </cell>
          <cell r="H18">
            <v>665</v>
          </cell>
        </row>
        <row r="19">
          <cell r="A19" t="str">
            <v>BRW-0018</v>
          </cell>
          <cell r="E19" t="str">
            <v>Self-Employed</v>
          </cell>
          <cell r="F19">
            <v>28</v>
          </cell>
          <cell r="H19">
            <v>726</v>
          </cell>
        </row>
        <row r="20">
          <cell r="A20" t="str">
            <v>BRW-0019</v>
          </cell>
          <cell r="E20" t="str">
            <v>Part-Time</v>
          </cell>
          <cell r="F20">
            <v>2</v>
          </cell>
          <cell r="H20">
            <v>528</v>
          </cell>
        </row>
        <row r="21">
          <cell r="A21" t="str">
            <v>BRW-0020</v>
          </cell>
          <cell r="E21" t="str">
            <v>Full-Time</v>
          </cell>
          <cell r="F21">
            <v>17</v>
          </cell>
          <cell r="H21">
            <v>639</v>
          </cell>
        </row>
        <row r="22">
          <cell r="A22" t="str">
            <v>BRW-0021</v>
          </cell>
          <cell r="E22" t="str">
            <v>Contract</v>
          </cell>
          <cell r="F22">
            <v>13</v>
          </cell>
          <cell r="H22">
            <v>584</v>
          </cell>
        </row>
        <row r="23">
          <cell r="A23" t="str">
            <v>BRW-0022</v>
          </cell>
          <cell r="E23" t="str">
            <v>Part-Time</v>
          </cell>
          <cell r="F23">
            <v>6</v>
          </cell>
          <cell r="H23">
            <v>698</v>
          </cell>
        </row>
        <row r="24">
          <cell r="A24" t="str">
            <v>BRW-0023</v>
          </cell>
          <cell r="E24" t="str">
            <v>Full-Time</v>
          </cell>
          <cell r="F24">
            <v>12</v>
          </cell>
          <cell r="H24">
            <v>761</v>
          </cell>
        </row>
        <row r="25">
          <cell r="A25" t="str">
            <v>BRW-0024</v>
          </cell>
          <cell r="E25" t="str">
            <v>Retired</v>
          </cell>
          <cell r="F25">
            <v>10</v>
          </cell>
          <cell r="H25">
            <v>661</v>
          </cell>
        </row>
        <row r="26">
          <cell r="A26" t="str">
            <v>BRW-0025</v>
          </cell>
          <cell r="E26" t="str">
            <v>Full-Time</v>
          </cell>
          <cell r="F26">
            <v>2</v>
          </cell>
          <cell r="H26">
            <v>757</v>
          </cell>
        </row>
        <row r="27">
          <cell r="A27" t="str">
            <v>BRW-0026</v>
          </cell>
          <cell r="E27" t="str">
            <v>Full-Time</v>
          </cell>
          <cell r="F27">
            <v>34</v>
          </cell>
          <cell r="H27">
            <v>559</v>
          </cell>
        </row>
        <row r="28">
          <cell r="A28" t="str">
            <v>BRW-0027</v>
          </cell>
          <cell r="E28" t="str">
            <v>Full-Time</v>
          </cell>
          <cell r="F28">
            <v>5</v>
          </cell>
          <cell r="H28">
            <v>790</v>
          </cell>
        </row>
        <row r="29">
          <cell r="A29" t="str">
            <v>BRW-0028</v>
          </cell>
          <cell r="E29" t="str">
            <v>Retired</v>
          </cell>
          <cell r="F29">
            <v>1</v>
          </cell>
          <cell r="H29">
            <v>826</v>
          </cell>
        </row>
        <row r="30">
          <cell r="A30" t="str">
            <v>BRW-0029</v>
          </cell>
          <cell r="E30" t="str">
            <v>Full-Time</v>
          </cell>
          <cell r="F30">
            <v>8</v>
          </cell>
          <cell r="H30">
            <v>667</v>
          </cell>
        </row>
        <row r="31">
          <cell r="A31" t="str">
            <v>BRW-0030</v>
          </cell>
          <cell r="E31" t="str">
            <v>Part-Time</v>
          </cell>
          <cell r="F31">
            <v>0</v>
          </cell>
          <cell r="H31">
            <v>576</v>
          </cell>
        </row>
        <row r="32">
          <cell r="A32" t="str">
            <v>BRW-0031</v>
          </cell>
          <cell r="E32" t="str">
            <v>Full-Time</v>
          </cell>
          <cell r="F32">
            <v>5</v>
          </cell>
          <cell r="H32">
            <v>813</v>
          </cell>
        </row>
        <row r="33">
          <cell r="A33" t="str">
            <v>BRW-0032</v>
          </cell>
          <cell r="E33" t="str">
            <v>Self-Employed</v>
          </cell>
          <cell r="F33">
            <v>16</v>
          </cell>
          <cell r="H33">
            <v>603</v>
          </cell>
        </row>
        <row r="34">
          <cell r="A34" t="str">
            <v>BRW-0033</v>
          </cell>
          <cell r="E34" t="str">
            <v>Self-Employed</v>
          </cell>
          <cell r="F34">
            <v>8</v>
          </cell>
          <cell r="H34">
            <v>850</v>
          </cell>
        </row>
        <row r="35">
          <cell r="A35" t="str">
            <v>BRW-0034</v>
          </cell>
          <cell r="E35" t="str">
            <v>Contract</v>
          </cell>
          <cell r="F35">
            <v>2</v>
          </cell>
          <cell r="H35">
            <v>700</v>
          </cell>
        </row>
        <row r="36">
          <cell r="A36" t="str">
            <v>BRW-0035</v>
          </cell>
          <cell r="E36" t="str">
            <v>Full-Time</v>
          </cell>
          <cell r="F36">
            <v>34</v>
          </cell>
          <cell r="H36">
            <v>606</v>
          </cell>
        </row>
        <row r="37">
          <cell r="A37" t="str">
            <v>BRW-0036</v>
          </cell>
          <cell r="E37" t="str">
            <v>Full-Time</v>
          </cell>
          <cell r="F37">
            <v>5</v>
          </cell>
          <cell r="H37">
            <v>550</v>
          </cell>
        </row>
        <row r="38">
          <cell r="A38" t="str">
            <v>BRW-0037</v>
          </cell>
          <cell r="E38" t="str">
            <v>Full-Time</v>
          </cell>
          <cell r="F38">
            <v>15</v>
          </cell>
          <cell r="H38">
            <v>624</v>
          </cell>
        </row>
        <row r="39">
          <cell r="A39" t="str">
            <v>BRW-0038</v>
          </cell>
          <cell r="E39" t="str">
            <v>Retired</v>
          </cell>
          <cell r="F39">
            <v>1</v>
          </cell>
          <cell r="H39">
            <v>735</v>
          </cell>
        </row>
        <row r="40">
          <cell r="A40" t="str">
            <v>BRW-0039</v>
          </cell>
          <cell r="E40" t="str">
            <v>Full-Time</v>
          </cell>
          <cell r="F40">
            <v>2</v>
          </cell>
          <cell r="H40">
            <v>785</v>
          </cell>
        </row>
        <row r="41">
          <cell r="A41" t="str">
            <v>BRW-0040</v>
          </cell>
          <cell r="E41" t="str">
            <v>Full-Time</v>
          </cell>
          <cell r="F41">
            <v>22</v>
          </cell>
          <cell r="H41">
            <v>672</v>
          </cell>
        </row>
        <row r="42">
          <cell r="A42" t="str">
            <v>BRW-0041</v>
          </cell>
          <cell r="E42" t="str">
            <v>Full-Time</v>
          </cell>
          <cell r="F42">
            <v>18</v>
          </cell>
          <cell r="H42">
            <v>641</v>
          </cell>
        </row>
        <row r="43">
          <cell r="A43" t="str">
            <v>BRW-0042</v>
          </cell>
          <cell r="E43" t="str">
            <v>Full-Time</v>
          </cell>
          <cell r="F43">
            <v>3</v>
          </cell>
          <cell r="H43">
            <v>806</v>
          </cell>
        </row>
        <row r="44">
          <cell r="A44" t="str">
            <v>BRW-0043</v>
          </cell>
          <cell r="E44" t="str">
            <v>Retired</v>
          </cell>
          <cell r="F44">
            <v>11</v>
          </cell>
          <cell r="H44">
            <v>625</v>
          </cell>
        </row>
        <row r="45">
          <cell r="A45" t="str">
            <v>BRW-0044</v>
          </cell>
          <cell r="E45" t="str">
            <v>Self-Employed</v>
          </cell>
          <cell r="F45">
            <v>26</v>
          </cell>
          <cell r="H45">
            <v>698</v>
          </cell>
        </row>
        <row r="46">
          <cell r="A46" t="str">
            <v>BRW-0045</v>
          </cell>
          <cell r="E46" t="str">
            <v>Full-Time</v>
          </cell>
          <cell r="F46">
            <v>19</v>
          </cell>
          <cell r="H46">
            <v>629</v>
          </cell>
        </row>
        <row r="47">
          <cell r="A47" t="str">
            <v>BRW-0046</v>
          </cell>
          <cell r="E47" t="str">
            <v>Self-Employed</v>
          </cell>
          <cell r="F47">
            <v>14</v>
          </cell>
          <cell r="H47">
            <v>694</v>
          </cell>
        </row>
        <row r="48">
          <cell r="A48" t="str">
            <v>BRW-0047</v>
          </cell>
          <cell r="E48" t="str">
            <v>Full-Time</v>
          </cell>
          <cell r="F48">
            <v>5</v>
          </cell>
          <cell r="H48">
            <v>850</v>
          </cell>
        </row>
        <row r="49">
          <cell r="A49" t="str">
            <v>BRW-0048</v>
          </cell>
          <cell r="E49" t="str">
            <v>Full-Time</v>
          </cell>
          <cell r="F49">
            <v>13</v>
          </cell>
          <cell r="H49">
            <v>842</v>
          </cell>
        </row>
        <row r="50">
          <cell r="A50" t="str">
            <v>BRW-0049</v>
          </cell>
          <cell r="E50" t="str">
            <v>Full-Time</v>
          </cell>
          <cell r="F50">
            <v>10</v>
          </cell>
          <cell r="H50">
            <v>615</v>
          </cell>
        </row>
        <row r="51">
          <cell r="A51" t="str">
            <v>BRW-0050</v>
          </cell>
          <cell r="E51" t="str">
            <v>Full-Time</v>
          </cell>
          <cell r="F51">
            <v>7</v>
          </cell>
          <cell r="H51">
            <v>815</v>
          </cell>
        </row>
        <row r="52">
          <cell r="A52" t="str">
            <v>BRW-0051</v>
          </cell>
          <cell r="E52" t="str">
            <v>Self-Employed</v>
          </cell>
          <cell r="F52">
            <v>5</v>
          </cell>
          <cell r="H52">
            <v>850</v>
          </cell>
        </row>
        <row r="53">
          <cell r="A53" t="str">
            <v>BRW-0052</v>
          </cell>
          <cell r="E53" t="str">
            <v>Contract</v>
          </cell>
          <cell r="F53">
            <v>30</v>
          </cell>
          <cell r="H53">
            <v>616</v>
          </cell>
        </row>
        <row r="54">
          <cell r="A54" t="str">
            <v>BRW-0053</v>
          </cell>
          <cell r="E54" t="str">
            <v>Full-Time</v>
          </cell>
          <cell r="F54">
            <v>15</v>
          </cell>
          <cell r="H54">
            <v>681</v>
          </cell>
        </row>
        <row r="55">
          <cell r="A55" t="str">
            <v>BRW-0054</v>
          </cell>
          <cell r="E55" t="str">
            <v>Self-Employed</v>
          </cell>
          <cell r="F55">
            <v>6</v>
          </cell>
          <cell r="H55">
            <v>567</v>
          </cell>
        </row>
        <row r="56">
          <cell r="A56" t="str">
            <v>BRW-0055</v>
          </cell>
          <cell r="E56" t="str">
            <v>Self-Employed</v>
          </cell>
          <cell r="F56">
            <v>27</v>
          </cell>
          <cell r="H56">
            <v>555</v>
          </cell>
        </row>
        <row r="57">
          <cell r="A57" t="str">
            <v>BRW-0056</v>
          </cell>
          <cell r="E57" t="str">
            <v>Full-Time</v>
          </cell>
          <cell r="F57">
            <v>17</v>
          </cell>
          <cell r="H57">
            <v>749</v>
          </cell>
        </row>
        <row r="58">
          <cell r="A58" t="str">
            <v>BRW-0057</v>
          </cell>
          <cell r="E58" t="str">
            <v>Full-Time</v>
          </cell>
          <cell r="F58">
            <v>25</v>
          </cell>
          <cell r="H58">
            <v>697</v>
          </cell>
        </row>
        <row r="59">
          <cell r="A59" t="str">
            <v>BRW-0058</v>
          </cell>
          <cell r="E59" t="str">
            <v>Contract</v>
          </cell>
          <cell r="F59">
            <v>5</v>
          </cell>
          <cell r="H59">
            <v>548</v>
          </cell>
        </row>
        <row r="60">
          <cell r="A60" t="str">
            <v>BRW-0059</v>
          </cell>
          <cell r="E60" t="str">
            <v>Full-Time</v>
          </cell>
          <cell r="F60">
            <v>8</v>
          </cell>
          <cell r="H60">
            <v>729</v>
          </cell>
        </row>
        <row r="61">
          <cell r="A61" t="str">
            <v>BRW-0060</v>
          </cell>
          <cell r="E61" t="str">
            <v>Full-Time</v>
          </cell>
          <cell r="F61">
            <v>14</v>
          </cell>
          <cell r="H61">
            <v>709</v>
          </cell>
        </row>
        <row r="62">
          <cell r="A62" t="str">
            <v>BRW-0061</v>
          </cell>
          <cell r="E62" t="str">
            <v>Full-Time</v>
          </cell>
          <cell r="F62">
            <v>1</v>
          </cell>
          <cell r="H62">
            <v>608</v>
          </cell>
        </row>
        <row r="63">
          <cell r="A63" t="str">
            <v>BRW-0062</v>
          </cell>
          <cell r="E63" t="str">
            <v>Self-Employed</v>
          </cell>
          <cell r="F63">
            <v>7</v>
          </cell>
          <cell r="H63">
            <v>840</v>
          </cell>
        </row>
        <row r="64">
          <cell r="A64" t="str">
            <v>BRW-0063</v>
          </cell>
          <cell r="E64" t="str">
            <v>Part-Time</v>
          </cell>
          <cell r="F64">
            <v>3</v>
          </cell>
          <cell r="H64">
            <v>727</v>
          </cell>
        </row>
        <row r="65">
          <cell r="A65" t="str">
            <v>BRW-0064</v>
          </cell>
          <cell r="E65" t="str">
            <v>Self-Employed</v>
          </cell>
          <cell r="F65">
            <v>7</v>
          </cell>
          <cell r="H65">
            <v>837</v>
          </cell>
        </row>
        <row r="66">
          <cell r="A66" t="str">
            <v>BRW-0065</v>
          </cell>
          <cell r="E66" t="str">
            <v>Full-Time</v>
          </cell>
          <cell r="F66">
            <v>27</v>
          </cell>
          <cell r="H66">
            <v>546</v>
          </cell>
        </row>
        <row r="67">
          <cell r="A67" t="str">
            <v>BRW-0066</v>
          </cell>
          <cell r="E67" t="str">
            <v>Full-Time</v>
          </cell>
          <cell r="F67">
            <v>33</v>
          </cell>
          <cell r="H67">
            <v>625</v>
          </cell>
        </row>
        <row r="68">
          <cell r="A68" t="str">
            <v>BRW-0067</v>
          </cell>
          <cell r="E68" t="str">
            <v>Contract</v>
          </cell>
          <cell r="F68">
            <v>15</v>
          </cell>
          <cell r="H68">
            <v>700</v>
          </cell>
        </row>
        <row r="69">
          <cell r="A69" t="str">
            <v>BRW-0068</v>
          </cell>
          <cell r="E69" t="str">
            <v>Self-Employed</v>
          </cell>
          <cell r="F69">
            <v>20</v>
          </cell>
          <cell r="H69">
            <v>788</v>
          </cell>
        </row>
        <row r="70">
          <cell r="A70" t="str">
            <v>BRW-0069</v>
          </cell>
          <cell r="E70" t="str">
            <v>Self-Employed</v>
          </cell>
          <cell r="F70">
            <v>16</v>
          </cell>
          <cell r="H70">
            <v>540</v>
          </cell>
        </row>
        <row r="71">
          <cell r="A71" t="str">
            <v>BRW-0070</v>
          </cell>
          <cell r="E71" t="str">
            <v>Self-Employed</v>
          </cell>
          <cell r="F71">
            <v>28</v>
          </cell>
          <cell r="H71">
            <v>796</v>
          </cell>
        </row>
        <row r="72">
          <cell r="A72" t="str">
            <v>BRW-0071</v>
          </cell>
          <cell r="E72" t="str">
            <v>Part-Time</v>
          </cell>
          <cell r="F72">
            <v>11</v>
          </cell>
          <cell r="H72">
            <v>796</v>
          </cell>
        </row>
        <row r="73">
          <cell r="A73" t="str">
            <v>BRW-0072</v>
          </cell>
          <cell r="E73" t="str">
            <v>Full-Time</v>
          </cell>
          <cell r="F73">
            <v>20</v>
          </cell>
          <cell r="H73">
            <v>623</v>
          </cell>
        </row>
        <row r="74">
          <cell r="A74" t="str">
            <v>BRW-0073</v>
          </cell>
          <cell r="E74" t="str">
            <v>Full-Time</v>
          </cell>
          <cell r="F74">
            <v>9</v>
          </cell>
          <cell r="H74">
            <v>803</v>
          </cell>
        </row>
        <row r="75">
          <cell r="A75" t="str">
            <v>BRW-0074</v>
          </cell>
          <cell r="E75" t="str">
            <v>Full-Time</v>
          </cell>
          <cell r="F75">
            <v>1</v>
          </cell>
          <cell r="H75">
            <v>670</v>
          </cell>
        </row>
        <row r="76">
          <cell r="A76" t="str">
            <v>BRW-0075</v>
          </cell>
          <cell r="E76" t="str">
            <v>Full-Time</v>
          </cell>
          <cell r="F76">
            <v>18</v>
          </cell>
          <cell r="H76">
            <v>843</v>
          </cell>
        </row>
        <row r="77">
          <cell r="A77" t="str">
            <v>BRW-0076</v>
          </cell>
          <cell r="E77" t="str">
            <v>Full-Time</v>
          </cell>
          <cell r="F77">
            <v>15</v>
          </cell>
          <cell r="H77">
            <v>755</v>
          </cell>
        </row>
        <row r="78">
          <cell r="A78" t="str">
            <v>BRW-0077</v>
          </cell>
          <cell r="E78" t="str">
            <v>Full-Time</v>
          </cell>
          <cell r="F78">
            <v>26</v>
          </cell>
          <cell r="H78">
            <v>820</v>
          </cell>
        </row>
        <row r="79">
          <cell r="A79" t="str">
            <v>BRW-0078</v>
          </cell>
          <cell r="E79" t="str">
            <v>Full-Time</v>
          </cell>
          <cell r="F79">
            <v>9</v>
          </cell>
          <cell r="H79">
            <v>759</v>
          </cell>
        </row>
        <row r="80">
          <cell r="A80" t="str">
            <v>BRW-0079</v>
          </cell>
          <cell r="E80" t="str">
            <v>Full-Time</v>
          </cell>
          <cell r="F80">
            <v>5</v>
          </cell>
          <cell r="H80">
            <v>652</v>
          </cell>
        </row>
        <row r="81">
          <cell r="A81" t="str">
            <v>BRW-0080</v>
          </cell>
          <cell r="E81" t="str">
            <v>Full-Time</v>
          </cell>
          <cell r="F81">
            <v>29</v>
          </cell>
          <cell r="H81">
            <v>674</v>
          </cell>
        </row>
        <row r="82">
          <cell r="A82" t="str">
            <v>BRW-0081</v>
          </cell>
          <cell r="E82" t="str">
            <v>Contract</v>
          </cell>
          <cell r="F82">
            <v>34</v>
          </cell>
          <cell r="H82">
            <v>588</v>
          </cell>
        </row>
        <row r="83">
          <cell r="A83" t="str">
            <v>BRW-0082</v>
          </cell>
          <cell r="E83" t="str">
            <v>Self-Employed</v>
          </cell>
          <cell r="F83">
            <v>2</v>
          </cell>
          <cell r="H83">
            <v>821</v>
          </cell>
        </row>
        <row r="84">
          <cell r="A84" t="str">
            <v>BRW-0083</v>
          </cell>
          <cell r="E84" t="str">
            <v>Full-Time</v>
          </cell>
          <cell r="F84">
            <v>13</v>
          </cell>
          <cell r="H84">
            <v>550</v>
          </cell>
        </row>
        <row r="85">
          <cell r="A85" t="str">
            <v>BRW-0084</v>
          </cell>
          <cell r="E85" t="str">
            <v>Part-Time</v>
          </cell>
          <cell r="F85">
            <v>2</v>
          </cell>
          <cell r="H85">
            <v>672</v>
          </cell>
        </row>
        <row r="86">
          <cell r="A86" t="str">
            <v>BRW-0085</v>
          </cell>
          <cell r="E86" t="str">
            <v>Part-Time</v>
          </cell>
          <cell r="F86">
            <v>2</v>
          </cell>
          <cell r="H86">
            <v>776</v>
          </cell>
        </row>
        <row r="87">
          <cell r="A87" t="str">
            <v>BRW-0086</v>
          </cell>
          <cell r="E87" t="str">
            <v>Self-Employed</v>
          </cell>
          <cell r="F87">
            <v>12</v>
          </cell>
          <cell r="H87">
            <v>735</v>
          </cell>
        </row>
        <row r="88">
          <cell r="A88" t="str">
            <v>BRW-0087</v>
          </cell>
          <cell r="E88" t="str">
            <v>Full-Time</v>
          </cell>
          <cell r="F88">
            <v>8</v>
          </cell>
          <cell r="H88">
            <v>550</v>
          </cell>
        </row>
        <row r="89">
          <cell r="A89" t="str">
            <v>BRW-0088</v>
          </cell>
          <cell r="E89" t="str">
            <v>Self-Employed</v>
          </cell>
          <cell r="F89">
            <v>8</v>
          </cell>
          <cell r="H89">
            <v>811</v>
          </cell>
        </row>
        <row r="90">
          <cell r="A90" t="str">
            <v>BRW-0089</v>
          </cell>
          <cell r="E90" t="str">
            <v>Part-Time</v>
          </cell>
          <cell r="F90">
            <v>2</v>
          </cell>
          <cell r="H90">
            <v>611</v>
          </cell>
        </row>
        <row r="91">
          <cell r="A91" t="str">
            <v>BRW-0090</v>
          </cell>
          <cell r="E91" t="str">
            <v>Full-Time</v>
          </cell>
          <cell r="F91">
            <v>4</v>
          </cell>
          <cell r="H91">
            <v>795</v>
          </cell>
        </row>
        <row r="92">
          <cell r="A92" t="str">
            <v>BRW-0091</v>
          </cell>
          <cell r="E92" t="str">
            <v>Part-Time</v>
          </cell>
          <cell r="F92">
            <v>32</v>
          </cell>
          <cell r="H92">
            <v>831</v>
          </cell>
        </row>
        <row r="93">
          <cell r="A93" t="str">
            <v>BRW-0092</v>
          </cell>
          <cell r="E93" t="str">
            <v>Self-Employed</v>
          </cell>
          <cell r="F93">
            <v>9</v>
          </cell>
          <cell r="H93">
            <v>531</v>
          </cell>
        </row>
        <row r="94">
          <cell r="A94" t="str">
            <v>BRW-0093</v>
          </cell>
          <cell r="E94" t="str">
            <v>Full-Time</v>
          </cell>
          <cell r="F94">
            <v>24</v>
          </cell>
          <cell r="H94">
            <v>710</v>
          </cell>
        </row>
        <row r="95">
          <cell r="A95" t="str">
            <v>BRW-0094</v>
          </cell>
          <cell r="E95" t="str">
            <v>Full-Time</v>
          </cell>
          <cell r="F95">
            <v>10</v>
          </cell>
          <cell r="H95">
            <v>562</v>
          </cell>
        </row>
        <row r="96">
          <cell r="A96" t="str">
            <v>BRW-0095</v>
          </cell>
          <cell r="E96" t="str">
            <v>Self-Employed</v>
          </cell>
          <cell r="F96">
            <v>8</v>
          </cell>
          <cell r="H96">
            <v>553</v>
          </cell>
        </row>
        <row r="97">
          <cell r="A97" t="str">
            <v>BRW-0096</v>
          </cell>
          <cell r="E97" t="str">
            <v>Contract</v>
          </cell>
          <cell r="F97">
            <v>13</v>
          </cell>
          <cell r="H97">
            <v>598</v>
          </cell>
        </row>
        <row r="98">
          <cell r="A98" t="str">
            <v>BRW-0097</v>
          </cell>
          <cell r="E98" t="str">
            <v>Self-Employed</v>
          </cell>
          <cell r="F98">
            <v>17</v>
          </cell>
          <cell r="H98">
            <v>698</v>
          </cell>
        </row>
        <row r="99">
          <cell r="A99" t="str">
            <v>BRW-0098</v>
          </cell>
          <cell r="E99" t="str">
            <v>Full-Time</v>
          </cell>
          <cell r="F99">
            <v>18</v>
          </cell>
          <cell r="H99">
            <v>850</v>
          </cell>
        </row>
        <row r="100">
          <cell r="A100" t="str">
            <v>BRW-0099</v>
          </cell>
          <cell r="E100" t="str">
            <v>Full-Time</v>
          </cell>
          <cell r="F100">
            <v>1</v>
          </cell>
          <cell r="H100">
            <v>688</v>
          </cell>
        </row>
        <row r="101">
          <cell r="A101" t="str">
            <v>BRW-0100</v>
          </cell>
          <cell r="E101" t="str">
            <v>Full-Time</v>
          </cell>
          <cell r="F101">
            <v>5</v>
          </cell>
          <cell r="H101">
            <v>622</v>
          </cell>
        </row>
        <row r="102">
          <cell r="A102" t="str">
            <v>BRW-0101</v>
          </cell>
          <cell r="E102" t="str">
            <v>Part-Time</v>
          </cell>
          <cell r="F102">
            <v>8</v>
          </cell>
          <cell r="H102">
            <v>850</v>
          </cell>
        </row>
        <row r="103">
          <cell r="A103" t="str">
            <v>BRW-0102</v>
          </cell>
          <cell r="E103" t="str">
            <v>Full-Time</v>
          </cell>
          <cell r="F103">
            <v>18</v>
          </cell>
          <cell r="H103">
            <v>711</v>
          </cell>
        </row>
        <row r="104">
          <cell r="A104" t="str">
            <v>BRW-0103</v>
          </cell>
          <cell r="E104" t="str">
            <v>Full-Time</v>
          </cell>
          <cell r="F104">
            <v>12</v>
          </cell>
          <cell r="H104">
            <v>646</v>
          </cell>
        </row>
        <row r="105">
          <cell r="A105" t="str">
            <v>BRW-0104</v>
          </cell>
          <cell r="E105" t="str">
            <v>Self-Employed</v>
          </cell>
          <cell r="F105">
            <v>0</v>
          </cell>
          <cell r="H105">
            <v>829</v>
          </cell>
        </row>
        <row r="106">
          <cell r="A106" t="str">
            <v>BRW-0105</v>
          </cell>
          <cell r="E106" t="str">
            <v>Full-Time</v>
          </cell>
          <cell r="F106">
            <v>20</v>
          </cell>
          <cell r="H106">
            <v>662</v>
          </cell>
        </row>
        <row r="107">
          <cell r="A107" t="str">
            <v>BRW-0106</v>
          </cell>
          <cell r="E107" t="str">
            <v>Full-Time</v>
          </cell>
          <cell r="F107">
            <v>2</v>
          </cell>
          <cell r="H107">
            <v>850</v>
          </cell>
        </row>
        <row r="108">
          <cell r="A108" t="str">
            <v>BRW-0107</v>
          </cell>
          <cell r="E108" t="str">
            <v>Full-Time</v>
          </cell>
          <cell r="F108">
            <v>3</v>
          </cell>
          <cell r="H108">
            <v>619</v>
          </cell>
        </row>
        <row r="109">
          <cell r="A109" t="str">
            <v>BRW-0108</v>
          </cell>
          <cell r="E109" t="str">
            <v>Contract</v>
          </cell>
          <cell r="F109">
            <v>18</v>
          </cell>
          <cell r="H109">
            <v>781</v>
          </cell>
        </row>
        <row r="110">
          <cell r="A110" t="str">
            <v>BRW-0109</v>
          </cell>
          <cell r="E110" t="str">
            <v>Retired</v>
          </cell>
          <cell r="F110">
            <v>6</v>
          </cell>
          <cell r="H110">
            <v>728</v>
          </cell>
        </row>
        <row r="111">
          <cell r="A111" t="str">
            <v>BRW-0110</v>
          </cell>
          <cell r="E111" t="str">
            <v>Full-Time</v>
          </cell>
          <cell r="F111">
            <v>18</v>
          </cell>
          <cell r="H111">
            <v>674</v>
          </cell>
        </row>
        <row r="112">
          <cell r="A112" t="str">
            <v>BRW-0111</v>
          </cell>
          <cell r="E112" t="str">
            <v>Part-Time</v>
          </cell>
          <cell r="F112">
            <v>7</v>
          </cell>
          <cell r="H112">
            <v>697</v>
          </cell>
        </row>
        <row r="113">
          <cell r="A113" t="str">
            <v>BRW-0112</v>
          </cell>
          <cell r="E113" t="str">
            <v>Full-Time</v>
          </cell>
          <cell r="F113">
            <v>9</v>
          </cell>
          <cell r="H113">
            <v>549</v>
          </cell>
        </row>
        <row r="114">
          <cell r="A114" t="str">
            <v>BRW-0113</v>
          </cell>
          <cell r="E114" t="str">
            <v>Full-Time</v>
          </cell>
          <cell r="F114">
            <v>6</v>
          </cell>
          <cell r="H114">
            <v>821</v>
          </cell>
        </row>
        <row r="115">
          <cell r="A115" t="str">
            <v>BRW-0114</v>
          </cell>
          <cell r="E115" t="str">
            <v>Part-Time</v>
          </cell>
          <cell r="F115">
            <v>0</v>
          </cell>
          <cell r="H115">
            <v>678</v>
          </cell>
        </row>
        <row r="116">
          <cell r="A116" t="str">
            <v>BRW-0115</v>
          </cell>
          <cell r="E116" t="str">
            <v>Self-Employed</v>
          </cell>
          <cell r="F116">
            <v>11</v>
          </cell>
          <cell r="H116">
            <v>850</v>
          </cell>
        </row>
        <row r="117">
          <cell r="A117" t="str">
            <v>BRW-0116</v>
          </cell>
          <cell r="E117" t="str">
            <v>Full-Time</v>
          </cell>
          <cell r="F117">
            <v>3</v>
          </cell>
          <cell r="H117">
            <v>540</v>
          </cell>
        </row>
        <row r="118">
          <cell r="A118" t="str">
            <v>BRW-0117</v>
          </cell>
          <cell r="E118" t="str">
            <v>Self-Employed</v>
          </cell>
          <cell r="F118">
            <v>7</v>
          </cell>
          <cell r="H118">
            <v>635</v>
          </cell>
        </row>
        <row r="119">
          <cell r="A119" t="str">
            <v>BRW-0118</v>
          </cell>
          <cell r="E119" t="str">
            <v>Full-Time</v>
          </cell>
          <cell r="F119">
            <v>5</v>
          </cell>
          <cell r="H119">
            <v>663</v>
          </cell>
        </row>
        <row r="120">
          <cell r="A120" t="str">
            <v>BRW-0119</v>
          </cell>
          <cell r="E120" t="str">
            <v>Full-Time</v>
          </cell>
          <cell r="F120">
            <v>13</v>
          </cell>
          <cell r="H120">
            <v>594</v>
          </cell>
        </row>
        <row r="121">
          <cell r="A121" t="str">
            <v>BRW-0120</v>
          </cell>
          <cell r="E121" t="str">
            <v>Full-Time</v>
          </cell>
          <cell r="F121">
            <v>1</v>
          </cell>
          <cell r="H121">
            <v>849</v>
          </cell>
        </row>
        <row r="122">
          <cell r="A122" t="str">
            <v>BRW-0121</v>
          </cell>
          <cell r="E122" t="str">
            <v>Full-Time</v>
          </cell>
          <cell r="F122">
            <v>27</v>
          </cell>
          <cell r="H122">
            <v>750</v>
          </cell>
        </row>
        <row r="123">
          <cell r="A123" t="str">
            <v>BRW-0122</v>
          </cell>
          <cell r="E123" t="str">
            <v>Full-Time</v>
          </cell>
          <cell r="F123">
            <v>5</v>
          </cell>
          <cell r="H123">
            <v>844</v>
          </cell>
        </row>
        <row r="124">
          <cell r="A124" t="str">
            <v>BRW-0123</v>
          </cell>
          <cell r="E124" t="str">
            <v>Self-Employed</v>
          </cell>
          <cell r="F124">
            <v>13</v>
          </cell>
          <cell r="H124">
            <v>812</v>
          </cell>
        </row>
        <row r="125">
          <cell r="A125" t="str">
            <v>BRW-0124</v>
          </cell>
          <cell r="E125" t="str">
            <v>Self-Employed</v>
          </cell>
          <cell r="F125">
            <v>16</v>
          </cell>
          <cell r="H125">
            <v>695</v>
          </cell>
        </row>
        <row r="126">
          <cell r="A126" t="str">
            <v>BRW-0125</v>
          </cell>
          <cell r="E126" t="str">
            <v>Full-Time</v>
          </cell>
          <cell r="F126">
            <v>2</v>
          </cell>
          <cell r="H126">
            <v>725</v>
          </cell>
        </row>
        <row r="127">
          <cell r="A127" t="str">
            <v>BRW-0126</v>
          </cell>
          <cell r="E127" t="str">
            <v>Full-Time</v>
          </cell>
          <cell r="F127">
            <v>3</v>
          </cell>
          <cell r="H127">
            <v>746</v>
          </cell>
        </row>
        <row r="128">
          <cell r="A128" t="str">
            <v>BRW-0127</v>
          </cell>
          <cell r="E128" t="str">
            <v>Self-Employed</v>
          </cell>
          <cell r="F128">
            <v>22</v>
          </cell>
          <cell r="H128">
            <v>580</v>
          </cell>
        </row>
        <row r="129">
          <cell r="A129" t="str">
            <v>BRW-0128</v>
          </cell>
          <cell r="E129" t="str">
            <v>Contract</v>
          </cell>
          <cell r="F129">
            <v>0</v>
          </cell>
          <cell r="H129">
            <v>850</v>
          </cell>
        </row>
        <row r="130">
          <cell r="A130" t="str">
            <v>BRW-0129</v>
          </cell>
          <cell r="E130" t="str">
            <v>Self-Employed</v>
          </cell>
          <cell r="F130">
            <v>0</v>
          </cell>
          <cell r="H130">
            <v>714</v>
          </cell>
        </row>
        <row r="131">
          <cell r="A131" t="str">
            <v>BRW-0130</v>
          </cell>
          <cell r="E131" t="str">
            <v>Retired</v>
          </cell>
          <cell r="F131">
            <v>3</v>
          </cell>
          <cell r="H131">
            <v>796</v>
          </cell>
        </row>
        <row r="132">
          <cell r="A132" t="str">
            <v>BRW-0131</v>
          </cell>
          <cell r="E132" t="str">
            <v>Retired</v>
          </cell>
          <cell r="F132">
            <v>9</v>
          </cell>
          <cell r="H132">
            <v>551</v>
          </cell>
        </row>
        <row r="133">
          <cell r="A133" t="str">
            <v>BRW-0132</v>
          </cell>
          <cell r="E133" t="str">
            <v>Full-Time</v>
          </cell>
          <cell r="F133">
            <v>6</v>
          </cell>
          <cell r="H133">
            <v>674</v>
          </cell>
        </row>
        <row r="134">
          <cell r="A134" t="str">
            <v>BRW-0133</v>
          </cell>
          <cell r="E134" t="str">
            <v>Full-Time</v>
          </cell>
          <cell r="F134">
            <v>14</v>
          </cell>
          <cell r="H134">
            <v>563</v>
          </cell>
        </row>
        <row r="135">
          <cell r="A135" t="str">
            <v>BRW-0134</v>
          </cell>
          <cell r="E135" t="str">
            <v>Self-Employed</v>
          </cell>
          <cell r="F135">
            <v>0</v>
          </cell>
          <cell r="H135">
            <v>596</v>
          </cell>
        </row>
        <row r="136">
          <cell r="A136" t="str">
            <v>BRW-0135</v>
          </cell>
          <cell r="E136" t="str">
            <v>Part-Time</v>
          </cell>
          <cell r="F136">
            <v>4</v>
          </cell>
          <cell r="H136">
            <v>706</v>
          </cell>
        </row>
        <row r="137">
          <cell r="A137" t="str">
            <v>BRW-0136</v>
          </cell>
          <cell r="E137" t="str">
            <v>Part-Time</v>
          </cell>
          <cell r="F137">
            <v>3</v>
          </cell>
          <cell r="H137">
            <v>850</v>
          </cell>
        </row>
        <row r="138">
          <cell r="A138" t="str">
            <v>BRW-0137</v>
          </cell>
          <cell r="E138" t="str">
            <v>Self-Employed</v>
          </cell>
          <cell r="F138">
            <v>6</v>
          </cell>
          <cell r="H138">
            <v>758</v>
          </cell>
        </row>
        <row r="139">
          <cell r="A139" t="str">
            <v>BRW-0138</v>
          </cell>
          <cell r="E139" t="str">
            <v>Full-Time</v>
          </cell>
          <cell r="F139">
            <v>16</v>
          </cell>
          <cell r="H139">
            <v>589</v>
          </cell>
        </row>
        <row r="140">
          <cell r="A140" t="str">
            <v>BRW-0139</v>
          </cell>
          <cell r="E140" t="str">
            <v>Retired</v>
          </cell>
          <cell r="F140">
            <v>7</v>
          </cell>
          <cell r="H140">
            <v>605</v>
          </cell>
        </row>
        <row r="141">
          <cell r="A141" t="str">
            <v>BRW-0140</v>
          </cell>
          <cell r="E141" t="str">
            <v>Retired</v>
          </cell>
          <cell r="F141">
            <v>28</v>
          </cell>
          <cell r="H141">
            <v>762</v>
          </cell>
        </row>
        <row r="142">
          <cell r="A142" t="str">
            <v>BRW-0141</v>
          </cell>
          <cell r="E142" t="str">
            <v>Retired</v>
          </cell>
          <cell r="F142">
            <v>4</v>
          </cell>
          <cell r="H142">
            <v>750</v>
          </cell>
        </row>
        <row r="143">
          <cell r="A143" t="str">
            <v>BRW-0142</v>
          </cell>
          <cell r="E143" t="str">
            <v>Full-Time</v>
          </cell>
          <cell r="F143">
            <v>0</v>
          </cell>
          <cell r="H143">
            <v>554</v>
          </cell>
        </row>
        <row r="144">
          <cell r="A144" t="str">
            <v>BRW-0143</v>
          </cell>
          <cell r="E144" t="str">
            <v>Full-Time</v>
          </cell>
          <cell r="F144">
            <v>0</v>
          </cell>
          <cell r="H144">
            <v>818</v>
          </cell>
        </row>
        <row r="145">
          <cell r="A145" t="str">
            <v>BRW-0144</v>
          </cell>
          <cell r="E145" t="str">
            <v>Full-Time</v>
          </cell>
          <cell r="F145">
            <v>21</v>
          </cell>
          <cell r="H145">
            <v>582</v>
          </cell>
        </row>
        <row r="146">
          <cell r="A146" t="str">
            <v>BRW-0145</v>
          </cell>
          <cell r="E146" t="str">
            <v>Retired</v>
          </cell>
          <cell r="F146">
            <v>5</v>
          </cell>
          <cell r="H146">
            <v>842</v>
          </cell>
        </row>
        <row r="147">
          <cell r="A147" t="str">
            <v>BRW-0146</v>
          </cell>
          <cell r="E147" t="str">
            <v>Full-Time</v>
          </cell>
          <cell r="F147">
            <v>2</v>
          </cell>
          <cell r="H147">
            <v>711</v>
          </cell>
        </row>
        <row r="148">
          <cell r="A148" t="str">
            <v>BRW-0147</v>
          </cell>
          <cell r="E148" t="str">
            <v>Retired</v>
          </cell>
          <cell r="F148">
            <v>21</v>
          </cell>
          <cell r="H148">
            <v>611</v>
          </cell>
        </row>
        <row r="149">
          <cell r="A149" t="str">
            <v>BRW-0148</v>
          </cell>
          <cell r="E149" t="str">
            <v>Full-Time</v>
          </cell>
          <cell r="F149">
            <v>19</v>
          </cell>
          <cell r="H149">
            <v>578</v>
          </cell>
        </row>
        <row r="150">
          <cell r="A150" t="str">
            <v>BRW-0149</v>
          </cell>
          <cell r="E150" t="str">
            <v>Retired</v>
          </cell>
          <cell r="F150">
            <v>5</v>
          </cell>
          <cell r="H150">
            <v>809</v>
          </cell>
        </row>
        <row r="151">
          <cell r="A151" t="str">
            <v>BRW-0150</v>
          </cell>
          <cell r="E151" t="str">
            <v>Full-Time</v>
          </cell>
          <cell r="F151">
            <v>6</v>
          </cell>
          <cell r="H151">
            <v>778</v>
          </cell>
        </row>
        <row r="152">
          <cell r="A152" t="str">
            <v>BRW-0151</v>
          </cell>
          <cell r="E152" t="str">
            <v>Full-Time</v>
          </cell>
          <cell r="F152">
            <v>0</v>
          </cell>
          <cell r="H152">
            <v>809</v>
          </cell>
        </row>
        <row r="153">
          <cell r="A153" t="str">
            <v>BRW-0152</v>
          </cell>
          <cell r="E153" t="str">
            <v>Full-Time</v>
          </cell>
          <cell r="F153">
            <v>25</v>
          </cell>
          <cell r="H153">
            <v>849</v>
          </cell>
        </row>
        <row r="154">
          <cell r="A154" t="str">
            <v>BRW-0153</v>
          </cell>
          <cell r="E154" t="str">
            <v>Retired</v>
          </cell>
          <cell r="F154">
            <v>14</v>
          </cell>
          <cell r="H154">
            <v>764</v>
          </cell>
        </row>
        <row r="155">
          <cell r="A155" t="str">
            <v>BRW-0154</v>
          </cell>
          <cell r="E155" t="str">
            <v>Retired</v>
          </cell>
          <cell r="F155">
            <v>12</v>
          </cell>
          <cell r="H155">
            <v>771</v>
          </cell>
        </row>
        <row r="156">
          <cell r="A156" t="str">
            <v>BRW-0155</v>
          </cell>
          <cell r="E156" t="str">
            <v>Contract</v>
          </cell>
          <cell r="F156">
            <v>0</v>
          </cell>
          <cell r="H156">
            <v>663</v>
          </cell>
        </row>
        <row r="157">
          <cell r="A157" t="str">
            <v>BRW-0156</v>
          </cell>
          <cell r="E157" t="str">
            <v>Contract</v>
          </cell>
          <cell r="F157">
            <v>17</v>
          </cell>
          <cell r="H157">
            <v>617</v>
          </cell>
        </row>
        <row r="158">
          <cell r="A158" t="str">
            <v>BRW-0157</v>
          </cell>
          <cell r="E158" t="str">
            <v>Contract</v>
          </cell>
          <cell r="F158">
            <v>1</v>
          </cell>
          <cell r="H158">
            <v>762</v>
          </cell>
        </row>
        <row r="159">
          <cell r="A159" t="str">
            <v>BRW-0158</v>
          </cell>
          <cell r="E159" t="str">
            <v>Full-Time</v>
          </cell>
          <cell r="F159">
            <v>25</v>
          </cell>
          <cell r="H159">
            <v>696</v>
          </cell>
        </row>
        <row r="160">
          <cell r="A160" t="str">
            <v>BRW-0159</v>
          </cell>
          <cell r="E160" t="str">
            <v>Self-Employed</v>
          </cell>
          <cell r="F160">
            <v>0</v>
          </cell>
          <cell r="H160">
            <v>850</v>
          </cell>
        </row>
        <row r="161">
          <cell r="A161" t="str">
            <v>BRW-0160</v>
          </cell>
          <cell r="E161" t="str">
            <v>Part-Time</v>
          </cell>
          <cell r="F161">
            <v>15</v>
          </cell>
          <cell r="H161">
            <v>677</v>
          </cell>
        </row>
        <row r="162">
          <cell r="A162" t="str">
            <v>BRW-0161</v>
          </cell>
          <cell r="E162" t="str">
            <v>Full-Time</v>
          </cell>
          <cell r="F162">
            <v>34</v>
          </cell>
          <cell r="H162">
            <v>845</v>
          </cell>
        </row>
        <row r="163">
          <cell r="A163" t="str">
            <v>BRW-0162</v>
          </cell>
          <cell r="E163" t="str">
            <v>Part-Time</v>
          </cell>
          <cell r="F163">
            <v>5</v>
          </cell>
          <cell r="H163">
            <v>738</v>
          </cell>
        </row>
        <row r="164">
          <cell r="A164" t="str">
            <v>BRW-0163</v>
          </cell>
          <cell r="E164" t="str">
            <v>Self-Employed</v>
          </cell>
          <cell r="F164">
            <v>24</v>
          </cell>
          <cell r="H164">
            <v>545</v>
          </cell>
        </row>
        <row r="165">
          <cell r="A165" t="str">
            <v>BRW-0164</v>
          </cell>
          <cell r="E165" t="str">
            <v>Full-Time</v>
          </cell>
          <cell r="F165">
            <v>3</v>
          </cell>
          <cell r="H165">
            <v>658</v>
          </cell>
        </row>
        <row r="166">
          <cell r="A166" t="str">
            <v>BRW-0165</v>
          </cell>
          <cell r="E166" t="str">
            <v>Contract</v>
          </cell>
          <cell r="F166">
            <v>22</v>
          </cell>
          <cell r="H166">
            <v>767</v>
          </cell>
        </row>
        <row r="167">
          <cell r="A167" t="str">
            <v>BRW-0166</v>
          </cell>
          <cell r="E167" t="str">
            <v>Full-Time</v>
          </cell>
          <cell r="F167">
            <v>20</v>
          </cell>
          <cell r="H167">
            <v>551</v>
          </cell>
        </row>
        <row r="168">
          <cell r="A168" t="str">
            <v>BRW-0167</v>
          </cell>
          <cell r="E168" t="str">
            <v>Self-Employed</v>
          </cell>
          <cell r="F168">
            <v>3</v>
          </cell>
          <cell r="H168">
            <v>707</v>
          </cell>
        </row>
        <row r="169">
          <cell r="A169" t="str">
            <v>BRW-0168</v>
          </cell>
          <cell r="E169" t="str">
            <v>Self-Employed</v>
          </cell>
          <cell r="F169">
            <v>10</v>
          </cell>
          <cell r="H169">
            <v>747</v>
          </cell>
        </row>
        <row r="170">
          <cell r="A170" t="str">
            <v>BRW-0169</v>
          </cell>
          <cell r="E170" t="str">
            <v>Full-Time</v>
          </cell>
          <cell r="F170">
            <v>11</v>
          </cell>
          <cell r="H170">
            <v>750</v>
          </cell>
        </row>
        <row r="171">
          <cell r="A171" t="str">
            <v>BRW-0170</v>
          </cell>
          <cell r="E171" t="str">
            <v>Part-Time</v>
          </cell>
          <cell r="F171">
            <v>11</v>
          </cell>
          <cell r="H171">
            <v>752</v>
          </cell>
        </row>
        <row r="172">
          <cell r="A172" t="str">
            <v>BRW-0171</v>
          </cell>
          <cell r="E172" t="str">
            <v>Retired</v>
          </cell>
          <cell r="F172">
            <v>21</v>
          </cell>
          <cell r="H172">
            <v>568</v>
          </cell>
        </row>
        <row r="173">
          <cell r="A173" t="str">
            <v>BRW-0172</v>
          </cell>
          <cell r="E173" t="str">
            <v>Full-Time</v>
          </cell>
          <cell r="F173">
            <v>0</v>
          </cell>
          <cell r="H173">
            <v>774</v>
          </cell>
        </row>
        <row r="174">
          <cell r="A174" t="str">
            <v>BRW-0173</v>
          </cell>
          <cell r="E174" t="str">
            <v>Full-Time</v>
          </cell>
          <cell r="F174">
            <v>11</v>
          </cell>
          <cell r="H174">
            <v>765</v>
          </cell>
        </row>
        <row r="175">
          <cell r="A175" t="str">
            <v>BRW-0174</v>
          </cell>
          <cell r="E175" t="str">
            <v>Part-Time</v>
          </cell>
          <cell r="F175">
            <v>0</v>
          </cell>
          <cell r="H175">
            <v>583</v>
          </cell>
        </row>
        <row r="176">
          <cell r="A176" t="str">
            <v>BRW-0175</v>
          </cell>
          <cell r="E176" t="str">
            <v>Full-Time</v>
          </cell>
          <cell r="F176">
            <v>4</v>
          </cell>
          <cell r="H176">
            <v>843</v>
          </cell>
        </row>
        <row r="177">
          <cell r="A177" t="str">
            <v>BRW-0176</v>
          </cell>
          <cell r="E177" t="str">
            <v>Contract</v>
          </cell>
          <cell r="F177">
            <v>6</v>
          </cell>
          <cell r="H177">
            <v>579</v>
          </cell>
        </row>
        <row r="178">
          <cell r="A178" t="str">
            <v>BRW-0177</v>
          </cell>
          <cell r="E178" t="str">
            <v>Full-Time</v>
          </cell>
          <cell r="F178">
            <v>11</v>
          </cell>
          <cell r="H178">
            <v>610</v>
          </cell>
        </row>
        <row r="179">
          <cell r="A179" t="str">
            <v>BRW-0178</v>
          </cell>
          <cell r="E179" t="str">
            <v>Full-Time</v>
          </cell>
          <cell r="F179">
            <v>5</v>
          </cell>
          <cell r="H179">
            <v>823</v>
          </cell>
        </row>
        <row r="180">
          <cell r="A180" t="str">
            <v>BRW-0179</v>
          </cell>
          <cell r="E180" t="str">
            <v>Retired</v>
          </cell>
          <cell r="F180">
            <v>3</v>
          </cell>
          <cell r="H180">
            <v>794</v>
          </cell>
        </row>
        <row r="181">
          <cell r="A181" t="str">
            <v>BRW-0180</v>
          </cell>
          <cell r="E181" t="str">
            <v>Full-Time</v>
          </cell>
          <cell r="F181">
            <v>4</v>
          </cell>
          <cell r="H181">
            <v>716</v>
          </cell>
        </row>
        <row r="182">
          <cell r="A182" t="str">
            <v>BRW-0181</v>
          </cell>
          <cell r="E182" t="str">
            <v>Contract</v>
          </cell>
          <cell r="F182">
            <v>8</v>
          </cell>
          <cell r="H182">
            <v>593</v>
          </cell>
        </row>
        <row r="183">
          <cell r="A183" t="str">
            <v>BRW-0182</v>
          </cell>
          <cell r="E183" t="str">
            <v>Retired</v>
          </cell>
          <cell r="F183">
            <v>8</v>
          </cell>
          <cell r="H183">
            <v>570</v>
          </cell>
        </row>
        <row r="184">
          <cell r="A184" t="str">
            <v>BRW-0183</v>
          </cell>
          <cell r="E184" t="str">
            <v>Full-Time</v>
          </cell>
          <cell r="F184">
            <v>9</v>
          </cell>
          <cell r="H184">
            <v>827</v>
          </cell>
        </row>
        <row r="185">
          <cell r="A185" t="str">
            <v>BRW-0184</v>
          </cell>
          <cell r="E185" t="str">
            <v>Contract</v>
          </cell>
          <cell r="F185">
            <v>16</v>
          </cell>
          <cell r="H185">
            <v>850</v>
          </cell>
        </row>
        <row r="186">
          <cell r="A186" t="str">
            <v>BRW-0185</v>
          </cell>
          <cell r="E186" t="str">
            <v>Part-Time</v>
          </cell>
          <cell r="F186">
            <v>3</v>
          </cell>
          <cell r="H186">
            <v>679</v>
          </cell>
        </row>
        <row r="187">
          <cell r="A187" t="str">
            <v>BRW-0186</v>
          </cell>
          <cell r="E187" t="str">
            <v>Full-Time</v>
          </cell>
          <cell r="F187">
            <v>1</v>
          </cell>
          <cell r="H187">
            <v>772</v>
          </cell>
        </row>
        <row r="188">
          <cell r="A188" t="str">
            <v>BRW-0187</v>
          </cell>
          <cell r="E188" t="str">
            <v>Full-Time</v>
          </cell>
          <cell r="F188">
            <v>32</v>
          </cell>
          <cell r="H188">
            <v>734</v>
          </cell>
        </row>
        <row r="189">
          <cell r="A189" t="str">
            <v>BRW-0188</v>
          </cell>
          <cell r="E189" t="str">
            <v>Full-Time</v>
          </cell>
          <cell r="F189">
            <v>27</v>
          </cell>
          <cell r="H189">
            <v>726</v>
          </cell>
        </row>
        <row r="190">
          <cell r="A190" t="str">
            <v>BRW-0189</v>
          </cell>
          <cell r="E190" t="str">
            <v>Self-Employed</v>
          </cell>
          <cell r="F190">
            <v>15</v>
          </cell>
          <cell r="H190">
            <v>616</v>
          </cell>
        </row>
        <row r="191">
          <cell r="A191" t="str">
            <v>BRW-0190</v>
          </cell>
          <cell r="E191" t="str">
            <v>Full-Time</v>
          </cell>
          <cell r="F191">
            <v>1</v>
          </cell>
          <cell r="H191">
            <v>648</v>
          </cell>
        </row>
        <row r="192">
          <cell r="A192" t="str">
            <v>BRW-0191</v>
          </cell>
          <cell r="E192" t="str">
            <v>Full-Time</v>
          </cell>
          <cell r="F192">
            <v>27</v>
          </cell>
          <cell r="H192">
            <v>585</v>
          </cell>
        </row>
        <row r="193">
          <cell r="A193" t="str">
            <v>BRW-0192</v>
          </cell>
          <cell r="E193" t="str">
            <v>Full-Time</v>
          </cell>
          <cell r="F193">
            <v>17</v>
          </cell>
          <cell r="H193">
            <v>715</v>
          </cell>
        </row>
        <row r="194">
          <cell r="A194" t="str">
            <v>BRW-0193</v>
          </cell>
          <cell r="E194" t="str">
            <v>Part-Time</v>
          </cell>
          <cell r="F194">
            <v>3</v>
          </cell>
          <cell r="H194">
            <v>595</v>
          </cell>
        </row>
        <row r="195">
          <cell r="A195" t="str">
            <v>BRW-0194</v>
          </cell>
          <cell r="E195" t="str">
            <v>Full-Time</v>
          </cell>
          <cell r="F195">
            <v>1</v>
          </cell>
          <cell r="H195">
            <v>796</v>
          </cell>
        </row>
        <row r="196">
          <cell r="A196" t="str">
            <v>BRW-0195</v>
          </cell>
          <cell r="E196" t="str">
            <v>Part-Time</v>
          </cell>
          <cell r="F196">
            <v>20</v>
          </cell>
          <cell r="H196">
            <v>697</v>
          </cell>
        </row>
        <row r="197">
          <cell r="A197" t="str">
            <v>BRW-0196</v>
          </cell>
          <cell r="E197" t="str">
            <v>Full-Time</v>
          </cell>
          <cell r="F197">
            <v>9</v>
          </cell>
          <cell r="H197">
            <v>823</v>
          </cell>
        </row>
        <row r="198">
          <cell r="A198" t="str">
            <v>BRW-0197</v>
          </cell>
          <cell r="E198" t="str">
            <v>Self-Employed</v>
          </cell>
          <cell r="F198">
            <v>0</v>
          </cell>
          <cell r="H198">
            <v>850</v>
          </cell>
        </row>
        <row r="199">
          <cell r="A199" t="str">
            <v>BRW-0198</v>
          </cell>
          <cell r="E199" t="str">
            <v>Self-Employed</v>
          </cell>
          <cell r="F199">
            <v>33</v>
          </cell>
          <cell r="H199">
            <v>622</v>
          </cell>
        </row>
        <row r="200">
          <cell r="A200" t="str">
            <v>BRW-0199</v>
          </cell>
          <cell r="E200" t="str">
            <v>Part-Time</v>
          </cell>
          <cell r="F200">
            <v>1</v>
          </cell>
          <cell r="H200">
            <v>622</v>
          </cell>
        </row>
        <row r="201">
          <cell r="A201" t="str">
            <v>BRW-0200</v>
          </cell>
          <cell r="E201" t="str">
            <v>Part-Time</v>
          </cell>
          <cell r="F201">
            <v>22</v>
          </cell>
          <cell r="H201">
            <v>556</v>
          </cell>
        </row>
        <row r="202">
          <cell r="A202" t="str">
            <v>BRW-0201</v>
          </cell>
          <cell r="E202" t="str">
            <v>Full-Time</v>
          </cell>
          <cell r="F202">
            <v>21</v>
          </cell>
          <cell r="H202">
            <v>802</v>
          </cell>
        </row>
        <row r="203">
          <cell r="A203" t="str">
            <v>BRW-0202</v>
          </cell>
          <cell r="E203" t="str">
            <v>Full-Time</v>
          </cell>
          <cell r="F203">
            <v>17</v>
          </cell>
          <cell r="H203">
            <v>666</v>
          </cell>
        </row>
        <row r="204">
          <cell r="A204" t="str">
            <v>BRW-0203</v>
          </cell>
          <cell r="E204" t="str">
            <v>Self-Employed</v>
          </cell>
          <cell r="F204">
            <v>11</v>
          </cell>
          <cell r="H204">
            <v>785</v>
          </cell>
        </row>
        <row r="205">
          <cell r="A205" t="str">
            <v>BRW-0204</v>
          </cell>
          <cell r="E205" t="str">
            <v>Full-Time</v>
          </cell>
          <cell r="F205">
            <v>5</v>
          </cell>
          <cell r="H205">
            <v>742</v>
          </cell>
        </row>
        <row r="206">
          <cell r="A206" t="str">
            <v>BRW-0205</v>
          </cell>
          <cell r="E206" t="str">
            <v>Retired</v>
          </cell>
          <cell r="F206">
            <v>13</v>
          </cell>
          <cell r="H206">
            <v>770</v>
          </cell>
        </row>
        <row r="207">
          <cell r="A207" t="str">
            <v>BRW-0206</v>
          </cell>
          <cell r="E207" t="str">
            <v>Part-Time</v>
          </cell>
          <cell r="F207">
            <v>1</v>
          </cell>
          <cell r="H207">
            <v>649</v>
          </cell>
        </row>
        <row r="208">
          <cell r="A208" t="str">
            <v>BRW-0207</v>
          </cell>
          <cell r="E208" t="str">
            <v>Self-Employed</v>
          </cell>
          <cell r="F208">
            <v>0</v>
          </cell>
          <cell r="H208">
            <v>600</v>
          </cell>
        </row>
        <row r="209">
          <cell r="A209" t="str">
            <v>BRW-0208</v>
          </cell>
          <cell r="E209" t="str">
            <v>Full-Time</v>
          </cell>
          <cell r="F209">
            <v>18</v>
          </cell>
          <cell r="H209">
            <v>709</v>
          </cell>
        </row>
        <row r="210">
          <cell r="A210" t="str">
            <v>BRW-0209</v>
          </cell>
          <cell r="E210" t="str">
            <v>Self-Employed</v>
          </cell>
          <cell r="F210">
            <v>13</v>
          </cell>
          <cell r="H210">
            <v>634</v>
          </cell>
        </row>
        <row r="211">
          <cell r="A211" t="str">
            <v>BRW-0210</v>
          </cell>
          <cell r="E211" t="str">
            <v>Full-Time</v>
          </cell>
          <cell r="F211">
            <v>1</v>
          </cell>
          <cell r="H211">
            <v>693</v>
          </cell>
        </row>
        <row r="212">
          <cell r="A212" t="str">
            <v>BRW-0211</v>
          </cell>
          <cell r="E212" t="str">
            <v>Retired</v>
          </cell>
          <cell r="F212">
            <v>4</v>
          </cell>
          <cell r="H212">
            <v>777</v>
          </cell>
        </row>
        <row r="213">
          <cell r="A213" t="str">
            <v>BRW-0212</v>
          </cell>
          <cell r="E213" t="str">
            <v>Full-Time</v>
          </cell>
          <cell r="F213">
            <v>0</v>
          </cell>
          <cell r="H213">
            <v>620</v>
          </cell>
        </row>
        <row r="214">
          <cell r="A214" t="str">
            <v>BRW-0213</v>
          </cell>
          <cell r="E214" t="str">
            <v>Contract</v>
          </cell>
          <cell r="F214">
            <v>8</v>
          </cell>
          <cell r="H214">
            <v>748</v>
          </cell>
        </row>
        <row r="215">
          <cell r="A215" t="str">
            <v>BRW-0214</v>
          </cell>
          <cell r="E215" t="str">
            <v>Retired</v>
          </cell>
          <cell r="F215">
            <v>3</v>
          </cell>
          <cell r="H215">
            <v>721</v>
          </cell>
        </row>
        <row r="216">
          <cell r="A216" t="str">
            <v>BRW-0215</v>
          </cell>
          <cell r="E216" t="str">
            <v>Full-Time</v>
          </cell>
          <cell r="F216">
            <v>3</v>
          </cell>
          <cell r="H216">
            <v>655</v>
          </cell>
        </row>
        <row r="217">
          <cell r="A217" t="str">
            <v>BRW-0216</v>
          </cell>
          <cell r="E217" t="str">
            <v>Contract</v>
          </cell>
          <cell r="F217">
            <v>18</v>
          </cell>
          <cell r="H217">
            <v>610</v>
          </cell>
        </row>
        <row r="218">
          <cell r="A218" t="str">
            <v>BRW-0217</v>
          </cell>
          <cell r="E218" t="str">
            <v>Retired</v>
          </cell>
          <cell r="F218">
            <v>7</v>
          </cell>
          <cell r="H218">
            <v>806</v>
          </cell>
        </row>
        <row r="219">
          <cell r="A219" t="str">
            <v>BRW-0218</v>
          </cell>
          <cell r="E219" t="str">
            <v>Part-Time</v>
          </cell>
          <cell r="F219">
            <v>14</v>
          </cell>
          <cell r="H219">
            <v>799</v>
          </cell>
        </row>
        <row r="220">
          <cell r="A220" t="str">
            <v>BRW-0219</v>
          </cell>
          <cell r="E220" t="str">
            <v>Contract</v>
          </cell>
          <cell r="F220">
            <v>1</v>
          </cell>
          <cell r="H220">
            <v>809</v>
          </cell>
        </row>
        <row r="221">
          <cell r="A221" t="str">
            <v>BRW-0220</v>
          </cell>
          <cell r="E221" t="str">
            <v>Full-Time</v>
          </cell>
          <cell r="F221">
            <v>1</v>
          </cell>
          <cell r="H221">
            <v>778</v>
          </cell>
        </row>
        <row r="222">
          <cell r="A222" t="str">
            <v>BRW-0221</v>
          </cell>
          <cell r="E222" t="str">
            <v>Contract</v>
          </cell>
          <cell r="F222">
            <v>16</v>
          </cell>
          <cell r="H222">
            <v>742</v>
          </cell>
        </row>
        <row r="223">
          <cell r="A223" t="str">
            <v>BRW-0222</v>
          </cell>
          <cell r="E223" t="str">
            <v>Full-Time</v>
          </cell>
          <cell r="F223">
            <v>29</v>
          </cell>
          <cell r="H223">
            <v>570</v>
          </cell>
        </row>
        <row r="224">
          <cell r="A224" t="str">
            <v>BRW-0223</v>
          </cell>
          <cell r="E224" t="str">
            <v>Part-Time</v>
          </cell>
          <cell r="F224">
            <v>28</v>
          </cell>
          <cell r="H224">
            <v>730</v>
          </cell>
        </row>
        <row r="225">
          <cell r="A225" t="str">
            <v>BRW-0224</v>
          </cell>
          <cell r="E225" t="str">
            <v>Full-Time</v>
          </cell>
          <cell r="F225">
            <v>11</v>
          </cell>
          <cell r="H225">
            <v>610</v>
          </cell>
        </row>
        <row r="226">
          <cell r="A226" t="str">
            <v>BRW-0225</v>
          </cell>
          <cell r="E226" t="str">
            <v>Self-Employed</v>
          </cell>
          <cell r="F226">
            <v>13</v>
          </cell>
          <cell r="H226">
            <v>787</v>
          </cell>
        </row>
        <row r="227">
          <cell r="A227" t="str">
            <v>BRW-0226</v>
          </cell>
          <cell r="E227" t="str">
            <v>Retired</v>
          </cell>
          <cell r="F227">
            <v>0</v>
          </cell>
          <cell r="H227">
            <v>582</v>
          </cell>
        </row>
        <row r="228">
          <cell r="A228" t="str">
            <v>BRW-0227</v>
          </cell>
          <cell r="E228" t="str">
            <v>Full-Time</v>
          </cell>
          <cell r="F228">
            <v>0</v>
          </cell>
          <cell r="H228">
            <v>758</v>
          </cell>
        </row>
        <row r="229">
          <cell r="A229" t="str">
            <v>BRW-0228</v>
          </cell>
          <cell r="E229" t="str">
            <v>Self-Employed</v>
          </cell>
          <cell r="F229">
            <v>7</v>
          </cell>
          <cell r="H229">
            <v>683</v>
          </cell>
        </row>
        <row r="230">
          <cell r="A230" t="str">
            <v>BRW-0229</v>
          </cell>
          <cell r="E230" t="str">
            <v>Full-Time</v>
          </cell>
          <cell r="F230">
            <v>14</v>
          </cell>
          <cell r="H230">
            <v>816</v>
          </cell>
        </row>
        <row r="231">
          <cell r="A231" t="str">
            <v>BRW-0230</v>
          </cell>
          <cell r="E231" t="str">
            <v>Full-Time</v>
          </cell>
          <cell r="F231">
            <v>10</v>
          </cell>
          <cell r="H231">
            <v>711</v>
          </cell>
        </row>
        <row r="232">
          <cell r="A232" t="str">
            <v>BRW-0231</v>
          </cell>
          <cell r="E232" t="str">
            <v>Full-Time</v>
          </cell>
          <cell r="F232">
            <v>7</v>
          </cell>
          <cell r="H232">
            <v>772</v>
          </cell>
        </row>
        <row r="233">
          <cell r="A233" t="str">
            <v>BRW-0232</v>
          </cell>
          <cell r="E233" t="str">
            <v>Part-Time</v>
          </cell>
          <cell r="F233">
            <v>8</v>
          </cell>
          <cell r="H233">
            <v>820</v>
          </cell>
        </row>
        <row r="234">
          <cell r="A234" t="str">
            <v>BRW-0233</v>
          </cell>
          <cell r="E234" t="str">
            <v>Full-Time</v>
          </cell>
          <cell r="F234">
            <v>1</v>
          </cell>
          <cell r="H234">
            <v>642</v>
          </cell>
        </row>
        <row r="235">
          <cell r="A235" t="str">
            <v>BRW-0234</v>
          </cell>
          <cell r="E235" t="str">
            <v>Self-Employed</v>
          </cell>
          <cell r="F235">
            <v>1</v>
          </cell>
          <cell r="H235">
            <v>816</v>
          </cell>
        </row>
        <row r="236">
          <cell r="A236" t="str">
            <v>BRW-0235</v>
          </cell>
          <cell r="E236" t="str">
            <v>Full-Time</v>
          </cell>
          <cell r="F236">
            <v>0</v>
          </cell>
          <cell r="H236">
            <v>780</v>
          </cell>
        </row>
        <row r="237">
          <cell r="A237" t="str">
            <v>BRW-0236</v>
          </cell>
          <cell r="E237" t="str">
            <v>Full-Time</v>
          </cell>
          <cell r="F237">
            <v>19</v>
          </cell>
          <cell r="H237">
            <v>713</v>
          </cell>
        </row>
        <row r="238">
          <cell r="A238" t="str">
            <v>BRW-0237</v>
          </cell>
          <cell r="E238" t="str">
            <v>Contract</v>
          </cell>
          <cell r="F238">
            <v>20</v>
          </cell>
          <cell r="H238">
            <v>729</v>
          </cell>
        </row>
        <row r="239">
          <cell r="A239" t="str">
            <v>BRW-0238</v>
          </cell>
          <cell r="E239" t="str">
            <v>Retired</v>
          </cell>
          <cell r="F239">
            <v>2</v>
          </cell>
          <cell r="H239">
            <v>738</v>
          </cell>
        </row>
        <row r="240">
          <cell r="A240" t="str">
            <v>BRW-0239</v>
          </cell>
          <cell r="E240" t="str">
            <v>Self-Employed</v>
          </cell>
          <cell r="F240">
            <v>15</v>
          </cell>
          <cell r="H240">
            <v>671</v>
          </cell>
        </row>
        <row r="241">
          <cell r="A241" t="str">
            <v>BRW-0240</v>
          </cell>
          <cell r="E241" t="str">
            <v>Full-Time</v>
          </cell>
          <cell r="F241">
            <v>11</v>
          </cell>
          <cell r="H241">
            <v>795</v>
          </cell>
        </row>
        <row r="242">
          <cell r="A242" t="str">
            <v>BRW-0241</v>
          </cell>
          <cell r="E242" t="str">
            <v>Contract</v>
          </cell>
          <cell r="F242">
            <v>0</v>
          </cell>
          <cell r="H242">
            <v>554</v>
          </cell>
        </row>
        <row r="243">
          <cell r="A243" t="str">
            <v>BRW-0242</v>
          </cell>
          <cell r="E243" t="str">
            <v>Full-Time</v>
          </cell>
          <cell r="F243">
            <v>10</v>
          </cell>
          <cell r="H243">
            <v>841</v>
          </cell>
        </row>
        <row r="244">
          <cell r="A244" t="str">
            <v>BRW-0243</v>
          </cell>
          <cell r="E244" t="str">
            <v>Part-Time</v>
          </cell>
          <cell r="F244">
            <v>2</v>
          </cell>
          <cell r="H244">
            <v>791</v>
          </cell>
        </row>
        <row r="245">
          <cell r="A245" t="str">
            <v>BRW-0244</v>
          </cell>
          <cell r="E245" t="str">
            <v>Retired</v>
          </cell>
          <cell r="F245">
            <v>33</v>
          </cell>
          <cell r="H245">
            <v>574</v>
          </cell>
        </row>
        <row r="246">
          <cell r="A246" t="str">
            <v>BRW-0245</v>
          </cell>
          <cell r="E246" t="str">
            <v>Full-Time</v>
          </cell>
          <cell r="F246">
            <v>14</v>
          </cell>
          <cell r="H246">
            <v>737</v>
          </cell>
        </row>
        <row r="247">
          <cell r="A247" t="str">
            <v>BRW-0246</v>
          </cell>
          <cell r="E247" t="str">
            <v>Contract</v>
          </cell>
          <cell r="F247">
            <v>6</v>
          </cell>
          <cell r="H247">
            <v>587</v>
          </cell>
        </row>
        <row r="248">
          <cell r="A248" t="str">
            <v>BRW-0247</v>
          </cell>
          <cell r="E248" t="str">
            <v>Full-Time</v>
          </cell>
          <cell r="F248">
            <v>6</v>
          </cell>
          <cell r="H248">
            <v>694</v>
          </cell>
        </row>
        <row r="249">
          <cell r="A249" t="str">
            <v>BRW-0248</v>
          </cell>
          <cell r="E249" t="str">
            <v>Full-Time</v>
          </cell>
          <cell r="F249">
            <v>17</v>
          </cell>
          <cell r="H249">
            <v>568</v>
          </cell>
        </row>
        <row r="250">
          <cell r="A250" t="str">
            <v>BRW-0249</v>
          </cell>
          <cell r="E250" t="str">
            <v>Full-Time</v>
          </cell>
          <cell r="F250">
            <v>2</v>
          </cell>
          <cell r="H250">
            <v>728</v>
          </cell>
        </row>
        <row r="251">
          <cell r="A251" t="str">
            <v>BRW-0250</v>
          </cell>
          <cell r="E251" t="str">
            <v>Full-Time</v>
          </cell>
          <cell r="F251">
            <v>25</v>
          </cell>
          <cell r="H251">
            <v>606</v>
          </cell>
        </row>
        <row r="252">
          <cell r="A252" t="str">
            <v>BRW-0251</v>
          </cell>
          <cell r="E252" t="str">
            <v>Full-Time</v>
          </cell>
          <cell r="F252">
            <v>19</v>
          </cell>
          <cell r="H252">
            <v>704</v>
          </cell>
        </row>
        <row r="253">
          <cell r="A253" t="str">
            <v>BRW-0252</v>
          </cell>
          <cell r="E253" t="str">
            <v>Self-Employed</v>
          </cell>
          <cell r="F253">
            <v>2</v>
          </cell>
          <cell r="H253">
            <v>651</v>
          </cell>
        </row>
        <row r="254">
          <cell r="A254" t="str">
            <v>BRW-0253</v>
          </cell>
          <cell r="E254" t="str">
            <v>Self-Employed</v>
          </cell>
          <cell r="F254">
            <v>4</v>
          </cell>
          <cell r="H254">
            <v>656</v>
          </cell>
        </row>
        <row r="255">
          <cell r="A255" t="str">
            <v>BRW-0254</v>
          </cell>
          <cell r="E255" t="str">
            <v>Full-Time</v>
          </cell>
          <cell r="F255">
            <v>4</v>
          </cell>
          <cell r="H255">
            <v>537</v>
          </cell>
        </row>
        <row r="256">
          <cell r="A256" t="str">
            <v>BRW-0255</v>
          </cell>
          <cell r="E256" t="str">
            <v>Part-Time</v>
          </cell>
          <cell r="F256">
            <v>0</v>
          </cell>
          <cell r="H256">
            <v>582</v>
          </cell>
        </row>
        <row r="257">
          <cell r="A257" t="str">
            <v>BRW-0256</v>
          </cell>
          <cell r="E257" t="str">
            <v>Full-Time</v>
          </cell>
          <cell r="F257">
            <v>17</v>
          </cell>
          <cell r="H257">
            <v>583</v>
          </cell>
        </row>
        <row r="258">
          <cell r="A258" t="str">
            <v>BRW-0257</v>
          </cell>
          <cell r="E258" t="str">
            <v>Full-Time</v>
          </cell>
          <cell r="F258">
            <v>2</v>
          </cell>
          <cell r="H258">
            <v>599</v>
          </cell>
        </row>
        <row r="259">
          <cell r="A259" t="str">
            <v>BRW-0258</v>
          </cell>
          <cell r="E259" t="str">
            <v>Retired</v>
          </cell>
          <cell r="F259">
            <v>4</v>
          </cell>
          <cell r="H259">
            <v>783</v>
          </cell>
        </row>
        <row r="260">
          <cell r="A260" t="str">
            <v>BRW-0259</v>
          </cell>
          <cell r="E260" t="str">
            <v>Part-Time</v>
          </cell>
          <cell r="F260">
            <v>14</v>
          </cell>
          <cell r="H260">
            <v>693</v>
          </cell>
        </row>
        <row r="261">
          <cell r="A261" t="str">
            <v>BRW-0260</v>
          </cell>
          <cell r="E261" t="str">
            <v>Full-Time</v>
          </cell>
          <cell r="F261">
            <v>30</v>
          </cell>
          <cell r="H261">
            <v>632</v>
          </cell>
        </row>
        <row r="262">
          <cell r="A262" t="str">
            <v>BRW-0261</v>
          </cell>
          <cell r="E262" t="str">
            <v>Retired</v>
          </cell>
          <cell r="F262">
            <v>24</v>
          </cell>
          <cell r="H262">
            <v>696</v>
          </cell>
        </row>
        <row r="263">
          <cell r="A263" t="str">
            <v>BRW-0262</v>
          </cell>
          <cell r="E263" t="str">
            <v>Retired</v>
          </cell>
          <cell r="F263">
            <v>1</v>
          </cell>
          <cell r="H263">
            <v>801</v>
          </cell>
        </row>
        <row r="264">
          <cell r="A264" t="str">
            <v>BRW-0263</v>
          </cell>
          <cell r="E264" t="str">
            <v>Full-Time</v>
          </cell>
          <cell r="F264">
            <v>15</v>
          </cell>
          <cell r="H264">
            <v>759</v>
          </cell>
        </row>
        <row r="265">
          <cell r="A265" t="str">
            <v>BRW-0264</v>
          </cell>
          <cell r="E265" t="str">
            <v>Full-Time</v>
          </cell>
          <cell r="F265">
            <v>30</v>
          </cell>
          <cell r="H265">
            <v>841</v>
          </cell>
        </row>
        <row r="266">
          <cell r="A266" t="str">
            <v>BRW-0265</v>
          </cell>
          <cell r="E266" t="str">
            <v>Full-Time</v>
          </cell>
          <cell r="F266">
            <v>5</v>
          </cell>
          <cell r="H266">
            <v>819</v>
          </cell>
        </row>
        <row r="267">
          <cell r="A267" t="str">
            <v>BRW-0266</v>
          </cell>
          <cell r="E267" t="str">
            <v>Part-Time</v>
          </cell>
          <cell r="F267">
            <v>21</v>
          </cell>
          <cell r="H267">
            <v>734</v>
          </cell>
        </row>
        <row r="268">
          <cell r="A268" t="str">
            <v>BRW-0267</v>
          </cell>
          <cell r="E268" t="str">
            <v>Full-Time</v>
          </cell>
          <cell r="F268">
            <v>7</v>
          </cell>
          <cell r="H268">
            <v>829</v>
          </cell>
        </row>
        <row r="269">
          <cell r="A269" t="str">
            <v>BRW-0268</v>
          </cell>
          <cell r="E269" t="str">
            <v>Full-Time</v>
          </cell>
          <cell r="F269">
            <v>18</v>
          </cell>
          <cell r="H269">
            <v>583</v>
          </cell>
        </row>
        <row r="270">
          <cell r="A270" t="str">
            <v>BRW-0269</v>
          </cell>
          <cell r="E270" t="str">
            <v>Full-Time</v>
          </cell>
          <cell r="F270">
            <v>7</v>
          </cell>
          <cell r="H270">
            <v>801</v>
          </cell>
        </row>
        <row r="271">
          <cell r="A271" t="str">
            <v>BRW-0270</v>
          </cell>
          <cell r="E271" t="str">
            <v>Full-Time</v>
          </cell>
          <cell r="F271">
            <v>10</v>
          </cell>
          <cell r="H271">
            <v>541</v>
          </cell>
        </row>
        <row r="272">
          <cell r="A272" t="str">
            <v>BRW-0271</v>
          </cell>
          <cell r="E272" t="str">
            <v>Part-Time</v>
          </cell>
          <cell r="F272">
            <v>14</v>
          </cell>
          <cell r="H272">
            <v>743</v>
          </cell>
        </row>
        <row r="273">
          <cell r="A273" t="str">
            <v>BRW-0272</v>
          </cell>
          <cell r="E273" t="str">
            <v>Full-Time</v>
          </cell>
          <cell r="F273">
            <v>28</v>
          </cell>
          <cell r="H273">
            <v>636</v>
          </cell>
        </row>
        <row r="274">
          <cell r="A274" t="str">
            <v>BRW-0273</v>
          </cell>
          <cell r="E274" t="str">
            <v>Contract</v>
          </cell>
          <cell r="F274">
            <v>17</v>
          </cell>
          <cell r="H274">
            <v>582</v>
          </cell>
        </row>
        <row r="275">
          <cell r="A275" t="str">
            <v>BRW-0274</v>
          </cell>
          <cell r="E275" t="str">
            <v>Full-Time</v>
          </cell>
          <cell r="F275">
            <v>24</v>
          </cell>
          <cell r="H275">
            <v>850</v>
          </cell>
        </row>
        <row r="276">
          <cell r="A276" t="str">
            <v>BRW-0275</v>
          </cell>
          <cell r="E276" t="str">
            <v>Contract</v>
          </cell>
          <cell r="F276">
            <v>5</v>
          </cell>
          <cell r="H276">
            <v>692</v>
          </cell>
        </row>
        <row r="277">
          <cell r="A277" t="str">
            <v>BRW-0276</v>
          </cell>
          <cell r="E277" t="str">
            <v>Full-Time</v>
          </cell>
          <cell r="F277">
            <v>2</v>
          </cell>
          <cell r="H277">
            <v>840</v>
          </cell>
        </row>
        <row r="278">
          <cell r="A278" t="str">
            <v>BRW-0277</v>
          </cell>
          <cell r="E278" t="str">
            <v>Retired</v>
          </cell>
          <cell r="F278">
            <v>31</v>
          </cell>
          <cell r="H278">
            <v>615</v>
          </cell>
        </row>
        <row r="279">
          <cell r="A279" t="str">
            <v>BRW-0278</v>
          </cell>
          <cell r="E279" t="str">
            <v>Retired</v>
          </cell>
          <cell r="F279">
            <v>3</v>
          </cell>
          <cell r="H279">
            <v>629</v>
          </cell>
        </row>
        <row r="280">
          <cell r="A280" t="str">
            <v>BRW-0279</v>
          </cell>
          <cell r="E280" t="str">
            <v>Contract</v>
          </cell>
          <cell r="F280">
            <v>1</v>
          </cell>
          <cell r="H280">
            <v>577</v>
          </cell>
        </row>
        <row r="281">
          <cell r="A281" t="str">
            <v>BRW-0280</v>
          </cell>
          <cell r="E281" t="str">
            <v>Self-Employed</v>
          </cell>
          <cell r="F281">
            <v>35</v>
          </cell>
          <cell r="H281">
            <v>783</v>
          </cell>
        </row>
        <row r="282">
          <cell r="A282" t="str">
            <v>BRW-0281</v>
          </cell>
          <cell r="E282" t="str">
            <v>Self-Employed</v>
          </cell>
          <cell r="F282">
            <v>17</v>
          </cell>
          <cell r="H282">
            <v>765</v>
          </cell>
        </row>
        <row r="283">
          <cell r="A283" t="str">
            <v>BRW-0282</v>
          </cell>
          <cell r="E283" t="str">
            <v>Retired</v>
          </cell>
          <cell r="F283">
            <v>2</v>
          </cell>
          <cell r="H283">
            <v>703</v>
          </cell>
        </row>
        <row r="284">
          <cell r="A284" t="str">
            <v>BRW-0283</v>
          </cell>
          <cell r="E284" t="str">
            <v>Contract</v>
          </cell>
          <cell r="F284">
            <v>10</v>
          </cell>
          <cell r="H284">
            <v>754</v>
          </cell>
        </row>
        <row r="285">
          <cell r="A285" t="str">
            <v>BRW-0284</v>
          </cell>
          <cell r="E285" t="str">
            <v>Full-Time</v>
          </cell>
          <cell r="F285">
            <v>2</v>
          </cell>
          <cell r="H285">
            <v>621</v>
          </cell>
        </row>
        <row r="286">
          <cell r="A286" t="str">
            <v>BRW-0285</v>
          </cell>
          <cell r="E286" t="str">
            <v>Self-Employed</v>
          </cell>
          <cell r="F286">
            <v>3</v>
          </cell>
          <cell r="H286">
            <v>745</v>
          </cell>
        </row>
        <row r="287">
          <cell r="A287" t="str">
            <v>BRW-0286</v>
          </cell>
          <cell r="E287" t="str">
            <v>Self-Employed</v>
          </cell>
          <cell r="F287">
            <v>7</v>
          </cell>
          <cell r="H287">
            <v>736</v>
          </cell>
        </row>
        <row r="288">
          <cell r="A288" t="str">
            <v>BRW-0287</v>
          </cell>
          <cell r="E288" t="str">
            <v>Self-Employed</v>
          </cell>
          <cell r="F288">
            <v>16</v>
          </cell>
          <cell r="H288">
            <v>736</v>
          </cell>
        </row>
        <row r="289">
          <cell r="A289" t="str">
            <v>BRW-0288</v>
          </cell>
          <cell r="E289" t="str">
            <v>Full-Time</v>
          </cell>
          <cell r="F289">
            <v>29</v>
          </cell>
          <cell r="H289">
            <v>582</v>
          </cell>
        </row>
        <row r="290">
          <cell r="A290" t="str">
            <v>BRW-0289</v>
          </cell>
          <cell r="E290" t="str">
            <v>Retired</v>
          </cell>
          <cell r="F290">
            <v>17</v>
          </cell>
          <cell r="H290">
            <v>783</v>
          </cell>
        </row>
        <row r="291">
          <cell r="A291" t="str">
            <v>BRW-0290</v>
          </cell>
          <cell r="E291" t="str">
            <v>Self-Employed</v>
          </cell>
          <cell r="F291">
            <v>2</v>
          </cell>
          <cell r="H291">
            <v>574</v>
          </cell>
        </row>
        <row r="292">
          <cell r="A292" t="str">
            <v>BRW-0291</v>
          </cell>
          <cell r="E292" t="str">
            <v>Full-Time</v>
          </cell>
          <cell r="F292">
            <v>11</v>
          </cell>
          <cell r="H292">
            <v>648</v>
          </cell>
        </row>
        <row r="293">
          <cell r="A293" t="str">
            <v>BRW-0292</v>
          </cell>
          <cell r="E293" t="str">
            <v>Full-Time</v>
          </cell>
          <cell r="F293">
            <v>1</v>
          </cell>
          <cell r="H293">
            <v>609</v>
          </cell>
        </row>
        <row r="294">
          <cell r="A294" t="str">
            <v>BRW-0293</v>
          </cell>
          <cell r="E294" t="str">
            <v>Self-Employed</v>
          </cell>
          <cell r="F294">
            <v>2</v>
          </cell>
          <cell r="H294">
            <v>774</v>
          </cell>
        </row>
        <row r="295">
          <cell r="A295" t="str">
            <v>BRW-0294</v>
          </cell>
          <cell r="E295" t="str">
            <v>Contract</v>
          </cell>
          <cell r="F295">
            <v>2</v>
          </cell>
          <cell r="H295">
            <v>761</v>
          </cell>
        </row>
        <row r="296">
          <cell r="A296" t="str">
            <v>BRW-0295</v>
          </cell>
          <cell r="E296" t="str">
            <v>Full-Time</v>
          </cell>
          <cell r="F296">
            <v>2</v>
          </cell>
          <cell r="H296">
            <v>720</v>
          </cell>
        </row>
        <row r="297">
          <cell r="A297" t="str">
            <v>BRW-0296</v>
          </cell>
          <cell r="E297" t="str">
            <v>Full-Time</v>
          </cell>
          <cell r="F297">
            <v>2</v>
          </cell>
          <cell r="H297">
            <v>644</v>
          </cell>
        </row>
        <row r="298">
          <cell r="A298" t="str">
            <v>BRW-0297</v>
          </cell>
          <cell r="E298" t="str">
            <v>Full-Time</v>
          </cell>
          <cell r="F298">
            <v>12</v>
          </cell>
          <cell r="H298">
            <v>831</v>
          </cell>
        </row>
        <row r="299">
          <cell r="A299" t="str">
            <v>BRW-0298</v>
          </cell>
          <cell r="E299" t="str">
            <v>Full-Time</v>
          </cell>
          <cell r="F299">
            <v>9</v>
          </cell>
          <cell r="H299">
            <v>846</v>
          </cell>
        </row>
        <row r="300">
          <cell r="A300" t="str">
            <v>BRW-0299</v>
          </cell>
          <cell r="E300" t="str">
            <v>Part-Time</v>
          </cell>
          <cell r="F300">
            <v>9</v>
          </cell>
          <cell r="H300">
            <v>725</v>
          </cell>
        </row>
        <row r="301">
          <cell r="A301" t="str">
            <v>BRW-0300</v>
          </cell>
          <cell r="E301" t="str">
            <v>Full-Time</v>
          </cell>
          <cell r="F301">
            <v>33</v>
          </cell>
          <cell r="H301">
            <v>576</v>
          </cell>
        </row>
        <row r="302">
          <cell r="A302" t="str">
            <v>BRW-0301</v>
          </cell>
          <cell r="E302" t="str">
            <v>Contract</v>
          </cell>
          <cell r="F302">
            <v>10</v>
          </cell>
          <cell r="H302">
            <v>814</v>
          </cell>
        </row>
        <row r="303">
          <cell r="A303" t="str">
            <v>BRW-0302</v>
          </cell>
          <cell r="E303" t="str">
            <v>Full-Time</v>
          </cell>
          <cell r="F303">
            <v>3</v>
          </cell>
          <cell r="H303">
            <v>560</v>
          </cell>
        </row>
        <row r="304">
          <cell r="A304" t="str">
            <v>BRW-0303</v>
          </cell>
          <cell r="E304" t="str">
            <v>Full-Time</v>
          </cell>
          <cell r="F304">
            <v>4</v>
          </cell>
          <cell r="H304">
            <v>850</v>
          </cell>
        </row>
        <row r="305">
          <cell r="A305" t="str">
            <v>BRW-0304</v>
          </cell>
          <cell r="E305" t="str">
            <v>Full-Time</v>
          </cell>
          <cell r="F305">
            <v>1</v>
          </cell>
          <cell r="H305">
            <v>850</v>
          </cell>
        </row>
        <row r="306">
          <cell r="A306" t="str">
            <v>BRW-0305</v>
          </cell>
          <cell r="E306" t="str">
            <v>Retired</v>
          </cell>
          <cell r="F306">
            <v>4</v>
          </cell>
          <cell r="H306">
            <v>838</v>
          </cell>
        </row>
        <row r="307">
          <cell r="A307" t="str">
            <v>BRW-0306</v>
          </cell>
          <cell r="E307" t="str">
            <v>Full-Time</v>
          </cell>
          <cell r="F307">
            <v>5</v>
          </cell>
          <cell r="H307">
            <v>779</v>
          </cell>
        </row>
        <row r="308">
          <cell r="A308" t="str">
            <v>BRW-0307</v>
          </cell>
          <cell r="E308" t="str">
            <v>Self-Employed</v>
          </cell>
          <cell r="F308">
            <v>24</v>
          </cell>
          <cell r="H308">
            <v>585</v>
          </cell>
        </row>
        <row r="309">
          <cell r="A309" t="str">
            <v>BRW-0308</v>
          </cell>
          <cell r="E309" t="str">
            <v>Retired</v>
          </cell>
          <cell r="F309">
            <v>3</v>
          </cell>
          <cell r="H309">
            <v>779</v>
          </cell>
        </row>
        <row r="310">
          <cell r="A310" t="str">
            <v>BRW-0309</v>
          </cell>
          <cell r="E310" t="str">
            <v>Self-Employed</v>
          </cell>
          <cell r="F310">
            <v>7</v>
          </cell>
          <cell r="H310">
            <v>589</v>
          </cell>
        </row>
        <row r="311">
          <cell r="A311" t="str">
            <v>BRW-0310</v>
          </cell>
          <cell r="E311" t="str">
            <v>Full-Time</v>
          </cell>
          <cell r="F311">
            <v>1</v>
          </cell>
          <cell r="H311">
            <v>621</v>
          </cell>
        </row>
        <row r="312">
          <cell r="A312" t="str">
            <v>BRW-0311</v>
          </cell>
          <cell r="E312" t="str">
            <v>Full-Time</v>
          </cell>
          <cell r="F312">
            <v>2</v>
          </cell>
          <cell r="H312">
            <v>673</v>
          </cell>
        </row>
        <row r="313">
          <cell r="A313" t="str">
            <v>BRW-0312</v>
          </cell>
          <cell r="E313" t="str">
            <v>Full-Time</v>
          </cell>
          <cell r="F313">
            <v>1</v>
          </cell>
          <cell r="H313">
            <v>730</v>
          </cell>
        </row>
        <row r="314">
          <cell r="A314" t="str">
            <v>BRW-0313</v>
          </cell>
          <cell r="E314" t="str">
            <v>Full-Time</v>
          </cell>
          <cell r="F314">
            <v>18</v>
          </cell>
          <cell r="H314">
            <v>674</v>
          </cell>
        </row>
        <row r="315">
          <cell r="A315" t="str">
            <v>BRW-0314</v>
          </cell>
          <cell r="E315" t="str">
            <v>Retired</v>
          </cell>
          <cell r="F315">
            <v>15</v>
          </cell>
          <cell r="H315">
            <v>819</v>
          </cell>
        </row>
        <row r="316">
          <cell r="A316" t="str">
            <v>BRW-0315</v>
          </cell>
          <cell r="E316" t="str">
            <v>Self-Employed</v>
          </cell>
          <cell r="F316">
            <v>0</v>
          </cell>
          <cell r="H316">
            <v>701</v>
          </cell>
        </row>
        <row r="317">
          <cell r="A317" t="str">
            <v>BRW-0316</v>
          </cell>
          <cell r="E317" t="str">
            <v>Retired</v>
          </cell>
          <cell r="F317">
            <v>2</v>
          </cell>
          <cell r="H317">
            <v>555</v>
          </cell>
        </row>
        <row r="318">
          <cell r="A318" t="str">
            <v>BRW-0317</v>
          </cell>
          <cell r="E318" t="str">
            <v>Contract</v>
          </cell>
          <cell r="F318">
            <v>6</v>
          </cell>
          <cell r="H318">
            <v>578</v>
          </cell>
        </row>
        <row r="319">
          <cell r="A319" t="str">
            <v>BRW-0318</v>
          </cell>
          <cell r="E319" t="str">
            <v>Self-Employed</v>
          </cell>
          <cell r="F319">
            <v>16</v>
          </cell>
          <cell r="H319">
            <v>674</v>
          </cell>
        </row>
        <row r="320">
          <cell r="A320" t="str">
            <v>BRW-0319</v>
          </cell>
          <cell r="E320" t="str">
            <v>Full-Time</v>
          </cell>
          <cell r="F320">
            <v>4</v>
          </cell>
          <cell r="H320">
            <v>628</v>
          </cell>
        </row>
        <row r="321">
          <cell r="A321" t="str">
            <v>BRW-0320</v>
          </cell>
          <cell r="E321" t="str">
            <v>Full-Time</v>
          </cell>
          <cell r="F321">
            <v>14</v>
          </cell>
          <cell r="H321">
            <v>641</v>
          </cell>
        </row>
        <row r="322">
          <cell r="A322" t="str">
            <v>BRW-0321</v>
          </cell>
          <cell r="E322" t="str">
            <v>Self-Employed</v>
          </cell>
          <cell r="F322">
            <v>20</v>
          </cell>
          <cell r="H322">
            <v>640</v>
          </cell>
        </row>
        <row r="323">
          <cell r="A323" t="str">
            <v>BRW-0322</v>
          </cell>
          <cell r="E323" t="str">
            <v>Full-Time</v>
          </cell>
          <cell r="F323">
            <v>1</v>
          </cell>
          <cell r="H323">
            <v>619</v>
          </cell>
        </row>
        <row r="324">
          <cell r="A324" t="str">
            <v>BRW-0323</v>
          </cell>
          <cell r="E324" t="str">
            <v>Full-Time</v>
          </cell>
          <cell r="F324">
            <v>0</v>
          </cell>
          <cell r="H324">
            <v>592</v>
          </cell>
        </row>
        <row r="325">
          <cell r="A325" t="str">
            <v>BRW-0324</v>
          </cell>
          <cell r="E325" t="str">
            <v>Part-Time</v>
          </cell>
          <cell r="F325">
            <v>18</v>
          </cell>
          <cell r="H325">
            <v>828</v>
          </cell>
        </row>
        <row r="326">
          <cell r="A326" t="str">
            <v>BRW-0325</v>
          </cell>
          <cell r="E326" t="str">
            <v>Full-Time</v>
          </cell>
          <cell r="F326">
            <v>1</v>
          </cell>
          <cell r="H326">
            <v>704</v>
          </cell>
        </row>
        <row r="327">
          <cell r="A327" t="str">
            <v>BRW-0326</v>
          </cell>
          <cell r="E327" t="str">
            <v>Full-Time</v>
          </cell>
          <cell r="F327">
            <v>5</v>
          </cell>
          <cell r="H327">
            <v>748</v>
          </cell>
        </row>
        <row r="328">
          <cell r="A328" t="str">
            <v>BRW-0327</v>
          </cell>
          <cell r="E328" t="str">
            <v>Part-Time</v>
          </cell>
          <cell r="F328">
            <v>7</v>
          </cell>
          <cell r="H328">
            <v>671</v>
          </cell>
        </row>
        <row r="329">
          <cell r="A329" t="str">
            <v>BRW-0328</v>
          </cell>
          <cell r="E329" t="str">
            <v>Full-Time</v>
          </cell>
          <cell r="F329">
            <v>7</v>
          </cell>
          <cell r="H329">
            <v>799</v>
          </cell>
        </row>
        <row r="330">
          <cell r="A330" t="str">
            <v>BRW-0329</v>
          </cell>
          <cell r="E330" t="str">
            <v>Full-Time</v>
          </cell>
          <cell r="F330">
            <v>11</v>
          </cell>
          <cell r="H330">
            <v>793</v>
          </cell>
        </row>
        <row r="331">
          <cell r="A331" t="str">
            <v>BRW-0330</v>
          </cell>
          <cell r="E331" t="str">
            <v>Full-Time</v>
          </cell>
          <cell r="F331">
            <v>0</v>
          </cell>
          <cell r="H331">
            <v>678</v>
          </cell>
        </row>
        <row r="332">
          <cell r="A332" t="str">
            <v>BRW-0331</v>
          </cell>
          <cell r="E332" t="str">
            <v>Full-Time</v>
          </cell>
          <cell r="F332">
            <v>1</v>
          </cell>
          <cell r="H332">
            <v>686</v>
          </cell>
        </row>
        <row r="333">
          <cell r="A333" t="str">
            <v>BRW-0332</v>
          </cell>
          <cell r="E333" t="str">
            <v>Contract</v>
          </cell>
          <cell r="F333">
            <v>7</v>
          </cell>
          <cell r="H333">
            <v>630</v>
          </cell>
        </row>
        <row r="334">
          <cell r="A334" t="str">
            <v>BRW-0333</v>
          </cell>
          <cell r="E334" t="str">
            <v>Self-Employed</v>
          </cell>
          <cell r="F334">
            <v>9</v>
          </cell>
          <cell r="H334">
            <v>818</v>
          </cell>
        </row>
        <row r="335">
          <cell r="A335" t="str">
            <v>BRW-0334</v>
          </cell>
          <cell r="E335" t="str">
            <v>Full-Time</v>
          </cell>
          <cell r="F335">
            <v>14</v>
          </cell>
          <cell r="H335">
            <v>558</v>
          </cell>
        </row>
        <row r="336">
          <cell r="A336" t="str">
            <v>BRW-0335</v>
          </cell>
          <cell r="E336" t="str">
            <v>Full-Time</v>
          </cell>
          <cell r="F336">
            <v>3</v>
          </cell>
          <cell r="H336">
            <v>700</v>
          </cell>
        </row>
        <row r="337">
          <cell r="A337" t="str">
            <v>BRW-0336</v>
          </cell>
          <cell r="E337" t="str">
            <v>Contract</v>
          </cell>
          <cell r="F337">
            <v>6</v>
          </cell>
          <cell r="H337">
            <v>741</v>
          </cell>
        </row>
        <row r="338">
          <cell r="A338" t="str">
            <v>BRW-0337</v>
          </cell>
          <cell r="E338" t="str">
            <v>Full-Time</v>
          </cell>
          <cell r="F338">
            <v>10</v>
          </cell>
          <cell r="H338">
            <v>794</v>
          </cell>
        </row>
        <row r="339">
          <cell r="A339" t="str">
            <v>BRW-0338</v>
          </cell>
          <cell r="E339" t="str">
            <v>Full-Time</v>
          </cell>
          <cell r="F339">
            <v>24</v>
          </cell>
          <cell r="H339">
            <v>634</v>
          </cell>
        </row>
        <row r="340">
          <cell r="A340" t="str">
            <v>BRW-0339</v>
          </cell>
          <cell r="E340" t="str">
            <v>Retired</v>
          </cell>
          <cell r="F340">
            <v>0</v>
          </cell>
          <cell r="H340">
            <v>820</v>
          </cell>
        </row>
        <row r="341">
          <cell r="A341" t="str">
            <v>BRW-0340</v>
          </cell>
          <cell r="E341" t="str">
            <v>Full-Time</v>
          </cell>
          <cell r="F341">
            <v>2</v>
          </cell>
          <cell r="H341">
            <v>704</v>
          </cell>
        </row>
        <row r="342">
          <cell r="A342" t="str">
            <v>BRW-0341</v>
          </cell>
          <cell r="E342" t="str">
            <v>Self-Employed</v>
          </cell>
          <cell r="F342">
            <v>7</v>
          </cell>
          <cell r="H342">
            <v>716</v>
          </cell>
        </row>
        <row r="343">
          <cell r="A343" t="str">
            <v>BRW-0342</v>
          </cell>
          <cell r="E343" t="str">
            <v>Self-Employed</v>
          </cell>
          <cell r="F343">
            <v>13</v>
          </cell>
          <cell r="H343">
            <v>754</v>
          </cell>
        </row>
        <row r="344">
          <cell r="A344" t="str">
            <v>BRW-0343</v>
          </cell>
          <cell r="E344" t="str">
            <v>Full-Time</v>
          </cell>
          <cell r="F344">
            <v>20</v>
          </cell>
          <cell r="H344">
            <v>830</v>
          </cell>
        </row>
        <row r="345">
          <cell r="A345" t="str">
            <v>BRW-0344</v>
          </cell>
          <cell r="E345" t="str">
            <v>Full-Time</v>
          </cell>
          <cell r="F345">
            <v>2</v>
          </cell>
          <cell r="H345">
            <v>572</v>
          </cell>
        </row>
        <row r="346">
          <cell r="A346" t="str">
            <v>BRW-0345</v>
          </cell>
          <cell r="E346" t="str">
            <v>Retired</v>
          </cell>
          <cell r="F346">
            <v>6</v>
          </cell>
          <cell r="H346">
            <v>545</v>
          </cell>
        </row>
        <row r="347">
          <cell r="A347" t="str">
            <v>BRW-0346</v>
          </cell>
          <cell r="E347" t="str">
            <v>Full-Time</v>
          </cell>
          <cell r="F347">
            <v>5</v>
          </cell>
          <cell r="H347">
            <v>808</v>
          </cell>
        </row>
        <row r="348">
          <cell r="A348" t="str">
            <v>BRW-0347</v>
          </cell>
          <cell r="E348" t="str">
            <v>Full-Time</v>
          </cell>
          <cell r="F348">
            <v>4</v>
          </cell>
          <cell r="H348">
            <v>781</v>
          </cell>
        </row>
        <row r="349">
          <cell r="A349" t="str">
            <v>BRW-0348</v>
          </cell>
          <cell r="E349" t="str">
            <v>Full-Time</v>
          </cell>
          <cell r="F349">
            <v>10</v>
          </cell>
          <cell r="H349">
            <v>635</v>
          </cell>
        </row>
        <row r="350">
          <cell r="A350" t="str">
            <v>BRW-0349</v>
          </cell>
          <cell r="E350" t="str">
            <v>Contract</v>
          </cell>
          <cell r="F350">
            <v>17</v>
          </cell>
          <cell r="H350">
            <v>850</v>
          </cell>
        </row>
        <row r="351">
          <cell r="A351" t="str">
            <v>BRW-0350</v>
          </cell>
          <cell r="E351" t="str">
            <v>Full-Time</v>
          </cell>
          <cell r="F351">
            <v>18</v>
          </cell>
          <cell r="H351">
            <v>662</v>
          </cell>
        </row>
        <row r="352">
          <cell r="A352" t="str">
            <v>BRW-0351</v>
          </cell>
          <cell r="E352" t="str">
            <v>Full-Time</v>
          </cell>
          <cell r="F352">
            <v>14</v>
          </cell>
          <cell r="H352">
            <v>836</v>
          </cell>
        </row>
        <row r="353">
          <cell r="A353" t="str">
            <v>BRW-0352</v>
          </cell>
          <cell r="E353" t="str">
            <v>Retired</v>
          </cell>
          <cell r="F353">
            <v>30</v>
          </cell>
          <cell r="H353">
            <v>650</v>
          </cell>
        </row>
        <row r="354">
          <cell r="A354" t="str">
            <v>BRW-0353</v>
          </cell>
          <cell r="E354" t="str">
            <v>Full-Time</v>
          </cell>
          <cell r="F354">
            <v>9</v>
          </cell>
          <cell r="H354">
            <v>850</v>
          </cell>
        </row>
        <row r="355">
          <cell r="A355" t="str">
            <v>BRW-0354</v>
          </cell>
          <cell r="E355" t="str">
            <v>Contract</v>
          </cell>
          <cell r="F355">
            <v>1</v>
          </cell>
          <cell r="H355">
            <v>751</v>
          </cell>
        </row>
        <row r="356">
          <cell r="A356" t="str">
            <v>BRW-0355</v>
          </cell>
          <cell r="E356" t="str">
            <v>Full-Time</v>
          </cell>
          <cell r="F356">
            <v>1</v>
          </cell>
          <cell r="H356">
            <v>584</v>
          </cell>
        </row>
        <row r="357">
          <cell r="A357" t="str">
            <v>BRW-0356</v>
          </cell>
          <cell r="E357" t="str">
            <v>Contract</v>
          </cell>
          <cell r="F357">
            <v>33</v>
          </cell>
          <cell r="H357">
            <v>850</v>
          </cell>
        </row>
        <row r="358">
          <cell r="A358" t="str">
            <v>BRW-0357</v>
          </cell>
          <cell r="E358" t="str">
            <v>Retired</v>
          </cell>
          <cell r="F358">
            <v>6</v>
          </cell>
          <cell r="H358">
            <v>579</v>
          </cell>
        </row>
        <row r="359">
          <cell r="A359" t="str">
            <v>BRW-0358</v>
          </cell>
          <cell r="E359" t="str">
            <v>Self-Employed</v>
          </cell>
          <cell r="F359">
            <v>1</v>
          </cell>
          <cell r="H359">
            <v>772</v>
          </cell>
        </row>
        <row r="360">
          <cell r="A360" t="str">
            <v>BRW-0359</v>
          </cell>
          <cell r="E360" t="str">
            <v>Full-Time</v>
          </cell>
          <cell r="F360">
            <v>3</v>
          </cell>
          <cell r="H360">
            <v>661</v>
          </cell>
        </row>
        <row r="361">
          <cell r="A361" t="str">
            <v>BRW-0360</v>
          </cell>
          <cell r="E361" t="str">
            <v>Full-Time</v>
          </cell>
          <cell r="F361">
            <v>22</v>
          </cell>
          <cell r="H361">
            <v>786</v>
          </cell>
        </row>
        <row r="362">
          <cell r="A362" t="str">
            <v>BRW-0361</v>
          </cell>
          <cell r="E362" t="str">
            <v>Full-Time</v>
          </cell>
          <cell r="F362">
            <v>20</v>
          </cell>
          <cell r="H362">
            <v>850</v>
          </cell>
        </row>
        <row r="363">
          <cell r="A363" t="str">
            <v>BRW-0362</v>
          </cell>
          <cell r="E363" t="str">
            <v>Contract</v>
          </cell>
          <cell r="F363">
            <v>10</v>
          </cell>
          <cell r="H363">
            <v>813</v>
          </cell>
        </row>
        <row r="364">
          <cell r="A364" t="str">
            <v>BRW-0363</v>
          </cell>
          <cell r="E364" t="str">
            <v>Full-Time</v>
          </cell>
          <cell r="F364">
            <v>3</v>
          </cell>
          <cell r="H364">
            <v>637</v>
          </cell>
        </row>
        <row r="365">
          <cell r="A365" t="str">
            <v>BRW-0364</v>
          </cell>
          <cell r="E365" t="str">
            <v>Contract</v>
          </cell>
          <cell r="F365">
            <v>14</v>
          </cell>
          <cell r="H365">
            <v>850</v>
          </cell>
        </row>
        <row r="366">
          <cell r="A366" t="str">
            <v>BRW-0365</v>
          </cell>
          <cell r="E366" t="str">
            <v>Contract</v>
          </cell>
          <cell r="F366">
            <v>11</v>
          </cell>
          <cell r="H366">
            <v>709</v>
          </cell>
        </row>
        <row r="367">
          <cell r="A367" t="str">
            <v>BRW-0366</v>
          </cell>
          <cell r="E367" t="str">
            <v>Full-Time</v>
          </cell>
          <cell r="F367">
            <v>3</v>
          </cell>
          <cell r="H367">
            <v>817</v>
          </cell>
        </row>
        <row r="368">
          <cell r="A368" t="str">
            <v>BRW-0367</v>
          </cell>
          <cell r="E368" t="str">
            <v>Full-Time</v>
          </cell>
          <cell r="F368">
            <v>30</v>
          </cell>
          <cell r="H368">
            <v>544</v>
          </cell>
        </row>
        <row r="369">
          <cell r="A369" t="str">
            <v>BRW-0368</v>
          </cell>
          <cell r="E369" t="str">
            <v>Contract</v>
          </cell>
          <cell r="F369">
            <v>8</v>
          </cell>
          <cell r="H369">
            <v>850</v>
          </cell>
        </row>
        <row r="370">
          <cell r="A370" t="str">
            <v>BRW-0369</v>
          </cell>
          <cell r="E370" t="str">
            <v>Self-Employed</v>
          </cell>
          <cell r="F370">
            <v>3</v>
          </cell>
          <cell r="H370">
            <v>743</v>
          </cell>
        </row>
        <row r="371">
          <cell r="A371" t="str">
            <v>BRW-0370</v>
          </cell>
          <cell r="E371" t="str">
            <v>Part-Time</v>
          </cell>
          <cell r="F371">
            <v>30</v>
          </cell>
          <cell r="H371">
            <v>580</v>
          </cell>
        </row>
        <row r="372">
          <cell r="A372" t="str">
            <v>BRW-0371</v>
          </cell>
          <cell r="E372" t="str">
            <v>Retired</v>
          </cell>
          <cell r="F372">
            <v>4</v>
          </cell>
          <cell r="H372">
            <v>626</v>
          </cell>
        </row>
        <row r="373">
          <cell r="A373" t="str">
            <v>BRW-0372</v>
          </cell>
          <cell r="E373" t="str">
            <v>Full-Time</v>
          </cell>
          <cell r="F373">
            <v>31</v>
          </cell>
          <cell r="H373">
            <v>543</v>
          </cell>
        </row>
        <row r="374">
          <cell r="A374" t="str">
            <v>BRW-0373</v>
          </cell>
          <cell r="E374" t="str">
            <v>Retired</v>
          </cell>
          <cell r="F374">
            <v>1</v>
          </cell>
          <cell r="H374">
            <v>705</v>
          </cell>
        </row>
        <row r="375">
          <cell r="A375" t="str">
            <v>BRW-0374</v>
          </cell>
          <cell r="E375" t="str">
            <v>Full-Time</v>
          </cell>
          <cell r="F375">
            <v>11</v>
          </cell>
          <cell r="H375">
            <v>815</v>
          </cell>
        </row>
        <row r="376">
          <cell r="A376" t="str">
            <v>BRW-0375</v>
          </cell>
          <cell r="E376" t="str">
            <v>Full-Time</v>
          </cell>
          <cell r="F376">
            <v>5</v>
          </cell>
          <cell r="H376">
            <v>716</v>
          </cell>
        </row>
        <row r="377">
          <cell r="A377" t="str">
            <v>BRW-0376</v>
          </cell>
          <cell r="E377" t="str">
            <v>Part-Time</v>
          </cell>
          <cell r="F377">
            <v>15</v>
          </cell>
          <cell r="H377">
            <v>585</v>
          </cell>
        </row>
        <row r="378">
          <cell r="A378" t="str">
            <v>BRW-0377</v>
          </cell>
          <cell r="E378" t="str">
            <v>Full-Time</v>
          </cell>
          <cell r="F378">
            <v>4</v>
          </cell>
          <cell r="H378">
            <v>725</v>
          </cell>
        </row>
        <row r="379">
          <cell r="A379" t="str">
            <v>BRW-0378</v>
          </cell>
          <cell r="E379" t="str">
            <v>Retired</v>
          </cell>
          <cell r="F379">
            <v>2</v>
          </cell>
          <cell r="H379">
            <v>764</v>
          </cell>
        </row>
        <row r="380">
          <cell r="A380" t="str">
            <v>BRW-0379</v>
          </cell>
          <cell r="E380" t="str">
            <v>Full-Time</v>
          </cell>
          <cell r="F380">
            <v>14</v>
          </cell>
          <cell r="H380">
            <v>542</v>
          </cell>
        </row>
        <row r="381">
          <cell r="A381" t="str">
            <v>BRW-0380</v>
          </cell>
          <cell r="E381" t="str">
            <v>Self-Employed</v>
          </cell>
          <cell r="F381">
            <v>6</v>
          </cell>
          <cell r="H381">
            <v>844</v>
          </cell>
        </row>
        <row r="382">
          <cell r="A382" t="str">
            <v>BRW-0381</v>
          </cell>
          <cell r="E382" t="str">
            <v>Full-Time</v>
          </cell>
          <cell r="F382">
            <v>1</v>
          </cell>
          <cell r="H382">
            <v>532</v>
          </cell>
        </row>
        <row r="383">
          <cell r="A383" t="str">
            <v>BRW-0382</v>
          </cell>
          <cell r="E383" t="str">
            <v>Full-Time</v>
          </cell>
          <cell r="F383">
            <v>8</v>
          </cell>
          <cell r="H383">
            <v>709</v>
          </cell>
        </row>
        <row r="384">
          <cell r="A384" t="str">
            <v>BRW-0383</v>
          </cell>
          <cell r="E384" t="str">
            <v>Full-Time</v>
          </cell>
          <cell r="F384">
            <v>4</v>
          </cell>
          <cell r="H384">
            <v>840</v>
          </cell>
        </row>
        <row r="385">
          <cell r="A385" t="str">
            <v>BRW-0384</v>
          </cell>
          <cell r="E385" t="str">
            <v>Full-Time</v>
          </cell>
          <cell r="F385">
            <v>1</v>
          </cell>
          <cell r="H385">
            <v>751</v>
          </cell>
        </row>
        <row r="386">
          <cell r="A386" t="str">
            <v>BRW-0385</v>
          </cell>
          <cell r="E386" t="str">
            <v>Full-Time</v>
          </cell>
          <cell r="F386">
            <v>3</v>
          </cell>
          <cell r="H386">
            <v>554</v>
          </cell>
        </row>
        <row r="387">
          <cell r="A387" t="str">
            <v>BRW-0386</v>
          </cell>
          <cell r="E387" t="str">
            <v>Self-Employed</v>
          </cell>
          <cell r="F387">
            <v>3</v>
          </cell>
          <cell r="H387">
            <v>560</v>
          </cell>
        </row>
        <row r="388">
          <cell r="A388" t="str">
            <v>BRW-0387</v>
          </cell>
          <cell r="E388" t="str">
            <v>Full-Time</v>
          </cell>
          <cell r="F388">
            <v>0</v>
          </cell>
          <cell r="H388">
            <v>850</v>
          </cell>
        </row>
        <row r="389">
          <cell r="A389" t="str">
            <v>BRW-0388</v>
          </cell>
          <cell r="E389" t="str">
            <v>Full-Time</v>
          </cell>
          <cell r="F389">
            <v>32</v>
          </cell>
          <cell r="H389">
            <v>593</v>
          </cell>
        </row>
        <row r="390">
          <cell r="A390" t="str">
            <v>BRW-0389</v>
          </cell>
          <cell r="E390" t="str">
            <v>Full-Time</v>
          </cell>
          <cell r="F390">
            <v>12</v>
          </cell>
          <cell r="H390">
            <v>792</v>
          </cell>
        </row>
        <row r="391">
          <cell r="A391" t="str">
            <v>BRW-0390</v>
          </cell>
          <cell r="E391" t="str">
            <v>Self-Employed</v>
          </cell>
          <cell r="F391">
            <v>0</v>
          </cell>
          <cell r="H391">
            <v>660</v>
          </cell>
        </row>
        <row r="392">
          <cell r="A392" t="str">
            <v>BRW-0391</v>
          </cell>
          <cell r="E392" t="str">
            <v>Retired</v>
          </cell>
          <cell r="F392">
            <v>6</v>
          </cell>
          <cell r="H392">
            <v>568</v>
          </cell>
        </row>
        <row r="393">
          <cell r="A393" t="str">
            <v>BRW-0392</v>
          </cell>
          <cell r="E393" t="str">
            <v>Full-Time</v>
          </cell>
          <cell r="F393">
            <v>9</v>
          </cell>
          <cell r="H393">
            <v>555</v>
          </cell>
        </row>
        <row r="394">
          <cell r="A394" t="str">
            <v>BRW-0393</v>
          </cell>
          <cell r="E394" t="str">
            <v>Contract</v>
          </cell>
          <cell r="F394">
            <v>2</v>
          </cell>
          <cell r="H394">
            <v>600</v>
          </cell>
        </row>
        <row r="395">
          <cell r="A395" t="str">
            <v>BRW-0394</v>
          </cell>
          <cell r="E395" t="str">
            <v>Contract</v>
          </cell>
          <cell r="F395">
            <v>25</v>
          </cell>
          <cell r="H395">
            <v>730</v>
          </cell>
        </row>
        <row r="396">
          <cell r="A396" t="str">
            <v>BRW-0395</v>
          </cell>
          <cell r="E396" t="str">
            <v>Part-Time</v>
          </cell>
          <cell r="F396">
            <v>8</v>
          </cell>
          <cell r="H396">
            <v>592</v>
          </cell>
        </row>
        <row r="397">
          <cell r="A397" t="str">
            <v>BRW-0396</v>
          </cell>
          <cell r="E397" t="str">
            <v>Part-Time</v>
          </cell>
          <cell r="F397">
            <v>2</v>
          </cell>
          <cell r="H397">
            <v>754</v>
          </cell>
        </row>
        <row r="398">
          <cell r="A398" t="str">
            <v>BRW-0397</v>
          </cell>
          <cell r="E398" t="str">
            <v>Self-Employed</v>
          </cell>
          <cell r="F398">
            <v>31</v>
          </cell>
          <cell r="H398">
            <v>797</v>
          </cell>
        </row>
        <row r="399">
          <cell r="A399" t="str">
            <v>BRW-0398</v>
          </cell>
          <cell r="E399" t="str">
            <v>Self-Employed</v>
          </cell>
          <cell r="F399">
            <v>14</v>
          </cell>
          <cell r="H399">
            <v>830</v>
          </cell>
        </row>
        <row r="400">
          <cell r="A400" t="str">
            <v>BRW-0399</v>
          </cell>
          <cell r="E400" t="str">
            <v>Full-Time</v>
          </cell>
          <cell r="F400">
            <v>30</v>
          </cell>
          <cell r="H400">
            <v>672</v>
          </cell>
        </row>
        <row r="401">
          <cell r="A401" t="str">
            <v>BRW-0400</v>
          </cell>
          <cell r="E401" t="str">
            <v>Part-Time</v>
          </cell>
          <cell r="F401">
            <v>32</v>
          </cell>
          <cell r="H401">
            <v>605</v>
          </cell>
        </row>
        <row r="402">
          <cell r="A402" t="str">
            <v>BRW-0401</v>
          </cell>
          <cell r="E402" t="str">
            <v>Full-Time</v>
          </cell>
          <cell r="F402">
            <v>14</v>
          </cell>
          <cell r="H402">
            <v>789</v>
          </cell>
        </row>
        <row r="403">
          <cell r="A403" t="str">
            <v>BRW-0402</v>
          </cell>
          <cell r="E403" t="str">
            <v>Part-Time</v>
          </cell>
          <cell r="F403">
            <v>28</v>
          </cell>
          <cell r="H403">
            <v>780</v>
          </cell>
        </row>
        <row r="404">
          <cell r="A404" t="str">
            <v>BRW-0403</v>
          </cell>
          <cell r="E404" t="str">
            <v>Part-Time</v>
          </cell>
          <cell r="F404">
            <v>25</v>
          </cell>
          <cell r="H404">
            <v>571</v>
          </cell>
        </row>
        <row r="405">
          <cell r="A405" t="str">
            <v>BRW-0404</v>
          </cell>
          <cell r="E405" t="str">
            <v>Self-Employed</v>
          </cell>
          <cell r="F405">
            <v>3</v>
          </cell>
          <cell r="H405">
            <v>721</v>
          </cell>
        </row>
        <row r="406">
          <cell r="A406" t="str">
            <v>BRW-0405</v>
          </cell>
          <cell r="E406" t="str">
            <v>Self-Employed</v>
          </cell>
          <cell r="F406">
            <v>7</v>
          </cell>
          <cell r="H406">
            <v>766</v>
          </cell>
        </row>
        <row r="407">
          <cell r="A407" t="str">
            <v>BRW-0406</v>
          </cell>
          <cell r="E407" t="str">
            <v>Full-Time</v>
          </cell>
          <cell r="F407">
            <v>2</v>
          </cell>
          <cell r="H407">
            <v>604</v>
          </cell>
        </row>
        <row r="408">
          <cell r="A408" t="str">
            <v>BRW-0407</v>
          </cell>
          <cell r="E408" t="str">
            <v>Full-Time</v>
          </cell>
          <cell r="F408">
            <v>25</v>
          </cell>
          <cell r="H408">
            <v>591</v>
          </cell>
        </row>
        <row r="409">
          <cell r="A409" t="str">
            <v>BRW-0408</v>
          </cell>
          <cell r="E409" t="str">
            <v>Full-Time</v>
          </cell>
          <cell r="F409">
            <v>1</v>
          </cell>
          <cell r="H409">
            <v>846</v>
          </cell>
        </row>
        <row r="410">
          <cell r="A410" t="str">
            <v>BRW-0409</v>
          </cell>
          <cell r="E410" t="str">
            <v>Full-Time</v>
          </cell>
          <cell r="F410">
            <v>27</v>
          </cell>
          <cell r="H410">
            <v>554</v>
          </cell>
        </row>
        <row r="411">
          <cell r="A411" t="str">
            <v>BRW-0410</v>
          </cell>
          <cell r="E411" t="str">
            <v>Full-Time</v>
          </cell>
          <cell r="F411">
            <v>6</v>
          </cell>
          <cell r="H411">
            <v>593</v>
          </cell>
        </row>
        <row r="412">
          <cell r="A412" t="str">
            <v>BRW-0411</v>
          </cell>
          <cell r="E412" t="str">
            <v>Part-Time</v>
          </cell>
          <cell r="F412">
            <v>8</v>
          </cell>
          <cell r="H412">
            <v>657</v>
          </cell>
        </row>
        <row r="413">
          <cell r="A413" t="str">
            <v>BRW-0412</v>
          </cell>
          <cell r="E413" t="str">
            <v>Part-Time</v>
          </cell>
          <cell r="F413">
            <v>4</v>
          </cell>
          <cell r="H413">
            <v>787</v>
          </cell>
        </row>
        <row r="414">
          <cell r="A414" t="str">
            <v>BRW-0413</v>
          </cell>
          <cell r="E414" t="str">
            <v>Full-Time</v>
          </cell>
          <cell r="F414">
            <v>22</v>
          </cell>
          <cell r="H414">
            <v>688</v>
          </cell>
        </row>
        <row r="415">
          <cell r="A415" t="str">
            <v>BRW-0414</v>
          </cell>
          <cell r="E415" t="str">
            <v>Self-Employed</v>
          </cell>
          <cell r="F415">
            <v>12</v>
          </cell>
          <cell r="H415">
            <v>594</v>
          </cell>
        </row>
        <row r="416">
          <cell r="A416" t="str">
            <v>BRW-0415</v>
          </cell>
          <cell r="E416" t="str">
            <v>Self-Employed</v>
          </cell>
          <cell r="F416">
            <v>27</v>
          </cell>
          <cell r="H416">
            <v>686</v>
          </cell>
        </row>
        <row r="417">
          <cell r="A417" t="str">
            <v>BRW-0416</v>
          </cell>
          <cell r="E417" t="str">
            <v>Full-Time</v>
          </cell>
          <cell r="F417">
            <v>2</v>
          </cell>
          <cell r="H417">
            <v>622</v>
          </cell>
        </row>
        <row r="418">
          <cell r="A418" t="str">
            <v>BRW-0417</v>
          </cell>
          <cell r="E418" t="str">
            <v>Full-Time</v>
          </cell>
          <cell r="F418">
            <v>3</v>
          </cell>
          <cell r="H418">
            <v>761</v>
          </cell>
        </row>
        <row r="419">
          <cell r="A419" t="str">
            <v>BRW-0418</v>
          </cell>
          <cell r="E419" t="str">
            <v>Full-Time</v>
          </cell>
          <cell r="F419">
            <v>3</v>
          </cell>
          <cell r="H419">
            <v>687</v>
          </cell>
        </row>
        <row r="420">
          <cell r="A420" t="str">
            <v>BRW-0419</v>
          </cell>
          <cell r="E420" t="str">
            <v>Part-Time</v>
          </cell>
          <cell r="F420">
            <v>12</v>
          </cell>
          <cell r="H420">
            <v>648</v>
          </cell>
        </row>
        <row r="421">
          <cell r="A421" t="str">
            <v>BRW-0420</v>
          </cell>
          <cell r="E421" t="str">
            <v>Self-Employed</v>
          </cell>
          <cell r="F421">
            <v>6</v>
          </cell>
          <cell r="H421">
            <v>846</v>
          </cell>
        </row>
        <row r="422">
          <cell r="A422" t="str">
            <v>BRW-0421</v>
          </cell>
          <cell r="E422" t="str">
            <v>Retired</v>
          </cell>
          <cell r="F422">
            <v>24</v>
          </cell>
          <cell r="H422">
            <v>586</v>
          </cell>
        </row>
        <row r="423">
          <cell r="A423" t="str">
            <v>BRW-0422</v>
          </cell>
          <cell r="E423" t="str">
            <v>Full-Time</v>
          </cell>
          <cell r="F423">
            <v>2</v>
          </cell>
          <cell r="H423">
            <v>619</v>
          </cell>
        </row>
        <row r="424">
          <cell r="A424" t="str">
            <v>BRW-0423</v>
          </cell>
          <cell r="E424" t="str">
            <v>Self-Employed</v>
          </cell>
          <cell r="F424">
            <v>35</v>
          </cell>
          <cell r="H424">
            <v>828</v>
          </cell>
        </row>
        <row r="425">
          <cell r="A425" t="str">
            <v>BRW-0424</v>
          </cell>
          <cell r="E425" t="str">
            <v>Self-Employed</v>
          </cell>
          <cell r="F425">
            <v>8</v>
          </cell>
          <cell r="H425">
            <v>808</v>
          </cell>
        </row>
        <row r="426">
          <cell r="A426" t="str">
            <v>BRW-0425</v>
          </cell>
          <cell r="E426" t="str">
            <v>Full-Time</v>
          </cell>
          <cell r="F426">
            <v>16</v>
          </cell>
          <cell r="H426">
            <v>850</v>
          </cell>
        </row>
        <row r="427">
          <cell r="A427" t="str">
            <v>BRW-0426</v>
          </cell>
          <cell r="E427" t="str">
            <v>Full-Time</v>
          </cell>
          <cell r="F427">
            <v>2</v>
          </cell>
          <cell r="H427">
            <v>850</v>
          </cell>
        </row>
        <row r="428">
          <cell r="A428" t="str">
            <v>BRW-0427</v>
          </cell>
          <cell r="E428" t="str">
            <v>Self-Employed</v>
          </cell>
          <cell r="F428">
            <v>17</v>
          </cell>
          <cell r="H428">
            <v>661</v>
          </cell>
        </row>
        <row r="429">
          <cell r="A429" t="str">
            <v>BRW-0428</v>
          </cell>
          <cell r="E429" t="str">
            <v>Full-Time</v>
          </cell>
          <cell r="F429">
            <v>20</v>
          </cell>
          <cell r="H429">
            <v>686</v>
          </cell>
        </row>
        <row r="430">
          <cell r="A430" t="str">
            <v>BRW-0429</v>
          </cell>
          <cell r="E430" t="str">
            <v>Part-Time</v>
          </cell>
          <cell r="F430">
            <v>13</v>
          </cell>
          <cell r="H430">
            <v>847</v>
          </cell>
        </row>
        <row r="431">
          <cell r="A431" t="str">
            <v>BRW-0430</v>
          </cell>
          <cell r="E431" t="str">
            <v>Self-Employed</v>
          </cell>
          <cell r="F431">
            <v>9</v>
          </cell>
          <cell r="H431">
            <v>576</v>
          </cell>
        </row>
        <row r="432">
          <cell r="A432" t="str">
            <v>BRW-0431</v>
          </cell>
          <cell r="E432" t="str">
            <v>Full-Time</v>
          </cell>
          <cell r="F432">
            <v>2</v>
          </cell>
          <cell r="H432">
            <v>641</v>
          </cell>
        </row>
        <row r="433">
          <cell r="A433" t="str">
            <v>BRW-0432</v>
          </cell>
          <cell r="E433" t="str">
            <v>Full-Time</v>
          </cell>
          <cell r="F433">
            <v>0</v>
          </cell>
          <cell r="H433">
            <v>846</v>
          </cell>
        </row>
        <row r="434">
          <cell r="A434" t="str">
            <v>BRW-0433</v>
          </cell>
          <cell r="E434" t="str">
            <v>Full-Time</v>
          </cell>
          <cell r="F434">
            <v>19</v>
          </cell>
          <cell r="H434">
            <v>704</v>
          </cell>
        </row>
        <row r="435">
          <cell r="A435" t="str">
            <v>BRW-0434</v>
          </cell>
          <cell r="E435" t="str">
            <v>Full-Time</v>
          </cell>
          <cell r="F435">
            <v>34</v>
          </cell>
          <cell r="H435">
            <v>725</v>
          </cell>
        </row>
        <row r="436">
          <cell r="A436" t="str">
            <v>BRW-0435</v>
          </cell>
          <cell r="E436" t="str">
            <v>Retired</v>
          </cell>
          <cell r="F436">
            <v>9</v>
          </cell>
          <cell r="H436">
            <v>809</v>
          </cell>
        </row>
        <row r="437">
          <cell r="A437" t="str">
            <v>BRW-0436</v>
          </cell>
          <cell r="E437" t="str">
            <v>Full-Time</v>
          </cell>
          <cell r="F437">
            <v>13</v>
          </cell>
          <cell r="H437">
            <v>721</v>
          </cell>
        </row>
        <row r="438">
          <cell r="A438" t="str">
            <v>BRW-0437</v>
          </cell>
          <cell r="E438" t="str">
            <v>Contract</v>
          </cell>
          <cell r="F438">
            <v>10</v>
          </cell>
          <cell r="H438">
            <v>617</v>
          </cell>
        </row>
        <row r="439">
          <cell r="A439" t="str">
            <v>BRW-0438</v>
          </cell>
          <cell r="E439" t="str">
            <v>Full-Time</v>
          </cell>
          <cell r="F439">
            <v>16</v>
          </cell>
          <cell r="H439">
            <v>564</v>
          </cell>
        </row>
        <row r="440">
          <cell r="A440" t="str">
            <v>BRW-0439</v>
          </cell>
          <cell r="E440" t="str">
            <v>Self-Employed</v>
          </cell>
          <cell r="F440">
            <v>2</v>
          </cell>
          <cell r="H440">
            <v>842</v>
          </cell>
        </row>
        <row r="441">
          <cell r="A441" t="str">
            <v>BRW-0440</v>
          </cell>
          <cell r="E441" t="str">
            <v>Part-Time</v>
          </cell>
          <cell r="F441">
            <v>20</v>
          </cell>
          <cell r="H441">
            <v>711</v>
          </cell>
        </row>
        <row r="442">
          <cell r="A442" t="str">
            <v>BRW-0441</v>
          </cell>
          <cell r="E442" t="str">
            <v>Part-Time</v>
          </cell>
          <cell r="F442">
            <v>4</v>
          </cell>
          <cell r="H442">
            <v>714</v>
          </cell>
        </row>
        <row r="443">
          <cell r="A443" t="str">
            <v>BRW-0442</v>
          </cell>
          <cell r="E443" t="str">
            <v>Full-Time</v>
          </cell>
          <cell r="F443">
            <v>19</v>
          </cell>
          <cell r="H443">
            <v>850</v>
          </cell>
        </row>
        <row r="444">
          <cell r="A444" t="str">
            <v>BRW-0443</v>
          </cell>
          <cell r="E444" t="str">
            <v>Self-Employed</v>
          </cell>
          <cell r="F444">
            <v>1</v>
          </cell>
          <cell r="H444">
            <v>568</v>
          </cell>
        </row>
        <row r="445">
          <cell r="A445" t="str">
            <v>BRW-0444</v>
          </cell>
          <cell r="E445" t="str">
            <v>Full-Time</v>
          </cell>
          <cell r="F445">
            <v>17</v>
          </cell>
          <cell r="H445">
            <v>663</v>
          </cell>
        </row>
        <row r="446">
          <cell r="A446" t="str">
            <v>BRW-0445</v>
          </cell>
          <cell r="E446" t="str">
            <v>Contract</v>
          </cell>
          <cell r="F446">
            <v>4</v>
          </cell>
          <cell r="H446">
            <v>683</v>
          </cell>
        </row>
        <row r="447">
          <cell r="A447" t="str">
            <v>BRW-0446</v>
          </cell>
          <cell r="E447" t="str">
            <v>Contract</v>
          </cell>
          <cell r="F447">
            <v>2</v>
          </cell>
          <cell r="H447">
            <v>850</v>
          </cell>
        </row>
        <row r="448">
          <cell r="A448" t="str">
            <v>BRW-0447</v>
          </cell>
          <cell r="E448" t="str">
            <v>Self-Employed</v>
          </cell>
          <cell r="F448">
            <v>22</v>
          </cell>
          <cell r="H448">
            <v>797</v>
          </cell>
        </row>
        <row r="449">
          <cell r="A449" t="str">
            <v>BRW-0448</v>
          </cell>
          <cell r="E449" t="str">
            <v>Self-Employed</v>
          </cell>
          <cell r="F449">
            <v>12</v>
          </cell>
          <cell r="H449">
            <v>714</v>
          </cell>
        </row>
        <row r="450">
          <cell r="A450" t="str">
            <v>BRW-0449</v>
          </cell>
          <cell r="E450" t="str">
            <v>Self-Employed</v>
          </cell>
          <cell r="F450">
            <v>16</v>
          </cell>
          <cell r="H450">
            <v>670</v>
          </cell>
        </row>
        <row r="451">
          <cell r="A451" t="str">
            <v>BRW-0450</v>
          </cell>
          <cell r="E451" t="str">
            <v>Contract</v>
          </cell>
          <cell r="F451">
            <v>12</v>
          </cell>
          <cell r="H451">
            <v>658</v>
          </cell>
        </row>
        <row r="452">
          <cell r="A452" t="str">
            <v>BRW-0451</v>
          </cell>
          <cell r="E452" t="str">
            <v>Full-Time</v>
          </cell>
          <cell r="F452">
            <v>4</v>
          </cell>
          <cell r="H452">
            <v>791</v>
          </cell>
        </row>
        <row r="453">
          <cell r="A453" t="str">
            <v>BRW-0452</v>
          </cell>
          <cell r="E453" t="str">
            <v>Full-Time</v>
          </cell>
          <cell r="F453">
            <v>7</v>
          </cell>
          <cell r="H453">
            <v>590</v>
          </cell>
        </row>
        <row r="454">
          <cell r="A454" t="str">
            <v>BRW-0453</v>
          </cell>
          <cell r="E454" t="str">
            <v>Part-Time</v>
          </cell>
          <cell r="F454">
            <v>1</v>
          </cell>
          <cell r="H454">
            <v>740</v>
          </cell>
        </row>
        <row r="455">
          <cell r="A455" t="str">
            <v>BRW-0454</v>
          </cell>
          <cell r="E455" t="str">
            <v>Contract</v>
          </cell>
          <cell r="F455">
            <v>16</v>
          </cell>
          <cell r="H455">
            <v>615</v>
          </cell>
        </row>
        <row r="456">
          <cell r="A456" t="str">
            <v>BRW-0455</v>
          </cell>
          <cell r="E456" t="str">
            <v>Contract</v>
          </cell>
          <cell r="F456">
            <v>5</v>
          </cell>
          <cell r="H456">
            <v>685</v>
          </cell>
        </row>
        <row r="457">
          <cell r="A457" t="str">
            <v>BRW-0456</v>
          </cell>
          <cell r="E457" t="str">
            <v>Full-Time</v>
          </cell>
          <cell r="F457">
            <v>12</v>
          </cell>
          <cell r="H457">
            <v>823</v>
          </cell>
        </row>
        <row r="458">
          <cell r="A458" t="str">
            <v>BRW-0457</v>
          </cell>
          <cell r="E458" t="str">
            <v>Full-Time</v>
          </cell>
          <cell r="F458">
            <v>24</v>
          </cell>
          <cell r="H458">
            <v>647</v>
          </cell>
        </row>
        <row r="459">
          <cell r="A459" t="str">
            <v>BRW-0458</v>
          </cell>
          <cell r="E459" t="str">
            <v>Contract</v>
          </cell>
          <cell r="F459">
            <v>30</v>
          </cell>
          <cell r="H459">
            <v>625</v>
          </cell>
        </row>
        <row r="460">
          <cell r="A460" t="str">
            <v>BRW-0459</v>
          </cell>
          <cell r="E460" t="str">
            <v>Full-Time</v>
          </cell>
          <cell r="F460">
            <v>34</v>
          </cell>
          <cell r="H460">
            <v>850</v>
          </cell>
        </row>
        <row r="461">
          <cell r="A461" t="str">
            <v>BRW-0460</v>
          </cell>
          <cell r="E461" t="str">
            <v>Full-Time</v>
          </cell>
          <cell r="F461">
            <v>13</v>
          </cell>
          <cell r="H461">
            <v>801</v>
          </cell>
        </row>
        <row r="462">
          <cell r="A462" t="str">
            <v>BRW-0461</v>
          </cell>
          <cell r="E462" t="str">
            <v>Self-Employed</v>
          </cell>
          <cell r="F462">
            <v>3</v>
          </cell>
          <cell r="H462">
            <v>834</v>
          </cell>
        </row>
        <row r="463">
          <cell r="A463" t="str">
            <v>BRW-0462</v>
          </cell>
          <cell r="E463" t="str">
            <v>Contract</v>
          </cell>
          <cell r="F463">
            <v>0</v>
          </cell>
          <cell r="H463">
            <v>626</v>
          </cell>
        </row>
        <row r="464">
          <cell r="A464" t="str">
            <v>BRW-0463</v>
          </cell>
          <cell r="E464" t="str">
            <v>Self-Employed</v>
          </cell>
          <cell r="F464">
            <v>26</v>
          </cell>
          <cell r="H464">
            <v>691</v>
          </cell>
        </row>
        <row r="465">
          <cell r="A465" t="str">
            <v>BRW-0464</v>
          </cell>
          <cell r="E465" t="str">
            <v>Full-Time</v>
          </cell>
          <cell r="F465">
            <v>12</v>
          </cell>
          <cell r="H465">
            <v>681</v>
          </cell>
        </row>
        <row r="466">
          <cell r="A466" t="str">
            <v>BRW-0465</v>
          </cell>
          <cell r="E466" t="str">
            <v>Part-Time</v>
          </cell>
          <cell r="F466">
            <v>9</v>
          </cell>
          <cell r="H466">
            <v>682</v>
          </cell>
        </row>
        <row r="467">
          <cell r="A467" t="str">
            <v>BRW-0466</v>
          </cell>
          <cell r="E467" t="str">
            <v>Full-Time</v>
          </cell>
          <cell r="F467">
            <v>6</v>
          </cell>
          <cell r="H467">
            <v>612</v>
          </cell>
        </row>
        <row r="468">
          <cell r="A468" t="str">
            <v>BRW-0467</v>
          </cell>
          <cell r="E468" t="str">
            <v>Self-Employed</v>
          </cell>
          <cell r="F468">
            <v>0</v>
          </cell>
          <cell r="H468">
            <v>850</v>
          </cell>
        </row>
        <row r="469">
          <cell r="A469" t="str">
            <v>BRW-0468</v>
          </cell>
          <cell r="E469" t="str">
            <v>Full-Time</v>
          </cell>
          <cell r="F469">
            <v>1</v>
          </cell>
          <cell r="H469">
            <v>836</v>
          </cell>
        </row>
        <row r="470">
          <cell r="A470" t="str">
            <v>BRW-0469</v>
          </cell>
          <cell r="E470" t="str">
            <v>Retired</v>
          </cell>
          <cell r="F470">
            <v>31</v>
          </cell>
          <cell r="H470">
            <v>609</v>
          </cell>
        </row>
        <row r="471">
          <cell r="A471" t="str">
            <v>BRW-0470</v>
          </cell>
          <cell r="E471" t="str">
            <v>Full-Time</v>
          </cell>
          <cell r="F471">
            <v>14</v>
          </cell>
          <cell r="H471">
            <v>794</v>
          </cell>
        </row>
        <row r="472">
          <cell r="A472" t="str">
            <v>BRW-0471</v>
          </cell>
          <cell r="E472" t="str">
            <v>Full-Time</v>
          </cell>
          <cell r="F472">
            <v>1</v>
          </cell>
          <cell r="H472">
            <v>744</v>
          </cell>
        </row>
        <row r="473">
          <cell r="A473" t="str">
            <v>BRW-0472</v>
          </cell>
          <cell r="E473" t="str">
            <v>Full-Time</v>
          </cell>
          <cell r="F473">
            <v>22</v>
          </cell>
          <cell r="H473">
            <v>811</v>
          </cell>
        </row>
        <row r="474">
          <cell r="A474" t="str">
            <v>BRW-0473</v>
          </cell>
          <cell r="E474" t="str">
            <v>Full-Time</v>
          </cell>
          <cell r="F474">
            <v>6</v>
          </cell>
          <cell r="H474">
            <v>619</v>
          </cell>
        </row>
        <row r="475">
          <cell r="A475" t="str">
            <v>BRW-0474</v>
          </cell>
          <cell r="E475" t="str">
            <v>Retired</v>
          </cell>
          <cell r="F475">
            <v>4</v>
          </cell>
          <cell r="H475">
            <v>829</v>
          </cell>
        </row>
        <row r="476">
          <cell r="A476" t="str">
            <v>BRW-0475</v>
          </cell>
          <cell r="E476" t="str">
            <v>Full-Time</v>
          </cell>
          <cell r="F476">
            <v>0</v>
          </cell>
          <cell r="H476">
            <v>845</v>
          </cell>
        </row>
        <row r="477">
          <cell r="A477" t="str">
            <v>BRW-0476</v>
          </cell>
          <cell r="E477" t="str">
            <v>Full-Time</v>
          </cell>
          <cell r="F477">
            <v>16</v>
          </cell>
          <cell r="H477">
            <v>715</v>
          </cell>
        </row>
        <row r="478">
          <cell r="A478" t="str">
            <v>BRW-0477</v>
          </cell>
          <cell r="E478" t="str">
            <v>Self-Employed</v>
          </cell>
          <cell r="F478">
            <v>2</v>
          </cell>
          <cell r="H478">
            <v>818</v>
          </cell>
        </row>
        <row r="479">
          <cell r="A479" t="str">
            <v>BRW-0478</v>
          </cell>
          <cell r="E479" t="str">
            <v>Self-Employed</v>
          </cell>
          <cell r="F479">
            <v>11</v>
          </cell>
          <cell r="H479">
            <v>805</v>
          </cell>
        </row>
        <row r="480">
          <cell r="A480" t="str">
            <v>BRW-0479</v>
          </cell>
          <cell r="E480" t="str">
            <v>Full-Time</v>
          </cell>
          <cell r="F480">
            <v>3</v>
          </cell>
          <cell r="H480">
            <v>609</v>
          </cell>
        </row>
        <row r="481">
          <cell r="A481" t="str">
            <v>BRW-0480</v>
          </cell>
          <cell r="E481" t="str">
            <v>Contract</v>
          </cell>
          <cell r="F481">
            <v>23</v>
          </cell>
          <cell r="H481">
            <v>776</v>
          </cell>
        </row>
        <row r="482">
          <cell r="A482" t="str">
            <v>BRW-0481</v>
          </cell>
          <cell r="E482" t="str">
            <v>Full-Time</v>
          </cell>
          <cell r="F482">
            <v>17</v>
          </cell>
          <cell r="H482">
            <v>811</v>
          </cell>
        </row>
        <row r="483">
          <cell r="A483" t="str">
            <v>BRW-0482</v>
          </cell>
          <cell r="E483" t="str">
            <v>Full-Time</v>
          </cell>
          <cell r="F483">
            <v>27</v>
          </cell>
          <cell r="H483">
            <v>736</v>
          </cell>
        </row>
        <row r="484">
          <cell r="A484" t="str">
            <v>BRW-0483</v>
          </cell>
          <cell r="E484" t="str">
            <v>Self-Employed</v>
          </cell>
          <cell r="F484">
            <v>24</v>
          </cell>
          <cell r="H484">
            <v>637</v>
          </cell>
        </row>
        <row r="485">
          <cell r="A485" t="str">
            <v>BRW-0484</v>
          </cell>
          <cell r="E485" t="str">
            <v>Full-Time</v>
          </cell>
          <cell r="F485">
            <v>5</v>
          </cell>
          <cell r="H485">
            <v>848</v>
          </cell>
        </row>
        <row r="486">
          <cell r="A486" t="str">
            <v>BRW-0485</v>
          </cell>
          <cell r="E486" t="str">
            <v>Full-Time</v>
          </cell>
          <cell r="F486">
            <v>4</v>
          </cell>
          <cell r="H486">
            <v>827</v>
          </cell>
        </row>
        <row r="487">
          <cell r="A487" t="str">
            <v>BRW-0486</v>
          </cell>
          <cell r="E487" t="str">
            <v>Part-Time</v>
          </cell>
          <cell r="F487">
            <v>4</v>
          </cell>
          <cell r="H487">
            <v>635</v>
          </cell>
        </row>
        <row r="488">
          <cell r="A488" t="str">
            <v>BRW-0487</v>
          </cell>
          <cell r="E488" t="str">
            <v>Full-Time</v>
          </cell>
          <cell r="F488">
            <v>8</v>
          </cell>
          <cell r="H488">
            <v>850</v>
          </cell>
        </row>
        <row r="489">
          <cell r="A489" t="str">
            <v>BRW-0488</v>
          </cell>
          <cell r="E489" t="str">
            <v>Full-Time</v>
          </cell>
          <cell r="F489">
            <v>3</v>
          </cell>
          <cell r="H489">
            <v>618</v>
          </cell>
        </row>
        <row r="490">
          <cell r="A490" t="str">
            <v>BRW-0489</v>
          </cell>
          <cell r="E490" t="str">
            <v>Full-Time</v>
          </cell>
          <cell r="F490">
            <v>29</v>
          </cell>
          <cell r="H490">
            <v>825</v>
          </cell>
        </row>
        <row r="491">
          <cell r="A491" t="str">
            <v>BRW-0490</v>
          </cell>
          <cell r="E491" t="str">
            <v>Full-Time</v>
          </cell>
          <cell r="F491">
            <v>11</v>
          </cell>
          <cell r="H491">
            <v>825</v>
          </cell>
        </row>
        <row r="492">
          <cell r="A492" t="str">
            <v>BRW-0491</v>
          </cell>
          <cell r="E492" t="str">
            <v>Full-Time</v>
          </cell>
          <cell r="F492">
            <v>18</v>
          </cell>
          <cell r="H492">
            <v>849</v>
          </cell>
        </row>
        <row r="493">
          <cell r="A493" t="str">
            <v>BRW-0492</v>
          </cell>
          <cell r="E493" t="str">
            <v>Part-Time</v>
          </cell>
          <cell r="F493">
            <v>2</v>
          </cell>
          <cell r="H493">
            <v>561</v>
          </cell>
        </row>
        <row r="494">
          <cell r="A494" t="str">
            <v>BRW-0493</v>
          </cell>
          <cell r="E494" t="str">
            <v>Part-Time</v>
          </cell>
          <cell r="F494">
            <v>23</v>
          </cell>
          <cell r="H494">
            <v>752</v>
          </cell>
        </row>
        <row r="495">
          <cell r="A495" t="str">
            <v>BRW-0494</v>
          </cell>
          <cell r="E495" t="str">
            <v>Full-Time</v>
          </cell>
          <cell r="F495">
            <v>11</v>
          </cell>
          <cell r="H495">
            <v>663</v>
          </cell>
        </row>
        <row r="496">
          <cell r="A496" t="str">
            <v>BRW-0495</v>
          </cell>
          <cell r="E496" t="str">
            <v>Contract</v>
          </cell>
          <cell r="F496">
            <v>6</v>
          </cell>
          <cell r="H496">
            <v>543</v>
          </cell>
        </row>
        <row r="497">
          <cell r="A497" t="str">
            <v>BRW-0496</v>
          </cell>
          <cell r="E497" t="str">
            <v>Contract</v>
          </cell>
          <cell r="F497">
            <v>4</v>
          </cell>
          <cell r="H497">
            <v>661</v>
          </cell>
        </row>
        <row r="498">
          <cell r="A498" t="str">
            <v>BRW-0497</v>
          </cell>
          <cell r="E498" t="str">
            <v>Full-Time</v>
          </cell>
          <cell r="F498">
            <v>3</v>
          </cell>
          <cell r="H498">
            <v>773</v>
          </cell>
        </row>
        <row r="499">
          <cell r="A499" t="str">
            <v>BRW-0498</v>
          </cell>
          <cell r="E499" t="str">
            <v>Self-Employed</v>
          </cell>
          <cell r="F499">
            <v>7</v>
          </cell>
          <cell r="H499">
            <v>845</v>
          </cell>
        </row>
        <row r="500">
          <cell r="A500" t="str">
            <v>BRW-0499</v>
          </cell>
          <cell r="E500" t="str">
            <v>Full-Time</v>
          </cell>
          <cell r="F500">
            <v>14</v>
          </cell>
          <cell r="H500">
            <v>811</v>
          </cell>
        </row>
        <row r="501">
          <cell r="A501" t="str">
            <v>BRW-0500</v>
          </cell>
          <cell r="E501" t="str">
            <v>Full-Time</v>
          </cell>
          <cell r="F501">
            <v>5</v>
          </cell>
          <cell r="H501">
            <v>604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ford, Brittany M" refreshedDate="46281.372472337964" createdVersion="8" refreshedVersion="8" minRefreshableVersion="3" recordCount="601" xr:uid="{7022A843-43A2-4258-B792-5DD8427B76CA}">
  <cacheSource type="worksheet">
    <worksheetSource ref="A1:N602" sheet="default_rate_by_credit_score"/>
  </cacheSource>
  <cacheFields count="14">
    <cacheField name="loan_id" numFmtId="0">
      <sharedItems count="601">
        <s v="LN-00001"/>
        <s v="LN-00002"/>
        <s v="LN-00003"/>
        <s v="LN-00004"/>
        <s v="LN-00005"/>
        <s v="LN-00006"/>
        <s v="LN-00007"/>
        <s v="LN-00008"/>
        <s v="LN-00009"/>
        <s v="LN-00010"/>
        <s v="LN-00011"/>
        <s v="LN-00012"/>
        <s v="LN-00013"/>
        <s v="LN-00014"/>
        <s v="LN-00015"/>
        <s v="LN-00016"/>
        <s v="LN-00017"/>
        <s v="LN-00018"/>
        <s v="LN-00019"/>
        <s v="LN-00020"/>
        <s v="LN-00021"/>
        <s v="LN-00022"/>
        <s v="LN-00023"/>
        <s v="LN-00024"/>
        <s v="LN-00025"/>
        <s v="LN-00026"/>
        <s v="LN-00027"/>
        <s v="LN-00028"/>
        <s v="LN-00029"/>
        <s v="LN-00030"/>
        <s v="LN-00031"/>
        <s v="LN-00032"/>
        <s v="LN-00033"/>
        <s v="LN-00034"/>
        <s v="LN-00035"/>
        <s v="LN-00036"/>
        <s v="LN-00037"/>
        <s v="LN-00038"/>
        <s v="LN-00039"/>
        <s v="LN-00040"/>
        <s v="LN-00041"/>
        <s v="LN-00042"/>
        <s v="LN-00043"/>
        <s v="LN-00044"/>
        <s v="LN-00045"/>
        <s v="LN-00046"/>
        <s v="LN-00047"/>
        <s v="LN-00048"/>
        <s v="LN-00049"/>
        <s v="LN-00050"/>
        <s v="LN-00051"/>
        <s v="LN-00052"/>
        <s v="LN-00053"/>
        <s v="LN-00054"/>
        <s v="LN-00055"/>
        <s v="LN-00056"/>
        <s v="LN-00057"/>
        <s v="LN-00058"/>
        <s v="LN-00059"/>
        <s v="LN-00060"/>
        <s v="LN-00061"/>
        <s v="LN-00062"/>
        <s v="LN-00063"/>
        <s v="LN-00064"/>
        <s v="LN-00065"/>
        <s v="LN-00066"/>
        <s v="LN-00067"/>
        <s v="LN-00068"/>
        <s v="LN-00069"/>
        <s v="LN-00070"/>
        <s v="LN-00071"/>
        <s v="LN-00072"/>
        <s v="LN-00073"/>
        <s v="LN-00074"/>
        <s v="LN-00075"/>
        <s v="LN-00076"/>
        <s v="LN-00077"/>
        <s v="LN-00078"/>
        <s v="LN-00079"/>
        <s v="LN-00080"/>
        <s v="LN-00081"/>
        <s v="LN-00082"/>
        <s v="LN-00083"/>
        <s v="LN-00084"/>
        <s v="LN-00085"/>
        <s v="LN-00086"/>
        <s v="LN-00087"/>
        <s v="LN-00088"/>
        <s v="LN-00089"/>
        <s v="LN-00090"/>
        <s v="LN-00091"/>
        <s v="LN-00092"/>
        <s v="LN-00093"/>
        <s v="LN-00094"/>
        <s v="LN-00095"/>
        <s v="LN-00096"/>
        <s v="LN-00097"/>
        <s v="LN-00098"/>
        <s v="LN-00099"/>
        <s v="LN-00100"/>
        <s v="LN-00101"/>
        <s v="LN-00102"/>
        <s v="LN-00103"/>
        <s v="LN-00104"/>
        <s v="LN-00105"/>
        <s v="LN-00106"/>
        <s v="LN-00107"/>
        <s v="LN-00108"/>
        <s v="LN-00109"/>
        <s v="LN-00110"/>
        <s v="LN-00111"/>
        <s v="LN-00112"/>
        <s v="LN-00113"/>
        <s v="LN-00114"/>
        <s v="LN-00115"/>
        <s v="LN-00116"/>
        <s v="LN-00117"/>
        <s v="LN-00118"/>
        <s v="LN-00119"/>
        <s v="LN-00120"/>
        <s v="LN-00121"/>
        <s v="LN-00122"/>
        <s v="LN-00123"/>
        <s v="LN-00124"/>
        <s v="LN-00125"/>
        <s v="LN-00126"/>
        <s v="LN-00127"/>
        <s v="LN-00128"/>
        <s v="LN-00129"/>
        <s v="LN-00130"/>
        <s v="LN-00131"/>
        <s v="LN-00132"/>
        <s v="LN-00133"/>
        <s v="LN-00134"/>
        <s v="LN-00135"/>
        <s v="LN-00136"/>
        <s v="LN-00137"/>
        <s v="LN-00138"/>
        <s v="LN-00139"/>
        <s v="LN-00140"/>
        <s v="LN-00141"/>
        <s v="LN-00142"/>
        <s v="LN-00143"/>
        <s v="LN-00144"/>
        <s v="LN-00145"/>
        <s v="LN-00146"/>
        <s v="LN-00147"/>
        <s v="LN-00148"/>
        <s v="LN-00149"/>
        <s v="LN-00150"/>
        <s v="LN-00151"/>
        <s v="LN-00152"/>
        <s v="LN-00153"/>
        <s v="LN-00154"/>
        <s v="LN-00155"/>
        <s v="LN-00156"/>
        <s v="LN-00157"/>
        <s v="LN-00158"/>
        <s v="LN-00159"/>
        <s v="LN-00160"/>
        <s v="LN-00161"/>
        <s v="LN-00162"/>
        <s v="LN-00163"/>
        <s v="LN-00164"/>
        <s v="LN-00165"/>
        <s v="LN-00166"/>
        <s v="LN-00167"/>
        <s v="LN-00168"/>
        <s v="LN-00169"/>
        <s v="LN-00170"/>
        <s v="LN-00171"/>
        <s v="LN-00172"/>
        <s v="LN-00173"/>
        <s v="LN-00174"/>
        <s v="LN-00175"/>
        <s v="LN-00176"/>
        <s v="LN-00177"/>
        <s v="LN-00178"/>
        <s v="LN-00179"/>
        <s v="LN-00180"/>
        <s v="LN-00181"/>
        <s v="LN-00182"/>
        <s v="LN-00183"/>
        <s v="LN-00184"/>
        <s v="LN-00185"/>
        <s v="LN-00186"/>
        <s v="LN-00187"/>
        <s v="LN-00188"/>
        <s v="LN-00189"/>
        <s v="LN-00190"/>
        <s v="LN-00191"/>
        <s v="LN-00192"/>
        <s v="LN-00193"/>
        <s v="LN-00194"/>
        <s v="LN-00195"/>
        <s v="LN-00196"/>
        <s v="LN-00197"/>
        <s v="LN-00198"/>
        <s v="LN-00199"/>
        <s v="LN-00200"/>
        <s v="LN-00201"/>
        <s v="LN-00202"/>
        <s v="LN-00203"/>
        <s v="LN-00204"/>
        <s v="LN-00205"/>
        <s v="LN-00206"/>
        <s v="LN-00207"/>
        <s v="LN-00208"/>
        <s v="LN-00209"/>
        <s v="LN-00210"/>
        <s v="LN-00211"/>
        <s v="LN-00212"/>
        <s v="LN-00213"/>
        <s v="LN-00214"/>
        <s v="LN-00215"/>
        <s v="LN-00216"/>
        <s v="LN-00217"/>
        <s v="LN-00218"/>
        <s v="LN-00219"/>
        <s v="LN-00220"/>
        <s v="LN-00221"/>
        <s v="LN-00222"/>
        <s v="LN-00223"/>
        <s v="LN-00224"/>
        <s v="LN-00225"/>
        <s v="LN-00226"/>
        <s v="LN-00227"/>
        <s v="LN-00228"/>
        <s v="LN-00229"/>
        <s v="LN-00230"/>
        <s v="LN-00231"/>
        <s v="LN-00232"/>
        <s v="LN-00233"/>
        <s v="LN-00234"/>
        <s v="LN-00235"/>
        <s v="LN-00236"/>
        <s v="LN-00237"/>
        <s v="LN-00238"/>
        <s v="LN-00239"/>
        <s v="LN-00240"/>
        <s v="LN-00241"/>
        <s v="LN-00242"/>
        <s v="LN-00243"/>
        <s v="LN-00244"/>
        <s v="LN-00245"/>
        <s v="LN-00246"/>
        <s v="LN-00247"/>
        <s v="LN-00248"/>
        <s v="LN-00249"/>
        <s v="LN-00250"/>
        <s v="LN-00251"/>
        <s v="LN-00252"/>
        <s v="LN-00253"/>
        <s v="LN-00254"/>
        <s v="LN-00255"/>
        <s v="LN-00256"/>
        <s v="LN-00257"/>
        <s v="LN-00258"/>
        <s v="LN-00259"/>
        <s v="LN-00260"/>
        <s v="LN-00261"/>
        <s v="LN-00262"/>
        <s v="LN-00263"/>
        <s v="LN-00264"/>
        <s v="LN-00265"/>
        <s v="LN-00266"/>
        <s v="LN-00267"/>
        <s v="LN-00268"/>
        <s v="LN-00269"/>
        <s v="LN-00270"/>
        <s v="LN-00271"/>
        <s v="LN-00272"/>
        <s v="LN-00273"/>
        <s v="LN-00274"/>
        <s v="LN-00275"/>
        <s v="LN-00276"/>
        <s v="LN-00277"/>
        <s v="LN-00278"/>
        <s v="LN-00279"/>
        <s v="LN-00280"/>
        <s v="LN-00281"/>
        <s v="LN-00282"/>
        <s v="LN-00283"/>
        <s v="LN-00284"/>
        <s v="LN-00285"/>
        <s v="LN-00286"/>
        <s v="LN-00287"/>
        <s v="LN-00288"/>
        <s v="LN-00289"/>
        <s v="LN-00290"/>
        <s v="LN-00291"/>
        <s v="LN-00292"/>
        <s v="LN-00293"/>
        <s v="LN-00294"/>
        <s v="LN-00295"/>
        <s v="LN-00296"/>
        <s v="LN-00297"/>
        <s v="LN-00298"/>
        <s v="LN-00299"/>
        <s v="LN-00300"/>
        <s v="LN-00301"/>
        <s v="LN-00302"/>
        <s v="LN-00303"/>
        <s v="LN-00304"/>
        <s v="LN-00305"/>
        <s v="LN-00306"/>
        <s v="LN-00307"/>
        <s v="LN-00308"/>
        <s v="LN-00309"/>
        <s v="LN-00310"/>
        <s v="LN-00311"/>
        <s v="LN-00312"/>
        <s v="LN-00313"/>
        <s v="LN-00314"/>
        <s v="LN-00315"/>
        <s v="LN-00316"/>
        <s v="LN-00317"/>
        <s v="LN-00318"/>
        <s v="LN-00319"/>
        <s v="LN-00320"/>
        <s v="LN-00321"/>
        <s v="LN-00322"/>
        <s v="LN-00323"/>
        <s v="LN-00324"/>
        <s v="LN-00325"/>
        <s v="LN-00326"/>
        <s v="LN-00327"/>
        <s v="LN-00328"/>
        <s v="LN-00329"/>
        <s v="LN-00330"/>
        <s v="LN-00331"/>
        <s v="LN-00332"/>
        <s v="LN-00333"/>
        <s v="LN-00334"/>
        <s v="LN-00335"/>
        <s v="LN-00336"/>
        <s v="LN-00337"/>
        <s v="LN-00338"/>
        <s v="LN-00339"/>
        <s v="LN-00340"/>
        <s v="LN-00341"/>
        <s v="LN-00342"/>
        <s v="LN-00343"/>
        <s v="LN-00344"/>
        <s v="LN-00345"/>
        <s v="LN-00346"/>
        <s v="LN-00347"/>
        <s v="LN-00348"/>
        <s v="LN-00349"/>
        <s v="LN-00350"/>
        <s v="LN-00351"/>
        <s v="LN-00352"/>
        <s v="LN-00353"/>
        <s v="LN-00354"/>
        <s v="LN-00355"/>
        <s v="LN-00356"/>
        <s v="LN-00357"/>
        <s v="LN-00358"/>
        <s v="LN-00359"/>
        <s v="LN-00360"/>
        <s v="LN-00361"/>
        <s v="LN-00362"/>
        <s v="LN-00363"/>
        <s v="LN-00364"/>
        <s v="LN-00365"/>
        <s v="LN-00366"/>
        <s v="LN-00367"/>
        <s v="LN-00368"/>
        <s v="LN-00369"/>
        <s v="LN-00370"/>
        <s v="LN-00371"/>
        <s v="LN-00372"/>
        <s v="LN-00373"/>
        <s v="LN-00374"/>
        <s v="LN-00375"/>
        <s v="LN-00376"/>
        <s v="LN-00377"/>
        <s v="LN-00378"/>
        <s v="LN-00379"/>
        <s v="LN-00380"/>
        <s v="LN-00381"/>
        <s v="LN-00382"/>
        <s v="LN-00383"/>
        <s v="LN-00384"/>
        <s v="LN-00385"/>
        <s v="LN-00386"/>
        <s v="LN-00387"/>
        <s v="LN-00388"/>
        <s v="LN-00389"/>
        <s v="LN-00390"/>
        <s v="LN-00391"/>
        <s v="LN-00392"/>
        <s v="LN-00393"/>
        <s v="LN-00394"/>
        <s v="LN-00395"/>
        <s v="LN-00396"/>
        <s v="LN-00397"/>
        <s v="LN-00398"/>
        <s v="LN-00399"/>
        <s v="LN-00400"/>
        <s v="LN-00401"/>
        <s v="LN-00402"/>
        <s v="LN-00403"/>
        <s v="LN-00404"/>
        <s v="LN-00405"/>
        <s v="LN-00406"/>
        <s v="LN-00407"/>
        <s v="LN-00408"/>
        <s v="LN-00409"/>
        <s v="LN-00410"/>
        <s v="LN-00411"/>
        <s v="LN-00412"/>
        <s v="LN-00413"/>
        <s v="LN-00414"/>
        <s v="LN-00415"/>
        <s v="LN-00416"/>
        <s v="LN-00417"/>
        <s v="LN-00418"/>
        <s v="LN-00419"/>
        <s v="LN-00420"/>
        <s v="LN-00421"/>
        <s v="LN-00422"/>
        <s v="LN-00423"/>
        <s v="LN-00424"/>
        <s v="LN-00425"/>
        <s v="LN-00426"/>
        <s v="LN-00427"/>
        <s v="LN-00428"/>
        <s v="LN-00429"/>
        <s v="LN-00430"/>
        <s v="LN-00431"/>
        <s v="LN-00432"/>
        <s v="LN-00433"/>
        <s v="LN-00434"/>
        <s v="LN-00435"/>
        <s v="LN-00436"/>
        <s v="LN-00437"/>
        <s v="LN-00438"/>
        <s v="LN-00439"/>
        <s v="LN-00440"/>
        <s v="LN-00441"/>
        <s v="LN-00442"/>
        <s v="LN-00443"/>
        <s v="LN-00444"/>
        <s v="LN-00445"/>
        <s v="LN-00446"/>
        <s v="LN-00447"/>
        <s v="LN-00448"/>
        <s v="LN-00449"/>
        <s v="LN-00450"/>
        <s v="LN-00451"/>
        <s v="LN-00452"/>
        <s v="LN-00453"/>
        <s v="LN-00454"/>
        <s v="LN-00455"/>
        <s v="LN-00456"/>
        <s v="LN-00457"/>
        <s v="LN-00458"/>
        <s v="LN-00459"/>
        <s v="LN-00460"/>
        <s v="LN-00461"/>
        <s v="LN-00462"/>
        <s v="LN-00463"/>
        <s v="LN-00464"/>
        <s v="LN-00465"/>
        <s v="LN-00466"/>
        <s v="LN-00467"/>
        <s v="LN-00468"/>
        <s v="LN-00469"/>
        <s v="LN-00470"/>
        <s v="LN-00471"/>
        <s v="LN-00472"/>
        <s v="LN-00473"/>
        <s v="LN-00474"/>
        <s v="LN-00475"/>
        <s v="LN-00476"/>
        <s v="LN-00477"/>
        <s v="LN-00478"/>
        <s v="LN-00479"/>
        <s v="LN-00480"/>
        <s v="LN-00481"/>
        <s v="LN-00482"/>
        <s v="LN-00483"/>
        <s v="LN-00484"/>
        <s v="LN-00485"/>
        <s v="LN-00486"/>
        <s v="LN-00487"/>
        <s v="LN-00488"/>
        <s v="LN-00489"/>
        <s v="LN-00490"/>
        <s v="LN-00491"/>
        <s v="LN-00492"/>
        <s v="LN-00493"/>
        <s v="LN-00494"/>
        <s v="LN-00495"/>
        <s v="LN-00496"/>
        <s v="LN-00497"/>
        <s v="LN-00498"/>
        <s v="LN-00499"/>
        <s v="LN-00500"/>
        <s v="LN-00501"/>
        <s v="LN-00502"/>
        <s v="LN-00503"/>
        <s v="LN-00504"/>
        <s v="LN-00505"/>
        <s v="LN-00506"/>
        <s v="LN-00507"/>
        <s v="LN-00508"/>
        <s v="LN-00509"/>
        <s v="LN-00510"/>
        <s v="LN-00511"/>
        <s v="LN-00512"/>
        <s v="LN-00513"/>
        <s v="LN-00514"/>
        <s v="LN-00515"/>
        <s v="LN-00516"/>
        <s v="LN-00517"/>
        <s v="LN-00518"/>
        <s v="LN-00519"/>
        <s v="LN-00520"/>
        <s v="LN-00521"/>
        <s v="LN-00522"/>
        <s v="LN-00523"/>
        <s v="LN-00524"/>
        <s v="LN-00525"/>
        <s v="LN-00526"/>
        <s v="LN-00527"/>
        <s v="LN-00528"/>
        <s v="LN-00529"/>
        <s v="LN-00530"/>
        <s v="LN-00531"/>
        <s v="LN-00532"/>
        <s v="LN-00533"/>
        <s v="LN-00534"/>
        <s v="LN-00535"/>
        <s v="LN-00536"/>
        <s v="LN-00537"/>
        <s v="LN-00538"/>
        <s v="LN-00539"/>
        <s v="LN-00540"/>
        <s v="LN-00541"/>
        <s v="LN-00542"/>
        <s v="LN-00543"/>
        <s v="LN-00544"/>
        <s v="LN-00545"/>
        <s v="LN-00546"/>
        <s v="LN-00547"/>
        <s v="LN-00548"/>
        <s v="LN-00549"/>
        <s v="LN-00550"/>
        <s v="LN-00551"/>
        <s v="LN-00552"/>
        <s v="LN-00553"/>
        <s v="LN-00554"/>
        <s v="LN-00555"/>
        <s v="LN-00556"/>
        <s v="LN-00557"/>
        <s v="LN-00558"/>
        <s v="LN-00559"/>
        <s v="LN-00560"/>
        <s v="LN-00561"/>
        <s v="LN-00562"/>
        <s v="LN-00563"/>
        <s v="LN-00564"/>
        <s v="LN-00565"/>
        <s v="LN-00566"/>
        <s v="LN-00567"/>
        <s v="LN-00568"/>
        <s v="LN-00569"/>
        <s v="LN-00570"/>
        <s v="LN-00571"/>
        <s v="LN-00572"/>
        <s v="LN-00573"/>
        <s v="LN-00574"/>
        <s v="LN-00575"/>
        <s v="LN-00576"/>
        <s v="LN-00577"/>
        <s v="LN-00578"/>
        <s v="LN-00579"/>
        <s v="LN-00580"/>
        <s v="LN-00581"/>
        <s v="LN-00582"/>
        <s v="LN-00583"/>
        <s v="LN-00584"/>
        <s v="LN-00585"/>
        <s v="LN-00586"/>
        <s v="LN-00587"/>
        <s v="LN-00588"/>
        <s v="LN-00589"/>
        <s v="LN-00590"/>
        <s v="LN-00591"/>
        <s v="LN-00592"/>
        <s v="LN-00593"/>
        <s v="LN-00594"/>
        <s v="LN-00595"/>
        <s v="LN-00596"/>
        <s v="LN-00597"/>
        <s v="LN-00598"/>
        <s v="LN-00599"/>
        <s v="LN-00600"/>
        <s v="LN-00601"/>
      </sharedItems>
    </cacheField>
    <cacheField name="borrower_id" numFmtId="0">
      <sharedItems/>
    </cacheField>
    <cacheField name="application_date" numFmtId="14">
      <sharedItems containsSemiMixedTypes="0" containsNonDate="0" containsDate="1" containsString="0" minDate="2024-01-02T00:00:00" maxDate="2025-06-30T00:00:00"/>
    </cacheField>
    <cacheField name="loan_purpose" numFmtId="0">
      <sharedItems/>
    </cacheField>
    <cacheField name="loan_amount" numFmtId="0">
      <sharedItems containsSemiMixedTypes="0" containsString="0" containsNumber="1" containsInteger="1" minValue="2000" maxValue="49800"/>
    </cacheField>
    <cacheField name="term_months" numFmtId="0">
      <sharedItems containsSemiMixedTypes="0" containsString="0" containsNumber="1" containsInteger="1" minValue="12" maxValue="60"/>
    </cacheField>
    <cacheField name="interest_rate" numFmtId="0">
      <sharedItems containsSemiMixedTypes="0" containsString="0" containsNumber="1" minValue="5.86" maxValue="15.86"/>
    </cacheField>
    <cacheField name="monthly_payment" numFmtId="0">
      <sharedItems containsSemiMixedTypes="0" containsString="0" containsNumber="1" minValue="44.14" maxValue="4262.6899999999996"/>
    </cacheField>
    <cacheField name="dti_ratio" numFmtId="0">
      <sharedItems containsSemiMixedTypes="0" containsString="0" containsNumber="1" minValue="7.6" maxValue="177.4"/>
    </cacheField>
    <cacheField name="loan_status" numFmtId="0">
      <sharedItems/>
    </cacheField>
    <cacheField name="days_delinquent" numFmtId="0">
      <sharedItems containsSemiMixedTypes="0" containsString="0" containsNumber="1" containsInteger="1" minValue="0" maxValue="180"/>
    </cacheField>
    <cacheField name="defaulted" numFmtId="0">
      <sharedItems containsSemiMixedTypes="0" containsString="0" containsNumber="1" containsInteger="1" minValue="0" maxValue="1"/>
    </cacheField>
    <cacheField name="credit_score" numFmtId="0">
      <sharedItems containsSemiMixedTypes="0" containsString="0" containsNumber="1" containsInteger="1" minValue="528" maxValue="850"/>
    </cacheField>
    <cacheField name="credit_score_bucket" numFmtId="0">
      <sharedItems count="5">
        <s v="520-599"/>
        <s v="600-649"/>
        <s v="700-749"/>
        <s v="750+"/>
        <s v="650-6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ford, Brittany M" refreshedDate="46281.377017939813" createdVersion="8" refreshedVersion="8" minRefreshableVersion="3" recordCount="601" xr:uid="{2B30184C-5D9E-4AEC-84F9-6A6952152957}">
  <cacheSource type="worksheet">
    <worksheetSource ref="A1:L602" sheet="default_rate_per_loan_amount"/>
  </cacheSource>
  <cacheFields count="12">
    <cacheField name="loan_id" numFmtId="0">
      <sharedItems count="601">
        <s v="LN-00001"/>
        <s v="LN-00002"/>
        <s v="LN-00003"/>
        <s v="LN-00004"/>
        <s v="LN-00005"/>
        <s v="LN-00006"/>
        <s v="LN-00007"/>
        <s v="LN-00008"/>
        <s v="LN-00009"/>
        <s v="LN-00010"/>
        <s v="LN-00011"/>
        <s v="LN-00012"/>
        <s v="LN-00013"/>
        <s v="LN-00014"/>
        <s v="LN-00015"/>
        <s v="LN-00016"/>
        <s v="LN-00017"/>
        <s v="LN-00018"/>
        <s v="LN-00019"/>
        <s v="LN-00020"/>
        <s v="LN-00021"/>
        <s v="LN-00022"/>
        <s v="LN-00023"/>
        <s v="LN-00024"/>
        <s v="LN-00025"/>
        <s v="LN-00026"/>
        <s v="LN-00027"/>
        <s v="LN-00028"/>
        <s v="LN-00029"/>
        <s v="LN-00030"/>
        <s v="LN-00031"/>
        <s v="LN-00032"/>
        <s v="LN-00033"/>
        <s v="LN-00034"/>
        <s v="LN-00035"/>
        <s v="LN-00036"/>
        <s v="LN-00037"/>
        <s v="LN-00038"/>
        <s v="LN-00039"/>
        <s v="LN-00040"/>
        <s v="LN-00041"/>
        <s v="LN-00042"/>
        <s v="LN-00043"/>
        <s v="LN-00044"/>
        <s v="LN-00045"/>
        <s v="LN-00046"/>
        <s v="LN-00047"/>
        <s v="LN-00048"/>
        <s v="LN-00049"/>
        <s v="LN-00050"/>
        <s v="LN-00051"/>
        <s v="LN-00052"/>
        <s v="LN-00053"/>
        <s v="LN-00054"/>
        <s v="LN-00055"/>
        <s v="LN-00056"/>
        <s v="LN-00057"/>
        <s v="LN-00058"/>
        <s v="LN-00059"/>
        <s v="LN-00060"/>
        <s v="LN-00061"/>
        <s v="LN-00062"/>
        <s v="LN-00063"/>
        <s v="LN-00064"/>
        <s v="LN-00065"/>
        <s v="LN-00066"/>
        <s v="LN-00067"/>
        <s v="LN-00068"/>
        <s v="LN-00069"/>
        <s v="LN-00070"/>
        <s v="LN-00071"/>
        <s v="LN-00072"/>
        <s v="LN-00073"/>
        <s v="LN-00074"/>
        <s v="LN-00075"/>
        <s v="LN-00076"/>
        <s v="LN-00077"/>
        <s v="LN-00078"/>
        <s v="LN-00079"/>
        <s v="LN-00080"/>
        <s v="LN-00081"/>
        <s v="LN-00082"/>
        <s v="LN-00083"/>
        <s v="LN-00084"/>
        <s v="LN-00085"/>
        <s v="LN-00086"/>
        <s v="LN-00087"/>
        <s v="LN-00088"/>
        <s v="LN-00089"/>
        <s v="LN-00090"/>
        <s v="LN-00091"/>
        <s v="LN-00092"/>
        <s v="LN-00093"/>
        <s v="LN-00094"/>
        <s v="LN-00095"/>
        <s v="LN-00096"/>
        <s v="LN-00097"/>
        <s v="LN-00098"/>
        <s v="LN-00099"/>
        <s v="LN-00100"/>
        <s v="LN-00101"/>
        <s v="LN-00102"/>
        <s v="LN-00103"/>
        <s v="LN-00104"/>
        <s v="LN-00105"/>
        <s v="LN-00106"/>
        <s v="LN-00107"/>
        <s v="LN-00108"/>
        <s v="LN-00109"/>
        <s v="LN-00110"/>
        <s v="LN-00111"/>
        <s v="LN-00112"/>
        <s v="LN-00113"/>
        <s v="LN-00114"/>
        <s v="LN-00115"/>
        <s v="LN-00116"/>
        <s v="LN-00117"/>
        <s v="LN-00118"/>
        <s v="LN-00119"/>
        <s v="LN-00120"/>
        <s v="LN-00121"/>
        <s v="LN-00122"/>
        <s v="LN-00123"/>
        <s v="LN-00124"/>
        <s v="LN-00125"/>
        <s v="LN-00126"/>
        <s v="LN-00127"/>
        <s v="LN-00128"/>
        <s v="LN-00129"/>
        <s v="LN-00130"/>
        <s v="LN-00131"/>
        <s v="LN-00132"/>
        <s v="LN-00133"/>
        <s v="LN-00134"/>
        <s v="LN-00135"/>
        <s v="LN-00136"/>
        <s v="LN-00137"/>
        <s v="LN-00138"/>
        <s v="LN-00139"/>
        <s v="LN-00140"/>
        <s v="LN-00141"/>
        <s v="LN-00142"/>
        <s v="LN-00143"/>
        <s v="LN-00144"/>
        <s v="LN-00145"/>
        <s v="LN-00146"/>
        <s v="LN-00147"/>
        <s v="LN-00148"/>
        <s v="LN-00149"/>
        <s v="LN-00150"/>
        <s v="LN-00151"/>
        <s v="LN-00152"/>
        <s v="LN-00153"/>
        <s v="LN-00154"/>
        <s v="LN-00155"/>
        <s v="LN-00156"/>
        <s v="LN-00157"/>
        <s v="LN-00158"/>
        <s v="LN-00159"/>
        <s v="LN-00160"/>
        <s v="LN-00161"/>
        <s v="LN-00162"/>
        <s v="LN-00163"/>
        <s v="LN-00164"/>
        <s v="LN-00165"/>
        <s v="LN-00166"/>
        <s v="LN-00167"/>
        <s v="LN-00168"/>
        <s v="LN-00169"/>
        <s v="LN-00170"/>
        <s v="LN-00171"/>
        <s v="LN-00172"/>
        <s v="LN-00173"/>
        <s v="LN-00174"/>
        <s v="LN-00175"/>
        <s v="LN-00176"/>
        <s v="LN-00177"/>
        <s v="LN-00178"/>
        <s v="LN-00179"/>
        <s v="LN-00180"/>
        <s v="LN-00181"/>
        <s v="LN-00182"/>
        <s v="LN-00183"/>
        <s v="LN-00184"/>
        <s v="LN-00185"/>
        <s v="LN-00186"/>
        <s v="LN-00187"/>
        <s v="LN-00188"/>
        <s v="LN-00189"/>
        <s v="LN-00190"/>
        <s v="LN-00191"/>
        <s v="LN-00192"/>
        <s v="LN-00193"/>
        <s v="LN-00194"/>
        <s v="LN-00195"/>
        <s v="LN-00196"/>
        <s v="LN-00197"/>
        <s v="LN-00198"/>
        <s v="LN-00199"/>
        <s v="LN-00200"/>
        <s v="LN-00201"/>
        <s v="LN-00202"/>
        <s v="LN-00203"/>
        <s v="LN-00204"/>
        <s v="LN-00205"/>
        <s v="LN-00206"/>
        <s v="LN-00207"/>
        <s v="LN-00208"/>
        <s v="LN-00209"/>
        <s v="LN-00210"/>
        <s v="LN-00211"/>
        <s v="LN-00212"/>
        <s v="LN-00213"/>
        <s v="LN-00214"/>
        <s v="LN-00215"/>
        <s v="LN-00216"/>
        <s v="LN-00217"/>
        <s v="LN-00218"/>
        <s v="LN-00219"/>
        <s v="LN-00220"/>
        <s v="LN-00221"/>
        <s v="LN-00222"/>
        <s v="LN-00223"/>
        <s v="LN-00224"/>
        <s v="LN-00225"/>
        <s v="LN-00226"/>
        <s v="LN-00227"/>
        <s v="LN-00228"/>
        <s v="LN-00229"/>
        <s v="LN-00230"/>
        <s v="LN-00231"/>
        <s v="LN-00232"/>
        <s v="LN-00233"/>
        <s v="LN-00234"/>
        <s v="LN-00235"/>
        <s v="LN-00236"/>
        <s v="LN-00237"/>
        <s v="LN-00238"/>
        <s v="LN-00239"/>
        <s v="LN-00240"/>
        <s v="LN-00241"/>
        <s v="LN-00242"/>
        <s v="LN-00243"/>
        <s v="LN-00244"/>
        <s v="LN-00245"/>
        <s v="LN-00246"/>
        <s v="LN-00247"/>
        <s v="LN-00248"/>
        <s v="LN-00249"/>
        <s v="LN-00250"/>
        <s v="LN-00251"/>
        <s v="LN-00252"/>
        <s v="LN-00253"/>
        <s v="LN-00254"/>
        <s v="LN-00255"/>
        <s v="LN-00256"/>
        <s v="LN-00257"/>
        <s v="LN-00258"/>
        <s v="LN-00259"/>
        <s v="LN-00260"/>
        <s v="LN-00261"/>
        <s v="LN-00262"/>
        <s v="LN-00263"/>
        <s v="LN-00264"/>
        <s v="LN-00265"/>
        <s v="LN-00266"/>
        <s v="LN-00267"/>
        <s v="LN-00268"/>
        <s v="LN-00269"/>
        <s v="LN-00270"/>
        <s v="LN-00271"/>
        <s v="LN-00272"/>
        <s v="LN-00273"/>
        <s v="LN-00274"/>
        <s v="LN-00275"/>
        <s v="LN-00276"/>
        <s v="LN-00277"/>
        <s v="LN-00278"/>
        <s v="LN-00279"/>
        <s v="LN-00280"/>
        <s v="LN-00281"/>
        <s v="LN-00282"/>
        <s v="LN-00283"/>
        <s v="LN-00284"/>
        <s v="LN-00285"/>
        <s v="LN-00286"/>
        <s v="LN-00287"/>
        <s v="LN-00288"/>
        <s v="LN-00289"/>
        <s v="LN-00290"/>
        <s v="LN-00291"/>
        <s v="LN-00292"/>
        <s v="LN-00293"/>
        <s v="LN-00294"/>
        <s v="LN-00295"/>
        <s v="LN-00296"/>
        <s v="LN-00297"/>
        <s v="LN-00298"/>
        <s v="LN-00299"/>
        <s v="LN-00300"/>
        <s v="LN-00301"/>
        <s v="LN-00302"/>
        <s v="LN-00303"/>
        <s v="LN-00304"/>
        <s v="LN-00305"/>
        <s v="LN-00306"/>
        <s v="LN-00307"/>
        <s v="LN-00308"/>
        <s v="LN-00309"/>
        <s v="LN-00310"/>
        <s v="LN-00311"/>
        <s v="LN-00312"/>
        <s v="LN-00313"/>
        <s v="LN-00314"/>
        <s v="LN-00315"/>
        <s v="LN-00316"/>
        <s v="LN-00317"/>
        <s v="LN-00318"/>
        <s v="LN-00319"/>
        <s v="LN-00320"/>
        <s v="LN-00321"/>
        <s v="LN-00322"/>
        <s v="LN-00323"/>
        <s v="LN-00324"/>
        <s v="LN-00325"/>
        <s v="LN-00326"/>
        <s v="LN-00327"/>
        <s v="LN-00328"/>
        <s v="LN-00329"/>
        <s v="LN-00330"/>
        <s v="LN-00331"/>
        <s v="LN-00332"/>
        <s v="LN-00333"/>
        <s v="LN-00334"/>
        <s v="LN-00335"/>
        <s v="LN-00336"/>
        <s v="LN-00337"/>
        <s v="LN-00338"/>
        <s v="LN-00339"/>
        <s v="LN-00340"/>
        <s v="LN-00341"/>
        <s v="LN-00342"/>
        <s v="LN-00343"/>
        <s v="LN-00344"/>
        <s v="LN-00345"/>
        <s v="LN-00346"/>
        <s v="LN-00347"/>
        <s v="LN-00348"/>
        <s v="LN-00349"/>
        <s v="LN-00350"/>
        <s v="LN-00351"/>
        <s v="LN-00352"/>
        <s v="LN-00353"/>
        <s v="LN-00354"/>
        <s v="LN-00355"/>
        <s v="LN-00356"/>
        <s v="LN-00357"/>
        <s v="LN-00358"/>
        <s v="LN-00359"/>
        <s v="LN-00360"/>
        <s v="LN-00361"/>
        <s v="LN-00362"/>
        <s v="LN-00363"/>
        <s v="LN-00364"/>
        <s v="LN-00365"/>
        <s v="LN-00366"/>
        <s v="LN-00367"/>
        <s v="LN-00368"/>
        <s v="LN-00369"/>
        <s v="LN-00370"/>
        <s v="LN-00371"/>
        <s v="LN-00372"/>
        <s v="LN-00373"/>
        <s v="LN-00374"/>
        <s v="LN-00375"/>
        <s v="LN-00376"/>
        <s v="LN-00377"/>
        <s v="LN-00378"/>
        <s v="LN-00379"/>
        <s v="LN-00380"/>
        <s v="LN-00381"/>
        <s v="LN-00382"/>
        <s v="LN-00383"/>
        <s v="LN-00384"/>
        <s v="LN-00385"/>
        <s v="LN-00386"/>
        <s v="LN-00387"/>
        <s v="LN-00388"/>
        <s v="LN-00389"/>
        <s v="LN-00390"/>
        <s v="LN-00391"/>
        <s v="LN-00392"/>
        <s v="LN-00393"/>
        <s v="LN-00394"/>
        <s v="LN-00395"/>
        <s v="LN-00396"/>
        <s v="LN-00397"/>
        <s v="LN-00398"/>
        <s v="LN-00399"/>
        <s v="LN-00400"/>
        <s v="LN-00401"/>
        <s v="LN-00402"/>
        <s v="LN-00403"/>
        <s v="LN-00404"/>
        <s v="LN-00405"/>
        <s v="LN-00406"/>
        <s v="LN-00407"/>
        <s v="LN-00408"/>
        <s v="LN-00409"/>
        <s v="LN-00410"/>
        <s v="LN-00411"/>
        <s v="LN-00412"/>
        <s v="LN-00413"/>
        <s v="LN-00414"/>
        <s v="LN-00415"/>
        <s v="LN-00416"/>
        <s v="LN-00417"/>
        <s v="LN-00418"/>
        <s v="LN-00419"/>
        <s v="LN-00420"/>
        <s v="LN-00421"/>
        <s v="LN-00422"/>
        <s v="LN-00423"/>
        <s v="LN-00424"/>
        <s v="LN-00425"/>
        <s v="LN-00426"/>
        <s v="LN-00427"/>
        <s v="LN-00428"/>
        <s v="LN-00429"/>
        <s v="LN-00430"/>
        <s v="LN-00431"/>
        <s v="LN-00432"/>
        <s v="LN-00433"/>
        <s v="LN-00434"/>
        <s v="LN-00435"/>
        <s v="LN-00436"/>
        <s v="LN-00437"/>
        <s v="LN-00438"/>
        <s v="LN-00439"/>
        <s v="LN-00440"/>
        <s v="LN-00441"/>
        <s v="LN-00442"/>
        <s v="LN-00443"/>
        <s v="LN-00444"/>
        <s v="LN-00445"/>
        <s v="LN-00446"/>
        <s v="LN-00447"/>
        <s v="LN-00448"/>
        <s v="LN-00449"/>
        <s v="LN-00450"/>
        <s v="LN-00451"/>
        <s v="LN-00452"/>
        <s v="LN-00453"/>
        <s v="LN-00454"/>
        <s v="LN-00455"/>
        <s v="LN-00456"/>
        <s v="LN-00457"/>
        <s v="LN-00458"/>
        <s v="LN-00459"/>
        <s v="LN-00460"/>
        <s v="LN-00461"/>
        <s v="LN-00462"/>
        <s v="LN-00463"/>
        <s v="LN-00464"/>
        <s v="LN-00465"/>
        <s v="LN-00466"/>
        <s v="LN-00467"/>
        <s v="LN-00468"/>
        <s v="LN-00469"/>
        <s v="LN-00470"/>
        <s v="LN-00471"/>
        <s v="LN-00472"/>
        <s v="LN-00473"/>
        <s v="LN-00474"/>
        <s v="LN-00475"/>
        <s v="LN-00476"/>
        <s v="LN-00477"/>
        <s v="LN-00478"/>
        <s v="LN-00479"/>
        <s v="LN-00480"/>
        <s v="LN-00481"/>
        <s v="LN-00482"/>
        <s v="LN-00483"/>
        <s v="LN-00484"/>
        <s v="LN-00485"/>
        <s v="LN-00486"/>
        <s v="LN-00487"/>
        <s v="LN-00488"/>
        <s v="LN-00489"/>
        <s v="LN-00490"/>
        <s v="LN-00491"/>
        <s v="LN-00492"/>
        <s v="LN-00493"/>
        <s v="LN-00494"/>
        <s v="LN-00495"/>
        <s v="LN-00496"/>
        <s v="LN-00497"/>
        <s v="LN-00498"/>
        <s v="LN-00499"/>
        <s v="LN-00500"/>
        <s v="LN-00501"/>
        <s v="LN-00502"/>
        <s v="LN-00503"/>
        <s v="LN-00504"/>
        <s v="LN-00505"/>
        <s v="LN-00506"/>
        <s v="LN-00507"/>
        <s v="LN-00508"/>
        <s v="LN-00509"/>
        <s v="LN-00510"/>
        <s v="LN-00511"/>
        <s v="LN-00512"/>
        <s v="LN-00513"/>
        <s v="LN-00514"/>
        <s v="LN-00515"/>
        <s v="LN-00516"/>
        <s v="LN-00517"/>
        <s v="LN-00518"/>
        <s v="LN-00519"/>
        <s v="LN-00520"/>
        <s v="LN-00521"/>
        <s v="LN-00522"/>
        <s v="LN-00523"/>
        <s v="LN-00524"/>
        <s v="LN-00525"/>
        <s v="LN-00526"/>
        <s v="LN-00527"/>
        <s v="LN-00528"/>
        <s v="LN-00529"/>
        <s v="LN-00530"/>
        <s v="LN-00531"/>
        <s v="LN-00532"/>
        <s v="LN-00533"/>
        <s v="LN-00534"/>
        <s v="LN-00535"/>
        <s v="LN-00536"/>
        <s v="LN-00537"/>
        <s v="LN-00538"/>
        <s v="LN-00539"/>
        <s v="LN-00540"/>
        <s v="LN-00541"/>
        <s v="LN-00542"/>
        <s v="LN-00543"/>
        <s v="LN-00544"/>
        <s v="LN-00545"/>
        <s v="LN-00546"/>
        <s v="LN-00547"/>
        <s v="LN-00548"/>
        <s v="LN-00549"/>
        <s v="LN-00550"/>
        <s v="LN-00551"/>
        <s v="LN-00552"/>
        <s v="LN-00553"/>
        <s v="LN-00554"/>
        <s v="LN-00555"/>
        <s v="LN-00556"/>
        <s v="LN-00557"/>
        <s v="LN-00558"/>
        <s v="LN-00559"/>
        <s v="LN-00560"/>
        <s v="LN-00561"/>
        <s v="LN-00562"/>
        <s v="LN-00563"/>
        <s v="LN-00564"/>
        <s v="LN-00565"/>
        <s v="LN-00566"/>
        <s v="LN-00567"/>
        <s v="LN-00568"/>
        <s v="LN-00569"/>
        <s v="LN-00570"/>
        <s v="LN-00571"/>
        <s v="LN-00572"/>
        <s v="LN-00573"/>
        <s v="LN-00574"/>
        <s v="LN-00575"/>
        <s v="LN-00576"/>
        <s v="LN-00577"/>
        <s v="LN-00578"/>
        <s v="LN-00579"/>
        <s v="LN-00580"/>
        <s v="LN-00581"/>
        <s v="LN-00582"/>
        <s v="LN-00583"/>
        <s v="LN-00584"/>
        <s v="LN-00585"/>
        <s v="LN-00586"/>
        <s v="LN-00587"/>
        <s v="LN-00588"/>
        <s v="LN-00589"/>
        <s v="LN-00590"/>
        <s v="LN-00591"/>
        <s v="LN-00592"/>
        <s v="LN-00593"/>
        <s v="LN-00594"/>
        <s v="LN-00595"/>
        <s v="LN-00596"/>
        <s v="LN-00597"/>
        <s v="LN-00598"/>
        <s v="LN-00599"/>
        <s v="LN-00600"/>
        <s v="LN-00601"/>
      </sharedItems>
    </cacheField>
    <cacheField name="borrower_id" numFmtId="0">
      <sharedItems/>
    </cacheField>
    <cacheField name="application_date" numFmtId="14">
      <sharedItems containsSemiMixedTypes="0" containsNonDate="0" containsDate="1" containsString="0" minDate="2024-01-02T00:00:00" maxDate="2025-06-30T00:00:00"/>
    </cacheField>
    <cacheField name="loan_purpose" numFmtId="0">
      <sharedItems count="10">
        <s v="Vacation"/>
        <s v="Major Purchase"/>
        <s v="Moving"/>
        <s v="Auto Loan"/>
        <s v="Education"/>
        <s v="Medical Expenses"/>
        <s v="Home Improvement"/>
        <s v="Business Loan"/>
        <s v="Debt Consolidation"/>
        <s v="Wedding"/>
      </sharedItems>
    </cacheField>
    <cacheField name="loan_amount" numFmtId="0">
      <sharedItems containsSemiMixedTypes="0" containsString="0" containsNumber="1" containsInteger="1" minValue="2000" maxValue="49800"/>
    </cacheField>
    <cacheField name="term_months" numFmtId="0">
      <sharedItems containsSemiMixedTypes="0" containsString="0" containsNumber="1" containsInteger="1" minValue="12" maxValue="60"/>
    </cacheField>
    <cacheField name="interest_rate" numFmtId="0">
      <sharedItems containsSemiMixedTypes="0" containsString="0" containsNumber="1" minValue="5.86" maxValue="15.86"/>
    </cacheField>
    <cacheField name="monthly_payment" numFmtId="0">
      <sharedItems containsSemiMixedTypes="0" containsString="0" containsNumber="1" minValue="44.14" maxValue="4262.6899999999996"/>
    </cacheField>
    <cacheField name="dti_ratio" numFmtId="0">
      <sharedItems containsSemiMixedTypes="0" containsString="0" containsNumber="1" minValue="7.6" maxValue="177.4"/>
    </cacheField>
    <cacheField name="loan_status" numFmtId="0">
      <sharedItems/>
    </cacheField>
    <cacheField name="days_delinquent" numFmtId="0">
      <sharedItems containsSemiMixedTypes="0" containsString="0" containsNumber="1" containsInteger="1" minValue="0" maxValue="180"/>
    </cacheField>
    <cacheField name="default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ford, Brittany M" refreshedDate="46281.397326157406" createdVersion="8" refreshedVersion="8" minRefreshableVersion="3" recordCount="601" xr:uid="{1E89041E-B9B8-4A78-8FC9-F77528D3AB4B}">
  <cacheSource type="worksheet">
    <worksheetSource ref="A1:M602" sheet="default_rate_by_dti"/>
  </cacheSource>
  <cacheFields count="13">
    <cacheField name="loan_id" numFmtId="0">
      <sharedItems count="601">
        <s v="LN-00001"/>
        <s v="LN-00002"/>
        <s v="LN-00003"/>
        <s v="LN-00004"/>
        <s v="LN-00005"/>
        <s v="LN-00006"/>
        <s v="LN-00007"/>
        <s v="LN-00008"/>
        <s v="LN-00009"/>
        <s v="LN-00010"/>
        <s v="LN-00011"/>
        <s v="LN-00012"/>
        <s v="LN-00013"/>
        <s v="LN-00014"/>
        <s v="LN-00015"/>
        <s v="LN-00016"/>
        <s v="LN-00017"/>
        <s v="LN-00018"/>
        <s v="LN-00019"/>
        <s v="LN-00020"/>
        <s v="LN-00021"/>
        <s v="LN-00022"/>
        <s v="LN-00023"/>
        <s v="LN-00024"/>
        <s v="LN-00025"/>
        <s v="LN-00026"/>
        <s v="LN-00027"/>
        <s v="LN-00028"/>
        <s v="LN-00029"/>
        <s v="LN-00030"/>
        <s v="LN-00031"/>
        <s v="LN-00032"/>
        <s v="LN-00033"/>
        <s v="LN-00034"/>
        <s v="LN-00035"/>
        <s v="LN-00036"/>
        <s v="LN-00037"/>
        <s v="LN-00038"/>
        <s v="LN-00039"/>
        <s v="LN-00040"/>
        <s v="LN-00041"/>
        <s v="LN-00042"/>
        <s v="LN-00043"/>
        <s v="LN-00044"/>
        <s v="LN-00045"/>
        <s v="LN-00046"/>
        <s v="LN-00047"/>
        <s v="LN-00048"/>
        <s v="LN-00049"/>
        <s v="LN-00050"/>
        <s v="LN-00051"/>
        <s v="LN-00052"/>
        <s v="LN-00053"/>
        <s v="LN-00054"/>
        <s v="LN-00055"/>
        <s v="LN-00056"/>
        <s v="LN-00057"/>
        <s v="LN-00058"/>
        <s v="LN-00059"/>
        <s v="LN-00060"/>
        <s v="LN-00061"/>
        <s v="LN-00062"/>
        <s v="LN-00063"/>
        <s v="LN-00064"/>
        <s v="LN-00065"/>
        <s v="LN-00066"/>
        <s v="LN-00067"/>
        <s v="LN-00068"/>
        <s v="LN-00069"/>
        <s v="LN-00070"/>
        <s v="LN-00071"/>
        <s v="LN-00072"/>
        <s v="LN-00073"/>
        <s v="LN-00074"/>
        <s v="LN-00075"/>
        <s v="LN-00076"/>
        <s v="LN-00077"/>
        <s v="LN-00078"/>
        <s v="LN-00079"/>
        <s v="LN-00080"/>
        <s v="LN-00081"/>
        <s v="LN-00082"/>
        <s v="LN-00083"/>
        <s v="LN-00084"/>
        <s v="LN-00085"/>
        <s v="LN-00086"/>
        <s v="LN-00087"/>
        <s v="LN-00088"/>
        <s v="LN-00089"/>
        <s v="LN-00090"/>
        <s v="LN-00091"/>
        <s v="LN-00092"/>
        <s v="LN-00093"/>
        <s v="LN-00094"/>
        <s v="LN-00095"/>
        <s v="LN-00096"/>
        <s v="LN-00097"/>
        <s v="LN-00098"/>
        <s v="LN-00099"/>
        <s v="LN-00100"/>
        <s v="LN-00101"/>
        <s v="LN-00102"/>
        <s v="LN-00103"/>
        <s v="LN-00104"/>
        <s v="LN-00105"/>
        <s v="LN-00106"/>
        <s v="LN-00107"/>
        <s v="LN-00108"/>
        <s v="LN-00109"/>
        <s v="LN-00110"/>
        <s v="LN-00111"/>
        <s v="LN-00112"/>
        <s v="LN-00113"/>
        <s v="LN-00114"/>
        <s v="LN-00115"/>
        <s v="LN-00116"/>
        <s v="LN-00117"/>
        <s v="LN-00118"/>
        <s v="LN-00119"/>
        <s v="LN-00120"/>
        <s v="LN-00121"/>
        <s v="LN-00122"/>
        <s v="LN-00123"/>
        <s v="LN-00124"/>
        <s v="LN-00125"/>
        <s v="LN-00126"/>
        <s v="LN-00127"/>
        <s v="LN-00128"/>
        <s v="LN-00129"/>
        <s v="LN-00130"/>
        <s v="LN-00131"/>
        <s v="LN-00132"/>
        <s v="LN-00133"/>
        <s v="LN-00134"/>
        <s v="LN-00135"/>
        <s v="LN-00136"/>
        <s v="LN-00137"/>
        <s v="LN-00138"/>
        <s v="LN-00139"/>
        <s v="LN-00140"/>
        <s v="LN-00141"/>
        <s v="LN-00142"/>
        <s v="LN-00143"/>
        <s v="LN-00144"/>
        <s v="LN-00145"/>
        <s v="LN-00146"/>
        <s v="LN-00147"/>
        <s v="LN-00148"/>
        <s v="LN-00149"/>
        <s v="LN-00150"/>
        <s v="LN-00151"/>
        <s v="LN-00152"/>
        <s v="LN-00153"/>
        <s v="LN-00154"/>
        <s v="LN-00155"/>
        <s v="LN-00156"/>
        <s v="LN-00157"/>
        <s v="LN-00158"/>
        <s v="LN-00159"/>
        <s v="LN-00160"/>
        <s v="LN-00161"/>
        <s v="LN-00162"/>
        <s v="LN-00163"/>
        <s v="LN-00164"/>
        <s v="LN-00165"/>
        <s v="LN-00166"/>
        <s v="LN-00167"/>
        <s v="LN-00168"/>
        <s v="LN-00169"/>
        <s v="LN-00170"/>
        <s v="LN-00171"/>
        <s v="LN-00172"/>
        <s v="LN-00173"/>
        <s v="LN-00174"/>
        <s v="LN-00175"/>
        <s v="LN-00176"/>
        <s v="LN-00177"/>
        <s v="LN-00178"/>
        <s v="LN-00179"/>
        <s v="LN-00180"/>
        <s v="LN-00181"/>
        <s v="LN-00182"/>
        <s v="LN-00183"/>
        <s v="LN-00184"/>
        <s v="LN-00185"/>
        <s v="LN-00186"/>
        <s v="LN-00187"/>
        <s v="LN-00188"/>
        <s v="LN-00189"/>
        <s v="LN-00190"/>
        <s v="LN-00191"/>
        <s v="LN-00192"/>
        <s v="LN-00193"/>
        <s v="LN-00194"/>
        <s v="LN-00195"/>
        <s v="LN-00196"/>
        <s v="LN-00197"/>
        <s v="LN-00198"/>
        <s v="LN-00199"/>
        <s v="LN-00200"/>
        <s v="LN-00201"/>
        <s v="LN-00202"/>
        <s v="LN-00203"/>
        <s v="LN-00204"/>
        <s v="LN-00205"/>
        <s v="LN-00206"/>
        <s v="LN-00207"/>
        <s v="LN-00208"/>
        <s v="LN-00209"/>
        <s v="LN-00210"/>
        <s v="LN-00211"/>
        <s v="LN-00212"/>
        <s v="LN-00213"/>
        <s v="LN-00214"/>
        <s v="LN-00215"/>
        <s v="LN-00216"/>
        <s v="LN-00217"/>
        <s v="LN-00218"/>
        <s v="LN-00219"/>
        <s v="LN-00220"/>
        <s v="LN-00221"/>
        <s v="LN-00222"/>
        <s v="LN-00223"/>
        <s v="LN-00224"/>
        <s v="LN-00225"/>
        <s v="LN-00226"/>
        <s v="LN-00227"/>
        <s v="LN-00228"/>
        <s v="LN-00229"/>
        <s v="LN-00230"/>
        <s v="LN-00231"/>
        <s v="LN-00232"/>
        <s v="LN-00233"/>
        <s v="LN-00234"/>
        <s v="LN-00235"/>
        <s v="LN-00236"/>
        <s v="LN-00237"/>
        <s v="LN-00238"/>
        <s v="LN-00239"/>
        <s v="LN-00240"/>
        <s v="LN-00241"/>
        <s v="LN-00242"/>
        <s v="LN-00243"/>
        <s v="LN-00244"/>
        <s v="LN-00245"/>
        <s v="LN-00246"/>
        <s v="LN-00247"/>
        <s v="LN-00248"/>
        <s v="LN-00249"/>
        <s v="LN-00250"/>
        <s v="LN-00251"/>
        <s v="LN-00252"/>
        <s v="LN-00253"/>
        <s v="LN-00254"/>
        <s v="LN-00255"/>
        <s v="LN-00256"/>
        <s v="LN-00257"/>
        <s v="LN-00258"/>
        <s v="LN-00259"/>
        <s v="LN-00260"/>
        <s v="LN-00261"/>
        <s v="LN-00262"/>
        <s v="LN-00263"/>
        <s v="LN-00264"/>
        <s v="LN-00265"/>
        <s v="LN-00266"/>
        <s v="LN-00267"/>
        <s v="LN-00268"/>
        <s v="LN-00269"/>
        <s v="LN-00270"/>
        <s v="LN-00271"/>
        <s v="LN-00272"/>
        <s v="LN-00273"/>
        <s v="LN-00274"/>
        <s v="LN-00275"/>
        <s v="LN-00276"/>
        <s v="LN-00277"/>
        <s v="LN-00278"/>
        <s v="LN-00279"/>
        <s v="LN-00280"/>
        <s v="LN-00281"/>
        <s v="LN-00282"/>
        <s v="LN-00283"/>
        <s v="LN-00284"/>
        <s v="LN-00285"/>
        <s v="LN-00286"/>
        <s v="LN-00287"/>
        <s v="LN-00288"/>
        <s v="LN-00289"/>
        <s v="LN-00290"/>
        <s v="LN-00291"/>
        <s v="LN-00292"/>
        <s v="LN-00293"/>
        <s v="LN-00294"/>
        <s v="LN-00295"/>
        <s v="LN-00296"/>
        <s v="LN-00297"/>
        <s v="LN-00298"/>
        <s v="LN-00299"/>
        <s v="LN-00300"/>
        <s v="LN-00301"/>
        <s v="LN-00302"/>
        <s v="LN-00303"/>
        <s v="LN-00304"/>
        <s v="LN-00305"/>
        <s v="LN-00306"/>
        <s v="LN-00307"/>
        <s v="LN-00308"/>
        <s v="LN-00309"/>
        <s v="LN-00310"/>
        <s v="LN-00311"/>
        <s v="LN-00312"/>
        <s v="LN-00313"/>
        <s v="LN-00314"/>
        <s v="LN-00315"/>
        <s v="LN-00316"/>
        <s v="LN-00317"/>
        <s v="LN-00318"/>
        <s v="LN-00319"/>
        <s v="LN-00320"/>
        <s v="LN-00321"/>
        <s v="LN-00322"/>
        <s v="LN-00323"/>
        <s v="LN-00324"/>
        <s v="LN-00325"/>
        <s v="LN-00326"/>
        <s v="LN-00327"/>
        <s v="LN-00328"/>
        <s v="LN-00329"/>
        <s v="LN-00330"/>
        <s v="LN-00331"/>
        <s v="LN-00332"/>
        <s v="LN-00333"/>
        <s v="LN-00334"/>
        <s v="LN-00335"/>
        <s v="LN-00336"/>
        <s v="LN-00337"/>
        <s v="LN-00338"/>
        <s v="LN-00339"/>
        <s v="LN-00340"/>
        <s v="LN-00341"/>
        <s v="LN-00342"/>
        <s v="LN-00343"/>
        <s v="LN-00344"/>
        <s v="LN-00345"/>
        <s v="LN-00346"/>
        <s v="LN-00347"/>
        <s v="LN-00348"/>
        <s v="LN-00349"/>
        <s v="LN-00350"/>
        <s v="LN-00351"/>
        <s v="LN-00352"/>
        <s v="LN-00353"/>
        <s v="LN-00354"/>
        <s v="LN-00355"/>
        <s v="LN-00356"/>
        <s v="LN-00357"/>
        <s v="LN-00358"/>
        <s v="LN-00359"/>
        <s v="LN-00360"/>
        <s v="LN-00361"/>
        <s v="LN-00362"/>
        <s v="LN-00363"/>
        <s v="LN-00364"/>
        <s v="LN-00365"/>
        <s v="LN-00366"/>
        <s v="LN-00367"/>
        <s v="LN-00368"/>
        <s v="LN-00369"/>
        <s v="LN-00370"/>
        <s v="LN-00371"/>
        <s v="LN-00372"/>
        <s v="LN-00373"/>
        <s v="LN-00374"/>
        <s v="LN-00375"/>
        <s v="LN-00376"/>
        <s v="LN-00377"/>
        <s v="LN-00378"/>
        <s v="LN-00379"/>
        <s v="LN-00380"/>
        <s v="LN-00381"/>
        <s v="LN-00382"/>
        <s v="LN-00383"/>
        <s v="LN-00384"/>
        <s v="LN-00385"/>
        <s v="LN-00386"/>
        <s v="LN-00387"/>
        <s v="LN-00388"/>
        <s v="LN-00389"/>
        <s v="LN-00390"/>
        <s v="LN-00391"/>
        <s v="LN-00392"/>
        <s v="LN-00393"/>
        <s v="LN-00394"/>
        <s v="LN-00395"/>
        <s v="LN-00396"/>
        <s v="LN-00397"/>
        <s v="LN-00398"/>
        <s v="LN-00399"/>
        <s v="LN-00400"/>
        <s v="LN-00401"/>
        <s v="LN-00402"/>
        <s v="LN-00403"/>
        <s v="LN-00404"/>
        <s v="LN-00405"/>
        <s v="LN-00406"/>
        <s v="LN-00407"/>
        <s v="LN-00408"/>
        <s v="LN-00409"/>
        <s v="LN-00410"/>
        <s v="LN-00411"/>
        <s v="LN-00412"/>
        <s v="LN-00413"/>
        <s v="LN-00414"/>
        <s v="LN-00415"/>
        <s v="LN-00416"/>
        <s v="LN-00417"/>
        <s v="LN-00418"/>
        <s v="LN-00419"/>
        <s v="LN-00420"/>
        <s v="LN-00421"/>
        <s v="LN-00422"/>
        <s v="LN-00423"/>
        <s v="LN-00424"/>
        <s v="LN-00425"/>
        <s v="LN-00426"/>
        <s v="LN-00427"/>
        <s v="LN-00428"/>
        <s v="LN-00429"/>
        <s v="LN-00430"/>
        <s v="LN-00431"/>
        <s v="LN-00432"/>
        <s v="LN-00433"/>
        <s v="LN-00434"/>
        <s v="LN-00435"/>
        <s v="LN-00436"/>
        <s v="LN-00437"/>
        <s v="LN-00438"/>
        <s v="LN-00439"/>
        <s v="LN-00440"/>
        <s v="LN-00441"/>
        <s v="LN-00442"/>
        <s v="LN-00443"/>
        <s v="LN-00444"/>
        <s v="LN-00445"/>
        <s v="LN-00446"/>
        <s v="LN-00447"/>
        <s v="LN-00448"/>
        <s v="LN-00449"/>
        <s v="LN-00450"/>
        <s v="LN-00451"/>
        <s v="LN-00452"/>
        <s v="LN-00453"/>
        <s v="LN-00454"/>
        <s v="LN-00455"/>
        <s v="LN-00456"/>
        <s v="LN-00457"/>
        <s v="LN-00458"/>
        <s v="LN-00459"/>
        <s v="LN-00460"/>
        <s v="LN-00461"/>
        <s v="LN-00462"/>
        <s v="LN-00463"/>
        <s v="LN-00464"/>
        <s v="LN-00465"/>
        <s v="LN-00466"/>
        <s v="LN-00467"/>
        <s v="LN-00468"/>
        <s v="LN-00469"/>
        <s v="LN-00470"/>
        <s v="LN-00471"/>
        <s v="LN-00472"/>
        <s v="LN-00473"/>
        <s v="LN-00474"/>
        <s v="LN-00475"/>
        <s v="LN-00476"/>
        <s v="LN-00477"/>
        <s v="LN-00478"/>
        <s v="LN-00479"/>
        <s v="LN-00480"/>
        <s v="LN-00481"/>
        <s v="LN-00482"/>
        <s v="LN-00483"/>
        <s v="LN-00484"/>
        <s v="LN-00485"/>
        <s v="LN-00486"/>
        <s v="LN-00487"/>
        <s v="LN-00488"/>
        <s v="LN-00489"/>
        <s v="LN-00490"/>
        <s v="LN-00491"/>
        <s v="LN-00492"/>
        <s v="LN-00493"/>
        <s v="LN-00494"/>
        <s v="LN-00495"/>
        <s v="LN-00496"/>
        <s v="LN-00497"/>
        <s v="LN-00498"/>
        <s v="LN-00499"/>
        <s v="LN-00500"/>
        <s v="LN-00501"/>
        <s v="LN-00502"/>
        <s v="LN-00503"/>
        <s v="LN-00504"/>
        <s v="LN-00505"/>
        <s v="LN-00506"/>
        <s v="LN-00507"/>
        <s v="LN-00508"/>
        <s v="LN-00509"/>
        <s v="LN-00510"/>
        <s v="LN-00511"/>
        <s v="LN-00512"/>
        <s v="LN-00513"/>
        <s v="LN-00514"/>
        <s v="LN-00515"/>
        <s v="LN-00516"/>
        <s v="LN-00517"/>
        <s v="LN-00518"/>
        <s v="LN-00519"/>
        <s v="LN-00520"/>
        <s v="LN-00521"/>
        <s v="LN-00522"/>
        <s v="LN-00523"/>
        <s v="LN-00524"/>
        <s v="LN-00525"/>
        <s v="LN-00526"/>
        <s v="LN-00527"/>
        <s v="LN-00528"/>
        <s v="LN-00529"/>
        <s v="LN-00530"/>
        <s v="LN-00531"/>
        <s v="LN-00532"/>
        <s v="LN-00533"/>
        <s v="LN-00534"/>
        <s v="LN-00535"/>
        <s v="LN-00536"/>
        <s v="LN-00537"/>
        <s v="LN-00538"/>
        <s v="LN-00539"/>
        <s v="LN-00540"/>
        <s v="LN-00541"/>
        <s v="LN-00542"/>
        <s v="LN-00543"/>
        <s v="LN-00544"/>
        <s v="LN-00545"/>
        <s v="LN-00546"/>
        <s v="LN-00547"/>
        <s v="LN-00548"/>
        <s v="LN-00549"/>
        <s v="LN-00550"/>
        <s v="LN-00551"/>
        <s v="LN-00552"/>
        <s v="LN-00553"/>
        <s v="LN-00554"/>
        <s v="LN-00555"/>
        <s v="LN-00556"/>
        <s v="LN-00557"/>
        <s v="LN-00558"/>
        <s v="LN-00559"/>
        <s v="LN-00560"/>
        <s v="LN-00561"/>
        <s v="LN-00562"/>
        <s v="LN-00563"/>
        <s v="LN-00564"/>
        <s v="LN-00565"/>
        <s v="LN-00566"/>
        <s v="LN-00567"/>
        <s v="LN-00568"/>
        <s v="LN-00569"/>
        <s v="LN-00570"/>
        <s v="LN-00571"/>
        <s v="LN-00572"/>
        <s v="LN-00573"/>
        <s v="LN-00574"/>
        <s v="LN-00575"/>
        <s v="LN-00576"/>
        <s v="LN-00577"/>
        <s v="LN-00578"/>
        <s v="LN-00579"/>
        <s v="LN-00580"/>
        <s v="LN-00581"/>
        <s v="LN-00582"/>
        <s v="LN-00583"/>
        <s v="LN-00584"/>
        <s v="LN-00585"/>
        <s v="LN-00586"/>
        <s v="LN-00587"/>
        <s v="LN-00588"/>
        <s v="LN-00589"/>
        <s v="LN-00590"/>
        <s v="LN-00591"/>
        <s v="LN-00592"/>
        <s v="LN-00593"/>
        <s v="LN-00594"/>
        <s v="LN-00595"/>
        <s v="LN-00596"/>
        <s v="LN-00597"/>
        <s v="LN-00598"/>
        <s v="LN-00599"/>
        <s v="LN-00600"/>
        <s v="LN-00601"/>
      </sharedItems>
    </cacheField>
    <cacheField name="borrower_id" numFmtId="0">
      <sharedItems/>
    </cacheField>
    <cacheField name="application_date" numFmtId="14">
      <sharedItems containsSemiMixedTypes="0" containsNonDate="0" containsDate="1" containsString="0" minDate="2024-01-02T00:00:00" maxDate="2025-06-30T00:00:00"/>
    </cacheField>
    <cacheField name="loan_purpose" numFmtId="0">
      <sharedItems/>
    </cacheField>
    <cacheField name="loan_amount" numFmtId="0">
      <sharedItems containsSemiMixedTypes="0" containsString="0" containsNumber="1" containsInteger="1" minValue="2000" maxValue="49800"/>
    </cacheField>
    <cacheField name="term_months" numFmtId="0">
      <sharedItems containsSemiMixedTypes="0" containsString="0" containsNumber="1" containsInteger="1" minValue="12" maxValue="60"/>
    </cacheField>
    <cacheField name="interest_rate" numFmtId="0">
      <sharedItems containsSemiMixedTypes="0" containsString="0" containsNumber="1" minValue="5.86" maxValue="15.86"/>
    </cacheField>
    <cacheField name="monthly_payment" numFmtId="0">
      <sharedItems containsSemiMixedTypes="0" containsString="0" containsNumber="1" minValue="44.14" maxValue="4262.6899999999996"/>
    </cacheField>
    <cacheField name="dti_ratio" numFmtId="0">
      <sharedItems containsSemiMixedTypes="0" containsString="0" containsNumber="1" minValue="7.6" maxValue="177.4"/>
    </cacheField>
    <cacheField name="loan_status" numFmtId="0">
      <sharedItems/>
    </cacheField>
    <cacheField name="days_delinquent" numFmtId="0">
      <sharedItems containsSemiMixedTypes="0" containsString="0" containsNumber="1" containsInteger="1" minValue="0" maxValue="180"/>
    </cacheField>
    <cacheField name="defaulted" numFmtId="0">
      <sharedItems containsSemiMixedTypes="0" containsString="0" containsNumber="1" containsInteger="1" minValue="0" maxValue="1" count="2">
        <n v="0"/>
        <n v="1"/>
      </sharedItems>
    </cacheField>
    <cacheField name="dti_ratio_bucket" numFmtId="0">
      <sharedItems count="6">
        <s v="50-75"/>
        <s v="25-50"/>
        <s v="0-25"/>
        <s v="125+"/>
        <s v="75-100"/>
        <s v="100-1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ttany Sanford" refreshedDate="46283.385302662035" createdVersion="8" refreshedVersion="8" minRefreshableVersion="3" recordCount="601" xr:uid="{508F8C44-892B-49EB-8593-50369DA35F6C}">
  <cacheSource type="worksheet">
    <worksheetSource ref="A1:M602" sheet="default_risk_by_employment"/>
  </cacheSource>
  <cacheFields count="13">
    <cacheField name="loan_id" numFmtId="0">
      <sharedItems/>
    </cacheField>
    <cacheField name="borrower_id" numFmtId="0">
      <sharedItems/>
    </cacheField>
    <cacheField name="application_date" numFmtId="14">
      <sharedItems containsSemiMixedTypes="0" containsNonDate="0" containsDate="1" containsString="0" minDate="2024-01-02T00:00:00" maxDate="2025-06-30T00:00:00"/>
    </cacheField>
    <cacheField name="loan_purpose" numFmtId="0">
      <sharedItems/>
    </cacheField>
    <cacheField name="loan_amount" numFmtId="0">
      <sharedItems containsSemiMixedTypes="0" containsString="0" containsNumber="1" containsInteger="1" minValue="2000" maxValue="49800"/>
    </cacheField>
    <cacheField name="term_months" numFmtId="0">
      <sharedItems containsSemiMixedTypes="0" containsString="0" containsNumber="1" containsInteger="1" minValue="12" maxValue="60"/>
    </cacheField>
    <cacheField name="interest_rate" numFmtId="0">
      <sharedItems containsSemiMixedTypes="0" containsString="0" containsNumber="1" minValue="5.86" maxValue="15.86"/>
    </cacheField>
    <cacheField name="monthly_payment" numFmtId="0">
      <sharedItems containsSemiMixedTypes="0" containsString="0" containsNumber="1" minValue="44.14" maxValue="4262.6899999999996"/>
    </cacheField>
    <cacheField name="dti_ratio" numFmtId="0">
      <sharedItems containsSemiMixedTypes="0" containsString="0" containsNumber="1" minValue="7.6" maxValue="177.4"/>
    </cacheField>
    <cacheField name="loan_status" numFmtId="0">
      <sharedItems/>
    </cacheField>
    <cacheField name="days_delinquent" numFmtId="0">
      <sharedItems containsSemiMixedTypes="0" containsString="0" containsNumber="1" containsInteger="1" minValue="0" maxValue="180"/>
    </cacheField>
    <cacheField name="defaulted" numFmtId="0">
      <sharedItems containsSemiMixedTypes="0" containsString="0" containsNumber="1" containsInteger="1" minValue="0" maxValue="1"/>
    </cacheField>
    <cacheField name="employment_status" numFmtId="0">
      <sharedItems count="5">
        <s v="Self-Employed"/>
        <s v="Full-Time"/>
        <s v="Contract"/>
        <s v="Part-Time"/>
        <s v="Reti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ttany Sanford" refreshedDate="46283.400674537035" createdVersion="8" refreshedVersion="8" minRefreshableVersion="3" recordCount="601" xr:uid="{F3771189-EA80-4BD8-A707-66AD81B045A4}">
  <cacheSource type="worksheet">
    <worksheetSource ref="A1:O602" sheet="default_risk_by_employment"/>
  </cacheSource>
  <cacheFields count="15">
    <cacheField name="loan_id" numFmtId="0">
      <sharedItems/>
    </cacheField>
    <cacheField name="borrower_id" numFmtId="0">
      <sharedItems/>
    </cacheField>
    <cacheField name="application_date" numFmtId="14">
      <sharedItems containsSemiMixedTypes="0" containsNonDate="0" containsDate="1" containsString="0" minDate="2024-01-02T00:00:00" maxDate="2025-06-30T00:00:00"/>
    </cacheField>
    <cacheField name="loan_purpose" numFmtId="0">
      <sharedItems/>
    </cacheField>
    <cacheField name="loan_amount" numFmtId="0">
      <sharedItems containsSemiMixedTypes="0" containsString="0" containsNumber="1" containsInteger="1" minValue="2000" maxValue="49800"/>
    </cacheField>
    <cacheField name="term_months" numFmtId="0">
      <sharedItems containsSemiMixedTypes="0" containsString="0" containsNumber="1" containsInteger="1" minValue="12" maxValue="60"/>
    </cacheField>
    <cacheField name="interest_rate" numFmtId="0">
      <sharedItems containsSemiMixedTypes="0" containsString="0" containsNumber="1" minValue="5.86" maxValue="15.86"/>
    </cacheField>
    <cacheField name="monthly_payment" numFmtId="0">
      <sharedItems containsSemiMixedTypes="0" containsString="0" containsNumber="1" minValue="44.14" maxValue="4262.6899999999996"/>
    </cacheField>
    <cacheField name="dti_ratio" numFmtId="0">
      <sharedItems containsSemiMixedTypes="0" containsString="0" containsNumber="1" minValue="7.6" maxValue="177.4"/>
    </cacheField>
    <cacheField name="loan_status" numFmtId="0">
      <sharedItems/>
    </cacheField>
    <cacheField name="days_delinquent" numFmtId="0">
      <sharedItems containsSemiMixedTypes="0" containsString="0" containsNumber="1" containsInteger="1" minValue="0" maxValue="180"/>
    </cacheField>
    <cacheField name="defaulted" numFmtId="0">
      <sharedItems containsSemiMixedTypes="0" containsString="0" containsNumber="1" containsInteger="1" minValue="0" maxValue="1"/>
    </cacheField>
    <cacheField name="employment_status" numFmtId="0">
      <sharedItems/>
    </cacheField>
    <cacheField name="years_employed" numFmtId="0">
      <sharedItems containsSemiMixedTypes="0" containsString="0" containsNumber="1" containsInteger="1" minValue="0" maxValue="35"/>
    </cacheField>
    <cacheField name="employment_years_group" numFmtId="0">
      <sharedItems count="5">
        <s v="Employed &gt;2 Years"/>
        <s v="Employed &lt;2 Years"/>
        <s v="Emplpoyed &lt;2 Years" u="1"/>
        <s v="&gt;2 Years" u="1"/>
        <s v="&lt;2 Year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s v="BRW-0001"/>
    <d v="2024-01-08T00:00:00"/>
    <s v="Vacation"/>
    <n v="16100"/>
    <n v="36"/>
    <n v="13.05"/>
    <n v="542.86"/>
    <n v="55.5"/>
    <s v="Paid Off"/>
    <n v="0"/>
    <n v="0"/>
    <n v="596"/>
    <x v="0"/>
  </r>
  <r>
    <x v="1"/>
    <s v="BRW-0001"/>
    <d v="2024-08-13T00:00:00"/>
    <s v="Major Purchase"/>
    <n v="5600"/>
    <n v="48"/>
    <n v="14.21"/>
    <n v="153.62"/>
    <n v="40.4"/>
    <s v="Default"/>
    <n v="138"/>
    <n v="1"/>
    <n v="596"/>
    <x v="0"/>
  </r>
  <r>
    <x v="2"/>
    <s v="BRW-0002"/>
    <d v="2025-06-28T00:00:00"/>
    <s v="Moving"/>
    <n v="44700"/>
    <n v="36"/>
    <n v="12.37"/>
    <n v="1492.59"/>
    <n v="70.5"/>
    <s v="Paid Off"/>
    <n v="0"/>
    <n v="0"/>
    <n v="543"/>
    <x v="0"/>
  </r>
  <r>
    <x v="3"/>
    <s v="BRW-0003"/>
    <d v="2025-05-18T00:00:00"/>
    <s v="Auto Loan"/>
    <n v="9200"/>
    <n v="48"/>
    <n v="11.18"/>
    <n v="238.58"/>
    <n v="59.8"/>
    <s v="Default"/>
    <n v="34"/>
    <n v="1"/>
    <n v="611"/>
    <x v="1"/>
  </r>
  <r>
    <x v="4"/>
    <s v="BRW-0004"/>
    <d v="2025-03-24T00:00:00"/>
    <s v="Moving"/>
    <n v="11200"/>
    <n v="36"/>
    <n v="9.66"/>
    <n v="359.61"/>
    <n v="44.1"/>
    <s v="Current"/>
    <n v="0"/>
    <n v="0"/>
    <n v="701"/>
    <x v="2"/>
  </r>
  <r>
    <x v="5"/>
    <s v="BRW-0005"/>
    <d v="2025-04-19T00:00:00"/>
    <s v="Education"/>
    <n v="28600"/>
    <n v="48"/>
    <n v="13.07"/>
    <n v="768.26"/>
    <n v="37.1"/>
    <s v="Current"/>
    <n v="0"/>
    <n v="0"/>
    <n v="715"/>
    <x v="2"/>
  </r>
  <r>
    <x v="6"/>
    <s v="BRW-0006"/>
    <d v="2024-07-04T00:00:00"/>
    <s v="Medical Expenses"/>
    <n v="39200"/>
    <n v="12"/>
    <n v="10.23"/>
    <n v="3450.5"/>
    <n v="49.9"/>
    <s v="Paid Off"/>
    <n v="0"/>
    <n v="0"/>
    <n v="749"/>
    <x v="2"/>
  </r>
  <r>
    <x v="7"/>
    <s v="BRW-0007"/>
    <d v="2025-03-29T00:00:00"/>
    <s v="Home Improvement"/>
    <n v="36300"/>
    <n v="48"/>
    <n v="14.26"/>
    <n v="996.69"/>
    <n v="38.200000000000003"/>
    <s v="Default"/>
    <n v="38"/>
    <n v="1"/>
    <n v="576"/>
    <x v="0"/>
  </r>
  <r>
    <x v="8"/>
    <s v="BRW-0007"/>
    <d v="2024-08-01T00:00:00"/>
    <s v="Business Loan"/>
    <n v="39000"/>
    <n v="60"/>
    <n v="13.73"/>
    <n v="902.01"/>
    <n v="36.799999999999997"/>
    <s v="Current"/>
    <n v="0"/>
    <n v="0"/>
    <n v="576"/>
    <x v="0"/>
  </r>
  <r>
    <x v="9"/>
    <s v="BRW-0008"/>
    <d v="2024-11-01T00:00:00"/>
    <s v="Debt Consolidation"/>
    <n v="28400"/>
    <n v="12"/>
    <n v="11.88"/>
    <n v="2521.71"/>
    <n v="67.8"/>
    <s v="Default"/>
    <n v="43"/>
    <n v="1"/>
    <n v="563"/>
    <x v="0"/>
  </r>
  <r>
    <x v="10"/>
    <s v="BRW-0009"/>
    <d v="2024-06-20T00:00:00"/>
    <s v="Business Loan"/>
    <n v="13300"/>
    <n v="48"/>
    <n v="10.91"/>
    <n v="343.16"/>
    <n v="18.600000000000001"/>
    <s v="Current"/>
    <n v="0"/>
    <n v="0"/>
    <n v="643"/>
    <x v="1"/>
  </r>
  <r>
    <x v="11"/>
    <s v="BRW-0009"/>
    <d v="2024-06-07T00:00:00"/>
    <s v="Business Loan"/>
    <n v="2700"/>
    <n v="48"/>
    <n v="12.73"/>
    <n v="72.069999999999993"/>
    <n v="13.5"/>
    <s v="Current"/>
    <n v="0"/>
    <n v="0"/>
    <n v="643"/>
    <x v="1"/>
  </r>
  <r>
    <x v="12"/>
    <s v="BRW-0010"/>
    <d v="2024-06-06T00:00:00"/>
    <s v="Wedding"/>
    <n v="15700"/>
    <n v="12"/>
    <n v="6.57"/>
    <n v="1355.36"/>
    <n v="126"/>
    <s v="Current"/>
    <n v="0"/>
    <n v="0"/>
    <n v="824"/>
    <x v="3"/>
  </r>
  <r>
    <x v="13"/>
    <s v="BRW-0011"/>
    <d v="2024-01-22T00:00:00"/>
    <s v="Moving"/>
    <n v="38300"/>
    <n v="48"/>
    <n v="13.9"/>
    <n v="1044.68"/>
    <n v="63.6"/>
    <s v="Current"/>
    <n v="0"/>
    <n v="0"/>
    <n v="586"/>
    <x v="0"/>
  </r>
  <r>
    <x v="14"/>
    <s v="BRW-0012"/>
    <d v="2024-07-13T00:00:00"/>
    <s v="Vacation"/>
    <n v="28800"/>
    <n v="60"/>
    <n v="9.94"/>
    <n v="611.05999999999995"/>
    <n v="48.3"/>
    <s v="Current"/>
    <n v="0"/>
    <n v="0"/>
    <n v="813"/>
    <x v="3"/>
  </r>
  <r>
    <x v="15"/>
    <s v="BRW-0012"/>
    <d v="2025-06-27T00:00:00"/>
    <s v="Vacation"/>
    <n v="23700"/>
    <n v="60"/>
    <n v="7.25"/>
    <n v="472.09"/>
    <n v="44.5"/>
    <s v="Default"/>
    <n v="105"/>
    <n v="1"/>
    <n v="813"/>
    <x v="3"/>
  </r>
  <r>
    <x v="16"/>
    <s v="BRW-0013"/>
    <d v="2024-07-08T00:00:00"/>
    <s v="Moving"/>
    <n v="2000"/>
    <n v="60"/>
    <n v="11.65"/>
    <n v="44.14"/>
    <n v="18.8"/>
    <s v="Current"/>
    <n v="0"/>
    <n v="0"/>
    <n v="615"/>
    <x v="1"/>
  </r>
  <r>
    <x v="17"/>
    <s v="BRW-0013"/>
    <d v="2024-07-13T00:00:00"/>
    <s v="Wedding"/>
    <n v="34300"/>
    <n v="60"/>
    <n v="13.85"/>
    <n v="795.44"/>
    <n v="30.1"/>
    <s v="Current"/>
    <n v="0"/>
    <n v="0"/>
    <n v="615"/>
    <x v="1"/>
  </r>
  <r>
    <x v="18"/>
    <s v="BRW-0014"/>
    <d v="2024-03-09T00:00:00"/>
    <s v="Education"/>
    <n v="17500"/>
    <n v="12"/>
    <n v="8.4499999999999993"/>
    <n v="1525.94"/>
    <n v="41.4"/>
    <s v="Default"/>
    <n v="63"/>
    <n v="1"/>
    <n v="850"/>
    <x v="3"/>
  </r>
  <r>
    <x v="19"/>
    <s v="BRW-0015"/>
    <d v="2025-02-01T00:00:00"/>
    <s v="Debt Consolidation"/>
    <n v="20600"/>
    <n v="12"/>
    <n v="11.24"/>
    <n v="1822.97"/>
    <n v="52.5"/>
    <s v="Paid Off"/>
    <n v="0"/>
    <n v="0"/>
    <n v="535"/>
    <x v="0"/>
  </r>
  <r>
    <x v="20"/>
    <s v="BRW-0016"/>
    <d v="2024-08-01T00:00:00"/>
    <s v="Education"/>
    <n v="23100"/>
    <n v="12"/>
    <n v="15.15"/>
    <n v="2086.6"/>
    <n v="88.1"/>
    <s v="Late"/>
    <n v="15"/>
    <n v="0"/>
    <n v="570"/>
    <x v="0"/>
  </r>
  <r>
    <x v="21"/>
    <s v="BRW-0017"/>
    <d v="2024-02-29T00:00:00"/>
    <s v="Debt Consolidation"/>
    <n v="23300"/>
    <n v="48"/>
    <n v="13.03"/>
    <n v="625.42999999999995"/>
    <n v="69.400000000000006"/>
    <s v="Current"/>
    <n v="0"/>
    <n v="0"/>
    <n v="665"/>
    <x v="4"/>
  </r>
  <r>
    <x v="22"/>
    <s v="BRW-0018"/>
    <d v="2024-08-24T00:00:00"/>
    <s v="Auto Loan"/>
    <n v="7200"/>
    <n v="60"/>
    <n v="8.39"/>
    <n v="147.34"/>
    <n v="18.899999999999999"/>
    <s v="Current"/>
    <n v="0"/>
    <n v="0"/>
    <n v="726"/>
    <x v="2"/>
  </r>
  <r>
    <x v="23"/>
    <s v="BRW-0019"/>
    <d v="2025-01-01T00:00:00"/>
    <s v="Medical Expenses"/>
    <n v="13700"/>
    <n v="12"/>
    <n v="15.03"/>
    <n v="1236.73"/>
    <n v="112.8"/>
    <s v="Current"/>
    <n v="0"/>
    <n v="0"/>
    <n v="528"/>
    <x v="0"/>
  </r>
  <r>
    <x v="24"/>
    <s v="BRW-0020"/>
    <d v="2025-03-29T00:00:00"/>
    <s v="Medical Expenses"/>
    <n v="23300"/>
    <n v="24"/>
    <n v="12.02"/>
    <n v="1097.03"/>
    <n v="62.4"/>
    <s v="Late"/>
    <n v="15"/>
    <n v="0"/>
    <n v="639"/>
    <x v="1"/>
  </r>
  <r>
    <x v="25"/>
    <s v="BRW-0021"/>
    <d v="2024-08-07T00:00:00"/>
    <s v="Education"/>
    <n v="32400"/>
    <n v="36"/>
    <n v="13.31"/>
    <n v="1096.53"/>
    <n v="60"/>
    <s v="Default"/>
    <n v="170"/>
    <n v="1"/>
    <n v="584"/>
    <x v="0"/>
  </r>
  <r>
    <x v="26"/>
    <s v="BRW-0021"/>
    <d v="2024-02-05T00:00:00"/>
    <s v="Auto Loan"/>
    <n v="23700"/>
    <n v="48"/>
    <n v="10.27"/>
    <n v="604.16999999999996"/>
    <n v="51.7"/>
    <s v="Current"/>
    <n v="0"/>
    <n v="0"/>
    <n v="584"/>
    <x v="0"/>
  </r>
  <r>
    <x v="27"/>
    <s v="BRW-0022"/>
    <d v="2024-01-23T00:00:00"/>
    <s v="Auto Loan"/>
    <n v="7400"/>
    <n v="24"/>
    <n v="12.65"/>
    <n v="350.59"/>
    <n v="29.2"/>
    <s v="Late"/>
    <n v="15"/>
    <n v="0"/>
    <n v="698"/>
    <x v="4"/>
  </r>
  <r>
    <x v="28"/>
    <s v="BRW-0022"/>
    <d v="2024-02-08T00:00:00"/>
    <s v="Moving"/>
    <n v="13600"/>
    <n v="60"/>
    <n v="9.14"/>
    <n v="283.24"/>
    <n v="25.9"/>
    <s v="Current"/>
    <n v="0"/>
    <n v="0"/>
    <n v="698"/>
    <x v="4"/>
  </r>
  <r>
    <x v="29"/>
    <s v="BRW-0023"/>
    <d v="2024-08-10T00:00:00"/>
    <s v="Business Loan"/>
    <n v="34200"/>
    <n v="12"/>
    <n v="10.17"/>
    <n v="3009.43"/>
    <n v="87.7"/>
    <s v="Paid Off"/>
    <n v="0"/>
    <n v="0"/>
    <n v="761"/>
    <x v="3"/>
  </r>
  <r>
    <x v="30"/>
    <s v="BRW-0023"/>
    <d v="2024-04-07T00:00:00"/>
    <s v="Medical Expenses"/>
    <n v="45200"/>
    <n v="60"/>
    <n v="11.41"/>
    <n v="992.02"/>
    <n v="54.1"/>
    <s v="Paid Off"/>
    <n v="0"/>
    <n v="0"/>
    <n v="761"/>
    <x v="3"/>
  </r>
  <r>
    <x v="31"/>
    <s v="BRW-0024"/>
    <d v="2025-03-20T00:00:00"/>
    <s v="Home Improvement"/>
    <n v="46200"/>
    <n v="36"/>
    <n v="10.72"/>
    <n v="1506.41"/>
    <n v="47.5"/>
    <s v="Late"/>
    <n v="15"/>
    <n v="0"/>
    <n v="661"/>
    <x v="4"/>
  </r>
  <r>
    <x v="32"/>
    <s v="BRW-0025"/>
    <d v="2025-06-20T00:00:00"/>
    <s v="Wedding"/>
    <n v="32400"/>
    <n v="48"/>
    <n v="7.65"/>
    <n v="785.67"/>
    <n v="58.9"/>
    <s v="Default"/>
    <n v="168"/>
    <n v="1"/>
    <n v="757"/>
    <x v="3"/>
  </r>
  <r>
    <x v="33"/>
    <s v="BRW-0026"/>
    <d v="2025-02-06T00:00:00"/>
    <s v="Education"/>
    <n v="12400"/>
    <n v="12"/>
    <n v="14.05"/>
    <n v="1113.6500000000001"/>
    <n v="58.7"/>
    <s v="Current"/>
    <n v="0"/>
    <n v="0"/>
    <n v="559"/>
    <x v="0"/>
  </r>
  <r>
    <x v="34"/>
    <s v="BRW-0027"/>
    <d v="2025-05-02T00:00:00"/>
    <s v="Major Purchase"/>
    <n v="16400"/>
    <n v="24"/>
    <n v="8.51"/>
    <n v="745.55"/>
    <n v="53.8"/>
    <s v="Current"/>
    <n v="0"/>
    <n v="0"/>
    <n v="790"/>
    <x v="3"/>
  </r>
  <r>
    <x v="35"/>
    <s v="BRW-0028"/>
    <d v="2024-07-21T00:00:00"/>
    <s v="Moving"/>
    <n v="27100"/>
    <n v="24"/>
    <n v="8.64"/>
    <n v="1233.5899999999999"/>
    <n v="65.3"/>
    <s v="Current"/>
    <n v="0"/>
    <n v="0"/>
    <n v="826"/>
    <x v="3"/>
  </r>
  <r>
    <x v="36"/>
    <s v="BRW-0029"/>
    <d v="2024-04-01T00:00:00"/>
    <s v="Moving"/>
    <n v="5400"/>
    <n v="48"/>
    <n v="10.5"/>
    <n v="138.26"/>
    <n v="29.3"/>
    <s v="Default"/>
    <n v="135"/>
    <n v="1"/>
    <n v="667"/>
    <x v="4"/>
  </r>
  <r>
    <x v="37"/>
    <s v="BRW-0030"/>
    <d v="2024-06-22T00:00:00"/>
    <s v="Education"/>
    <n v="5500"/>
    <n v="12"/>
    <n v="14.25"/>
    <n v="494.48"/>
    <n v="77.2"/>
    <s v="Paid Off"/>
    <n v="0"/>
    <n v="0"/>
    <n v="576"/>
    <x v="0"/>
  </r>
  <r>
    <x v="38"/>
    <s v="BRW-0031"/>
    <d v="2025-01-17T00:00:00"/>
    <s v="Medical Expenses"/>
    <n v="46400"/>
    <n v="24"/>
    <n v="7.45"/>
    <n v="2086.9299999999998"/>
    <n v="42.1"/>
    <s v="Current"/>
    <n v="0"/>
    <n v="0"/>
    <n v="813"/>
    <x v="3"/>
  </r>
  <r>
    <x v="39"/>
    <s v="BRW-0032"/>
    <d v="2024-04-23T00:00:00"/>
    <s v="Business Loan"/>
    <n v="46500"/>
    <n v="36"/>
    <n v="10.02"/>
    <n v="1500.86"/>
    <n v="37.5"/>
    <s v="Current"/>
    <n v="0"/>
    <n v="0"/>
    <n v="603"/>
    <x v="1"/>
  </r>
  <r>
    <x v="40"/>
    <s v="BRW-0033"/>
    <d v="2024-05-24T00:00:00"/>
    <s v="Business Loan"/>
    <n v="16200"/>
    <n v="36"/>
    <n v="8.58"/>
    <n v="511.99"/>
    <n v="58.8"/>
    <s v="Current"/>
    <n v="0"/>
    <n v="0"/>
    <n v="850"/>
    <x v="3"/>
  </r>
  <r>
    <x v="41"/>
    <s v="BRW-0034"/>
    <d v="2024-10-04T00:00:00"/>
    <s v="Moving"/>
    <n v="4300"/>
    <n v="36"/>
    <n v="9.34"/>
    <n v="137.41999999999999"/>
    <n v="30.9"/>
    <s v="Default"/>
    <n v="32"/>
    <n v="1"/>
    <n v="700"/>
    <x v="2"/>
  </r>
  <r>
    <x v="42"/>
    <s v="BRW-0034"/>
    <d v="2024-01-20T00:00:00"/>
    <s v="Home Improvement"/>
    <n v="10500"/>
    <n v="36"/>
    <n v="12.65"/>
    <n v="352.02"/>
    <n v="36.799999999999997"/>
    <s v="Late"/>
    <n v="15"/>
    <n v="0"/>
    <n v="700"/>
    <x v="2"/>
  </r>
  <r>
    <x v="43"/>
    <s v="BRW-0035"/>
    <d v="2025-06-28T00:00:00"/>
    <s v="Moving"/>
    <n v="6800"/>
    <n v="36"/>
    <n v="12.32"/>
    <n v="226.9"/>
    <n v="18.399999999999999"/>
    <s v="Default"/>
    <n v="80"/>
    <n v="1"/>
    <n v="606"/>
    <x v="1"/>
  </r>
  <r>
    <x v="44"/>
    <s v="BRW-0035"/>
    <d v="2025-06-26T00:00:00"/>
    <s v="Moving"/>
    <n v="28900"/>
    <n v="12"/>
    <n v="10.1"/>
    <n v="2542.11"/>
    <n v="79.599999999999994"/>
    <s v="Default"/>
    <n v="155"/>
    <n v="1"/>
    <n v="606"/>
    <x v="1"/>
  </r>
  <r>
    <x v="45"/>
    <s v="BRW-0036"/>
    <d v="2024-08-29T00:00:00"/>
    <s v="Medical Expenses"/>
    <n v="12800"/>
    <n v="36"/>
    <n v="13.96"/>
    <n v="437.23"/>
    <n v="32.200000000000003"/>
    <s v="Late"/>
    <n v="30"/>
    <n v="0"/>
    <n v="550"/>
    <x v="0"/>
  </r>
  <r>
    <x v="46"/>
    <s v="BRW-0037"/>
    <d v="2024-10-13T00:00:00"/>
    <s v="Auto Loan"/>
    <n v="44700"/>
    <n v="12"/>
    <n v="14.32"/>
    <n v="4020.22"/>
    <n v="93.8"/>
    <s v="Default"/>
    <n v="117"/>
    <n v="1"/>
    <n v="624"/>
    <x v="1"/>
  </r>
  <r>
    <x v="47"/>
    <s v="BRW-0038"/>
    <d v="2024-08-20T00:00:00"/>
    <s v="Medical Expenses"/>
    <n v="5900"/>
    <n v="60"/>
    <n v="12.11"/>
    <n v="131.57"/>
    <n v="29.4"/>
    <s v="Current"/>
    <n v="0"/>
    <n v="0"/>
    <n v="735"/>
    <x v="2"/>
  </r>
  <r>
    <x v="48"/>
    <s v="BRW-0038"/>
    <d v="2024-05-21T00:00:00"/>
    <s v="Auto Loan"/>
    <n v="15100"/>
    <n v="60"/>
    <n v="8.41"/>
    <n v="309.14999999999998"/>
    <n v="36.5"/>
    <s v="Current"/>
    <n v="0"/>
    <n v="0"/>
    <n v="735"/>
    <x v="2"/>
  </r>
  <r>
    <x v="49"/>
    <s v="BRW-0039"/>
    <d v="2024-06-10T00:00:00"/>
    <s v="Moving"/>
    <n v="22600"/>
    <n v="24"/>
    <n v="10.199999999999999"/>
    <n v="1044.96"/>
    <n v="26.2"/>
    <s v="Paid Off"/>
    <n v="0"/>
    <n v="0"/>
    <n v="785"/>
    <x v="3"/>
  </r>
  <r>
    <x v="50"/>
    <s v="BRW-0040"/>
    <d v="2025-02-27T00:00:00"/>
    <s v="Education"/>
    <n v="9000"/>
    <n v="12"/>
    <n v="12.63"/>
    <n v="802.29"/>
    <n v="65.400000000000006"/>
    <s v="Paid Off"/>
    <n v="0"/>
    <n v="0"/>
    <n v="672"/>
    <x v="4"/>
  </r>
  <r>
    <x v="51"/>
    <s v="BRW-0041"/>
    <d v="2024-09-30T00:00:00"/>
    <s v="Auto Loan"/>
    <n v="11000"/>
    <n v="24"/>
    <n v="10.24"/>
    <n v="508.81"/>
    <n v="39.299999999999997"/>
    <s v="Current"/>
    <n v="0"/>
    <n v="0"/>
    <n v="641"/>
    <x v="1"/>
  </r>
  <r>
    <x v="52"/>
    <s v="BRW-0041"/>
    <d v="2025-04-25T00:00:00"/>
    <s v="Business Loan"/>
    <n v="19200"/>
    <n v="48"/>
    <n v="9.99"/>
    <n v="486.87"/>
    <n v="39.1"/>
    <s v="Paid Off"/>
    <n v="0"/>
    <n v="0"/>
    <n v="641"/>
    <x v="1"/>
  </r>
  <r>
    <x v="53"/>
    <s v="BRW-0042"/>
    <d v="2024-01-16T00:00:00"/>
    <s v="Medical Expenses"/>
    <n v="12900"/>
    <n v="48"/>
    <n v="10.39"/>
    <n v="329.6"/>
    <n v="10.9"/>
    <s v="Late"/>
    <n v="30"/>
    <n v="0"/>
    <n v="806"/>
    <x v="3"/>
  </r>
  <r>
    <x v="54"/>
    <s v="BRW-0043"/>
    <d v="2025-05-16T00:00:00"/>
    <s v="Business Loan"/>
    <n v="3900"/>
    <n v="48"/>
    <n v="13.92"/>
    <n v="106.42"/>
    <n v="41.3"/>
    <s v="Late"/>
    <n v="15"/>
    <n v="0"/>
    <n v="625"/>
    <x v="1"/>
  </r>
  <r>
    <x v="55"/>
    <s v="BRW-0044"/>
    <d v="2025-06-21T00:00:00"/>
    <s v="Debt Consolidation"/>
    <n v="41600"/>
    <n v="36"/>
    <n v="10.34"/>
    <n v="1348.97"/>
    <n v="31.5"/>
    <s v="Current"/>
    <n v="0"/>
    <n v="0"/>
    <n v="698"/>
    <x v="4"/>
  </r>
  <r>
    <x v="56"/>
    <s v="BRW-0045"/>
    <d v="2025-02-09T00:00:00"/>
    <s v="Vacation"/>
    <n v="4000"/>
    <n v="24"/>
    <n v="12.11"/>
    <n v="188.5"/>
    <n v="7.6"/>
    <s v="Current"/>
    <n v="0"/>
    <n v="0"/>
    <n v="629"/>
    <x v="1"/>
  </r>
  <r>
    <x v="57"/>
    <s v="BRW-0046"/>
    <d v="2024-10-19T00:00:00"/>
    <s v="Debt Consolidation"/>
    <n v="14400"/>
    <n v="36"/>
    <n v="12.3"/>
    <n v="480.35"/>
    <n v="38.700000000000003"/>
    <s v="Late"/>
    <n v="0"/>
    <n v="0"/>
    <n v="694"/>
    <x v="4"/>
  </r>
  <r>
    <x v="58"/>
    <s v="BRW-0047"/>
    <d v="2025-05-27T00:00:00"/>
    <s v="Moving"/>
    <n v="24300"/>
    <n v="48"/>
    <n v="6.29"/>
    <n v="573.91999999999996"/>
    <n v="28.8"/>
    <s v="Paid Off"/>
    <n v="0"/>
    <n v="0"/>
    <n v="850"/>
    <x v="3"/>
  </r>
  <r>
    <x v="59"/>
    <s v="BRW-0048"/>
    <d v="2024-07-25T00:00:00"/>
    <s v="Medical Expenses"/>
    <n v="15600"/>
    <n v="12"/>
    <n v="6.86"/>
    <n v="1348.81"/>
    <n v="64.900000000000006"/>
    <s v="Current"/>
    <n v="0"/>
    <n v="0"/>
    <n v="842"/>
    <x v="3"/>
  </r>
  <r>
    <x v="60"/>
    <s v="BRW-0049"/>
    <d v="2025-01-06T00:00:00"/>
    <s v="Medical Expenses"/>
    <n v="7900"/>
    <n v="12"/>
    <n v="13.28"/>
    <n v="706.64"/>
    <n v="53"/>
    <s v="Default"/>
    <n v="128"/>
    <n v="1"/>
    <n v="615"/>
    <x v="1"/>
  </r>
  <r>
    <x v="61"/>
    <s v="BRW-0050"/>
    <d v="2024-06-23T00:00:00"/>
    <s v="Moving"/>
    <n v="9700"/>
    <n v="60"/>
    <n v="8.32"/>
    <n v="198.17"/>
    <n v="13"/>
    <s v="Late"/>
    <n v="0"/>
    <n v="0"/>
    <n v="815"/>
    <x v="3"/>
  </r>
  <r>
    <x v="62"/>
    <s v="BRW-0051"/>
    <d v="2025-04-01T00:00:00"/>
    <s v="Medical Expenses"/>
    <n v="36200"/>
    <n v="48"/>
    <n v="7.37"/>
    <n v="873.08"/>
    <n v="53.3"/>
    <s v="Paid Off"/>
    <n v="0"/>
    <n v="0"/>
    <n v="850"/>
    <x v="3"/>
  </r>
  <r>
    <x v="63"/>
    <s v="BRW-0052"/>
    <d v="2025-05-25T00:00:00"/>
    <s v="Debt Consolidation"/>
    <n v="14100"/>
    <n v="48"/>
    <n v="12.22"/>
    <n v="372.83"/>
    <n v="43.4"/>
    <s v="Paid Off"/>
    <n v="0"/>
    <n v="0"/>
    <n v="616"/>
    <x v="1"/>
  </r>
  <r>
    <x v="64"/>
    <s v="BRW-0052"/>
    <d v="2024-03-22T00:00:00"/>
    <s v="Business Loan"/>
    <n v="26200"/>
    <n v="48"/>
    <n v="11.78"/>
    <n v="687.12"/>
    <n v="48.8"/>
    <s v="Paid Off"/>
    <n v="0"/>
    <n v="0"/>
    <n v="616"/>
    <x v="1"/>
  </r>
  <r>
    <x v="65"/>
    <s v="BRW-0053"/>
    <d v="2024-12-23T00:00:00"/>
    <s v="Moving"/>
    <n v="12000"/>
    <n v="24"/>
    <n v="9.39"/>
    <n v="550.37"/>
    <n v="18.600000000000001"/>
    <s v="Default"/>
    <n v="38"/>
    <n v="1"/>
    <n v="681"/>
    <x v="4"/>
  </r>
  <r>
    <x v="66"/>
    <s v="BRW-0054"/>
    <d v="2024-07-01T00:00:00"/>
    <s v="Wedding"/>
    <n v="37700"/>
    <n v="12"/>
    <n v="11.09"/>
    <n v="3333.57"/>
    <n v="72.599999999999994"/>
    <s v="Default"/>
    <n v="102"/>
    <n v="1"/>
    <n v="567"/>
    <x v="0"/>
  </r>
  <r>
    <x v="67"/>
    <s v="BRW-0055"/>
    <d v="2025-01-03T00:00:00"/>
    <s v="Wedding"/>
    <n v="29000"/>
    <n v="48"/>
    <n v="14.5"/>
    <n v="799.76"/>
    <n v="14.8"/>
    <s v="Current"/>
    <n v="0"/>
    <n v="0"/>
    <n v="555"/>
    <x v="0"/>
  </r>
  <r>
    <x v="68"/>
    <s v="BRW-0056"/>
    <d v="2025-04-27T00:00:00"/>
    <s v="Major Purchase"/>
    <n v="38400"/>
    <n v="60"/>
    <n v="7.84"/>
    <n v="775.68"/>
    <n v="63.1"/>
    <s v="Default"/>
    <n v="100"/>
    <n v="1"/>
    <n v="749"/>
    <x v="2"/>
  </r>
  <r>
    <x v="69"/>
    <s v="BRW-0057"/>
    <d v="2025-06-25T00:00:00"/>
    <s v="Major Purchase"/>
    <n v="20500"/>
    <n v="60"/>
    <n v="8.67"/>
    <n v="422.27"/>
    <n v="27.8"/>
    <s v="Late"/>
    <n v="0"/>
    <n v="0"/>
    <n v="697"/>
    <x v="4"/>
  </r>
  <r>
    <x v="70"/>
    <s v="BRW-0058"/>
    <d v="2024-12-28T00:00:00"/>
    <s v="Auto Loan"/>
    <n v="42700"/>
    <n v="36"/>
    <n v="13.49"/>
    <n v="1448.83"/>
    <n v="36.299999999999997"/>
    <s v="Current"/>
    <n v="0"/>
    <n v="0"/>
    <n v="548"/>
    <x v="0"/>
  </r>
  <r>
    <x v="71"/>
    <s v="BRW-0058"/>
    <d v="2024-10-24T00:00:00"/>
    <s v="Vacation"/>
    <n v="10600"/>
    <n v="60"/>
    <n v="12.03"/>
    <n v="235.95"/>
    <n v="17.7"/>
    <s v="Current"/>
    <n v="0"/>
    <n v="0"/>
    <n v="548"/>
    <x v="0"/>
  </r>
  <r>
    <x v="72"/>
    <s v="BRW-0059"/>
    <d v="2025-02-27T00:00:00"/>
    <s v="Home Improvement"/>
    <n v="12000"/>
    <n v="60"/>
    <n v="12.84"/>
    <n v="272.06"/>
    <n v="52"/>
    <s v="Default"/>
    <n v="119"/>
    <n v="1"/>
    <n v="729"/>
    <x v="2"/>
  </r>
  <r>
    <x v="73"/>
    <s v="BRW-0060"/>
    <d v="2024-03-10T00:00:00"/>
    <s v="Business Loan"/>
    <n v="5200"/>
    <n v="36"/>
    <n v="9.4600000000000009"/>
    <n v="166.47"/>
    <n v="10.5"/>
    <s v="Current"/>
    <n v="0"/>
    <n v="0"/>
    <n v="709"/>
    <x v="2"/>
  </r>
  <r>
    <x v="74"/>
    <s v="BRW-0061"/>
    <d v="2024-06-28T00:00:00"/>
    <s v="Education"/>
    <n v="29500"/>
    <n v="60"/>
    <n v="14.67"/>
    <n v="696.7"/>
    <n v="67.2"/>
    <s v="Default"/>
    <n v="116"/>
    <n v="1"/>
    <n v="608"/>
    <x v="1"/>
  </r>
  <r>
    <x v="75"/>
    <s v="BRW-0062"/>
    <d v="2025-04-16T00:00:00"/>
    <s v="Vacation"/>
    <n v="40300"/>
    <n v="24"/>
    <n v="8.41"/>
    <n v="1830.2"/>
    <n v="53.2"/>
    <s v="Current"/>
    <n v="0"/>
    <n v="0"/>
    <n v="840"/>
    <x v="3"/>
  </r>
  <r>
    <x v="76"/>
    <s v="BRW-0062"/>
    <d v="2024-11-19T00:00:00"/>
    <s v="Major Purchase"/>
    <n v="4700"/>
    <n v="60"/>
    <n v="7.5"/>
    <n v="94.18"/>
    <n v="12.6"/>
    <s v="Current"/>
    <n v="0"/>
    <n v="0"/>
    <n v="840"/>
    <x v="3"/>
  </r>
  <r>
    <x v="77"/>
    <s v="BRW-0063"/>
    <d v="2025-01-19T00:00:00"/>
    <s v="Education"/>
    <n v="5800"/>
    <n v="12"/>
    <n v="9.58"/>
    <n v="508.78"/>
    <n v="47.9"/>
    <s v="Current"/>
    <n v="0"/>
    <n v="0"/>
    <n v="727"/>
    <x v="2"/>
  </r>
  <r>
    <x v="78"/>
    <s v="BRW-0064"/>
    <d v="2024-11-18T00:00:00"/>
    <s v="Wedding"/>
    <n v="15400"/>
    <n v="36"/>
    <n v="9.58"/>
    <n v="493.88"/>
    <n v="36"/>
    <s v="Current"/>
    <n v="0"/>
    <n v="0"/>
    <n v="837"/>
    <x v="3"/>
  </r>
  <r>
    <x v="79"/>
    <s v="BRW-0065"/>
    <d v="2024-06-28T00:00:00"/>
    <s v="Education"/>
    <n v="47600"/>
    <n v="24"/>
    <n v="13.53"/>
    <n v="2274.86"/>
    <n v="86.4"/>
    <s v="Default"/>
    <n v="39"/>
    <n v="1"/>
    <n v="546"/>
    <x v="0"/>
  </r>
  <r>
    <x v="80"/>
    <s v="BRW-0065"/>
    <d v="2025-05-27T00:00:00"/>
    <s v="Business Loan"/>
    <n v="23300"/>
    <n v="12"/>
    <n v="14.9"/>
    <n v="2101.92"/>
    <n v="83.8"/>
    <s v="Default"/>
    <n v="117"/>
    <n v="1"/>
    <n v="546"/>
    <x v="0"/>
  </r>
  <r>
    <x v="81"/>
    <s v="BRW-0066"/>
    <d v="2025-06-12T00:00:00"/>
    <s v="Moving"/>
    <n v="16300"/>
    <n v="12"/>
    <n v="13.69"/>
    <n v="1461.15"/>
    <n v="76.900000000000006"/>
    <s v="Paid Off"/>
    <n v="0"/>
    <n v="0"/>
    <n v="625"/>
    <x v="1"/>
  </r>
  <r>
    <x v="82"/>
    <s v="BRW-0066"/>
    <d v="2024-02-15T00:00:00"/>
    <s v="Vacation"/>
    <n v="43500"/>
    <n v="12"/>
    <n v="9.6"/>
    <n v="3816.25"/>
    <n v="118.6"/>
    <s v="Current"/>
    <n v="0"/>
    <n v="0"/>
    <n v="625"/>
    <x v="1"/>
  </r>
  <r>
    <x v="83"/>
    <s v="BRW-0067"/>
    <d v="2024-11-15T00:00:00"/>
    <s v="Debt Consolidation"/>
    <n v="25900"/>
    <n v="36"/>
    <n v="8.4499999999999993"/>
    <n v="817"/>
    <n v="40"/>
    <s v="Current"/>
    <n v="0"/>
    <n v="0"/>
    <n v="700"/>
    <x v="2"/>
  </r>
  <r>
    <x v="84"/>
    <s v="BRW-0068"/>
    <d v="2024-06-10T00:00:00"/>
    <s v="Moving"/>
    <n v="19800"/>
    <n v="12"/>
    <n v="8.23"/>
    <n v="1724.48"/>
    <n v="51.2"/>
    <s v="Late"/>
    <n v="0"/>
    <n v="0"/>
    <n v="788"/>
    <x v="3"/>
  </r>
  <r>
    <x v="85"/>
    <s v="BRW-0069"/>
    <d v="2024-10-17T00:00:00"/>
    <s v="Business Loan"/>
    <n v="28400"/>
    <n v="36"/>
    <n v="11.71"/>
    <n v="939.36"/>
    <n v="39.700000000000003"/>
    <s v="Current"/>
    <n v="0"/>
    <n v="0"/>
    <n v="540"/>
    <x v="0"/>
  </r>
  <r>
    <x v="86"/>
    <s v="BRW-0070"/>
    <d v="2024-02-21T00:00:00"/>
    <s v="Moving"/>
    <n v="8200"/>
    <n v="48"/>
    <n v="11.25"/>
    <n v="212.93"/>
    <n v="27.5"/>
    <s v="Current"/>
    <n v="0"/>
    <n v="0"/>
    <n v="796"/>
    <x v="3"/>
  </r>
  <r>
    <x v="87"/>
    <s v="BRW-0070"/>
    <d v="2024-11-15T00:00:00"/>
    <s v="Medical Expenses"/>
    <n v="44800"/>
    <n v="48"/>
    <n v="9.81"/>
    <n v="1132.1600000000001"/>
    <n v="37.6"/>
    <s v="Paid Off"/>
    <n v="0"/>
    <n v="0"/>
    <n v="796"/>
    <x v="3"/>
  </r>
  <r>
    <x v="88"/>
    <s v="BRW-0071"/>
    <d v="2024-04-05T00:00:00"/>
    <s v="Home Improvement"/>
    <n v="31800"/>
    <n v="48"/>
    <n v="9.57"/>
    <n v="799.98"/>
    <n v="56.6"/>
    <s v="Late"/>
    <n v="15"/>
    <n v="0"/>
    <n v="796"/>
    <x v="3"/>
  </r>
  <r>
    <x v="89"/>
    <s v="BRW-0071"/>
    <d v="2024-08-17T00:00:00"/>
    <s v="Vacation"/>
    <n v="12900"/>
    <n v="48"/>
    <n v="9.09"/>
    <n v="321.57"/>
    <n v="36.200000000000003"/>
    <s v="Late"/>
    <n v="15"/>
    <n v="0"/>
    <n v="796"/>
    <x v="3"/>
  </r>
  <r>
    <x v="90"/>
    <s v="BRW-0072"/>
    <d v="2024-01-31T00:00:00"/>
    <s v="Medical Expenses"/>
    <n v="27200"/>
    <n v="36"/>
    <n v="11.88"/>
    <n v="901.87"/>
    <n v="70.400000000000006"/>
    <s v="Default"/>
    <n v="58"/>
    <n v="1"/>
    <n v="623"/>
    <x v="1"/>
  </r>
  <r>
    <x v="91"/>
    <s v="BRW-0073"/>
    <d v="2024-05-10T00:00:00"/>
    <s v="Vacation"/>
    <n v="15500"/>
    <n v="36"/>
    <n v="9.64"/>
    <n v="497.53"/>
    <n v="29.3"/>
    <s v="Paid Off"/>
    <n v="0"/>
    <n v="0"/>
    <n v="803"/>
    <x v="3"/>
  </r>
  <r>
    <x v="92"/>
    <s v="BRW-0074"/>
    <d v="2025-02-27T00:00:00"/>
    <s v="Moving"/>
    <n v="35700"/>
    <n v="60"/>
    <n v="11.14"/>
    <n v="778.7"/>
    <n v="74.900000000000006"/>
    <s v="Default"/>
    <n v="92"/>
    <n v="1"/>
    <n v="670"/>
    <x v="4"/>
  </r>
  <r>
    <x v="93"/>
    <s v="BRW-0075"/>
    <d v="2025-03-21T00:00:00"/>
    <s v="Vacation"/>
    <n v="18400"/>
    <n v="60"/>
    <n v="8.11"/>
    <n v="374.06"/>
    <n v="56.7"/>
    <s v="Late"/>
    <n v="0"/>
    <n v="0"/>
    <n v="843"/>
    <x v="3"/>
  </r>
  <r>
    <x v="94"/>
    <s v="BRW-0076"/>
    <d v="2025-04-19T00:00:00"/>
    <s v="Home Improvement"/>
    <n v="36200"/>
    <n v="48"/>
    <n v="7.99"/>
    <n v="883.58"/>
    <n v="21.1"/>
    <s v="Current"/>
    <n v="0"/>
    <n v="0"/>
    <n v="755"/>
    <x v="3"/>
  </r>
  <r>
    <x v="95"/>
    <s v="BRW-0077"/>
    <d v="2025-01-23T00:00:00"/>
    <s v="Major Purchase"/>
    <n v="4900"/>
    <n v="60"/>
    <n v="10.19"/>
    <n v="104.57"/>
    <n v="45.4"/>
    <s v="Current"/>
    <n v="0"/>
    <n v="0"/>
    <n v="820"/>
    <x v="3"/>
  </r>
  <r>
    <x v="96"/>
    <s v="BRW-0078"/>
    <d v="2024-06-01T00:00:00"/>
    <s v="Medical Expenses"/>
    <n v="45400"/>
    <n v="12"/>
    <n v="11.14"/>
    <n v="4015.49"/>
    <n v="92.5"/>
    <s v="Late"/>
    <n v="0"/>
    <n v="0"/>
    <n v="759"/>
    <x v="3"/>
  </r>
  <r>
    <x v="97"/>
    <s v="BRW-0079"/>
    <d v="2024-11-07T00:00:00"/>
    <s v="Business Loan"/>
    <n v="17200"/>
    <n v="60"/>
    <n v="13.11"/>
    <n v="392.32"/>
    <n v="37.799999999999997"/>
    <s v="Late"/>
    <n v="15"/>
    <n v="0"/>
    <n v="652"/>
    <x v="4"/>
  </r>
  <r>
    <x v="98"/>
    <s v="BRW-0080"/>
    <d v="2024-05-10T00:00:00"/>
    <s v="Home Improvement"/>
    <n v="31400"/>
    <n v="60"/>
    <n v="10.79"/>
    <n v="679.43"/>
    <n v="58.2"/>
    <s v="Paid Off"/>
    <n v="0"/>
    <n v="0"/>
    <n v="674"/>
    <x v="4"/>
  </r>
  <r>
    <x v="99"/>
    <s v="BRW-0080"/>
    <d v="2024-10-15T00:00:00"/>
    <s v="Debt Consolidation"/>
    <n v="10800"/>
    <n v="36"/>
    <n v="9.32"/>
    <n v="345.05"/>
    <n v="51.4"/>
    <s v="Paid Off"/>
    <n v="0"/>
    <n v="0"/>
    <n v="674"/>
    <x v="4"/>
  </r>
  <r>
    <x v="100"/>
    <s v="BRW-0081"/>
    <d v="2024-06-26T00:00:00"/>
    <s v="Education"/>
    <n v="21500"/>
    <n v="48"/>
    <n v="12.93"/>
    <n v="576.04"/>
    <n v="59.3"/>
    <s v="Default"/>
    <n v="78"/>
    <n v="1"/>
    <n v="588"/>
    <x v="0"/>
  </r>
  <r>
    <x v="101"/>
    <s v="BRW-0082"/>
    <d v="2024-03-14T00:00:00"/>
    <s v="Education"/>
    <n v="9400"/>
    <n v="24"/>
    <n v="6.99"/>
    <n v="420.82"/>
    <n v="51.6"/>
    <s v="Paid Off"/>
    <n v="0"/>
    <n v="0"/>
    <n v="821"/>
    <x v="3"/>
  </r>
  <r>
    <x v="102"/>
    <s v="BRW-0083"/>
    <d v="2025-03-11T00:00:00"/>
    <s v="Medical Expenses"/>
    <n v="12500"/>
    <n v="48"/>
    <n v="15.13"/>
    <n v="348.71"/>
    <n v="18.7"/>
    <s v="Current"/>
    <n v="0"/>
    <n v="0"/>
    <n v="550"/>
    <x v="0"/>
  </r>
  <r>
    <x v="103"/>
    <s v="BRW-0084"/>
    <d v="2025-05-25T00:00:00"/>
    <s v="Major Purchase"/>
    <n v="10900"/>
    <n v="60"/>
    <n v="8.84"/>
    <n v="225.42"/>
    <n v="41.2"/>
    <s v="Current"/>
    <n v="0"/>
    <n v="0"/>
    <n v="672"/>
    <x v="4"/>
  </r>
  <r>
    <x v="104"/>
    <s v="BRW-0084"/>
    <d v="2025-05-09T00:00:00"/>
    <s v="Major Purchase"/>
    <n v="29700"/>
    <n v="12"/>
    <n v="13.69"/>
    <n v="2662.35"/>
    <n v="80.2"/>
    <s v="Current"/>
    <n v="0"/>
    <n v="0"/>
    <n v="672"/>
    <x v="4"/>
  </r>
  <r>
    <x v="105"/>
    <s v="BRW-0085"/>
    <d v="2024-03-21T00:00:00"/>
    <s v="Medical Expenses"/>
    <n v="16200"/>
    <n v="36"/>
    <n v="9.39"/>
    <n v="518.1"/>
    <n v="63.7"/>
    <s v="Current"/>
    <n v="0"/>
    <n v="0"/>
    <n v="776"/>
    <x v="3"/>
  </r>
  <r>
    <x v="106"/>
    <s v="BRW-0086"/>
    <d v="2024-02-24T00:00:00"/>
    <s v="Home Improvement"/>
    <n v="26700"/>
    <n v="60"/>
    <n v="9.31"/>
    <n v="558.27"/>
    <n v="33.299999999999997"/>
    <s v="Current"/>
    <n v="0"/>
    <n v="0"/>
    <n v="735"/>
    <x v="2"/>
  </r>
  <r>
    <x v="107"/>
    <s v="BRW-0087"/>
    <d v="2024-10-28T00:00:00"/>
    <s v="Vacation"/>
    <n v="17900"/>
    <n v="36"/>
    <n v="15.64"/>
    <n v="626.13"/>
    <n v="29.3"/>
    <s v="Default"/>
    <n v="39"/>
    <n v="1"/>
    <n v="550"/>
    <x v="0"/>
  </r>
  <r>
    <x v="108"/>
    <s v="BRW-0088"/>
    <d v="2025-04-29T00:00:00"/>
    <s v="Wedding"/>
    <n v="36900"/>
    <n v="60"/>
    <n v="7.79"/>
    <n v="744.5"/>
    <n v="45.9"/>
    <s v="Late"/>
    <n v="0"/>
    <n v="0"/>
    <n v="811"/>
    <x v="3"/>
  </r>
  <r>
    <x v="109"/>
    <s v="BRW-0089"/>
    <d v="2024-10-11T00:00:00"/>
    <s v="Wedding"/>
    <n v="9100"/>
    <n v="24"/>
    <n v="12.34"/>
    <n v="429.81"/>
    <n v="26.5"/>
    <s v="Default"/>
    <n v="101"/>
    <n v="1"/>
    <n v="611"/>
    <x v="1"/>
  </r>
  <r>
    <x v="110"/>
    <s v="BRW-0090"/>
    <d v="2024-06-03T00:00:00"/>
    <s v="Auto Loan"/>
    <n v="5100"/>
    <n v="24"/>
    <n v="11.3"/>
    <n v="238.41"/>
    <n v="32.200000000000003"/>
    <s v="Current"/>
    <n v="0"/>
    <n v="0"/>
    <n v="795"/>
    <x v="3"/>
  </r>
  <r>
    <x v="111"/>
    <s v="BRW-0091"/>
    <d v="2024-03-27T00:00:00"/>
    <s v="Business Loan"/>
    <n v="18700"/>
    <n v="12"/>
    <n v="7.86"/>
    <n v="1625.47"/>
    <n v="94.1"/>
    <s v="Paid Off"/>
    <n v="0"/>
    <n v="0"/>
    <n v="831"/>
    <x v="3"/>
  </r>
  <r>
    <x v="112"/>
    <s v="BRW-0092"/>
    <d v="2024-06-20T00:00:00"/>
    <s v="Major Purchase"/>
    <n v="13400"/>
    <n v="48"/>
    <n v="14.78"/>
    <n v="371.44"/>
    <n v="65.599999999999994"/>
    <s v="Default"/>
    <n v="118"/>
    <n v="1"/>
    <n v="531"/>
    <x v="0"/>
  </r>
  <r>
    <x v="113"/>
    <s v="BRW-0092"/>
    <d v="2025-04-20T00:00:00"/>
    <s v="Debt Consolidation"/>
    <n v="34300"/>
    <n v="12"/>
    <n v="11.41"/>
    <n v="3038.05"/>
    <n v="142.30000000000001"/>
    <s v="Default"/>
    <n v="107"/>
    <n v="1"/>
    <n v="531"/>
    <x v="0"/>
  </r>
  <r>
    <x v="114"/>
    <s v="BRW-0093"/>
    <d v="2024-05-28T00:00:00"/>
    <s v="Moving"/>
    <n v="34800"/>
    <n v="48"/>
    <n v="10.54"/>
    <n v="891.67"/>
    <n v="65.2"/>
    <s v="Current"/>
    <n v="0"/>
    <n v="0"/>
    <n v="710"/>
    <x v="2"/>
  </r>
  <r>
    <x v="115"/>
    <s v="BRW-0094"/>
    <d v="2025-06-28T00:00:00"/>
    <s v="Major Purchase"/>
    <n v="48200"/>
    <n v="12"/>
    <n v="11.12"/>
    <n v="4262.6899999999996"/>
    <n v="80.8"/>
    <s v="Late"/>
    <n v="30"/>
    <n v="0"/>
    <n v="562"/>
    <x v="0"/>
  </r>
  <r>
    <x v="116"/>
    <s v="BRW-0095"/>
    <d v="2025-02-04T00:00:00"/>
    <s v="Auto Loan"/>
    <n v="14100"/>
    <n v="12"/>
    <n v="12.06"/>
    <n v="1253.1600000000001"/>
    <n v="32.200000000000003"/>
    <s v="Current"/>
    <n v="0"/>
    <n v="0"/>
    <n v="553"/>
    <x v="0"/>
  </r>
  <r>
    <x v="117"/>
    <s v="BRW-0095"/>
    <d v="2024-01-11T00:00:00"/>
    <s v="Wedding"/>
    <n v="27000"/>
    <n v="24"/>
    <n v="12.35"/>
    <n v="1275.4000000000001"/>
    <n v="32.6"/>
    <s v="Current"/>
    <n v="0"/>
    <n v="0"/>
    <n v="553"/>
    <x v="0"/>
  </r>
  <r>
    <x v="118"/>
    <s v="BRW-0096"/>
    <d v="2024-02-04T00:00:00"/>
    <s v="Home Improvement"/>
    <n v="10300"/>
    <n v="36"/>
    <n v="11.29"/>
    <n v="338.63"/>
    <n v="61.8"/>
    <s v="Default"/>
    <n v="53"/>
    <n v="1"/>
    <n v="598"/>
    <x v="0"/>
  </r>
  <r>
    <x v="119"/>
    <s v="BRW-0097"/>
    <d v="2024-05-02T00:00:00"/>
    <s v="Wedding"/>
    <n v="42100"/>
    <n v="60"/>
    <n v="11.56"/>
    <n v="927.16"/>
    <n v="68.099999999999994"/>
    <s v="Default"/>
    <n v="63"/>
    <n v="1"/>
    <n v="698"/>
    <x v="4"/>
  </r>
  <r>
    <x v="120"/>
    <s v="BRW-0098"/>
    <d v="2024-09-16T00:00:00"/>
    <s v="Wedding"/>
    <n v="10900"/>
    <n v="12"/>
    <n v="9.31"/>
    <n v="954.79"/>
    <n v="72.8"/>
    <s v="Current"/>
    <n v="0"/>
    <n v="0"/>
    <n v="850"/>
    <x v="3"/>
  </r>
  <r>
    <x v="121"/>
    <s v="BRW-0099"/>
    <d v="2024-03-16T00:00:00"/>
    <s v="Auto Loan"/>
    <n v="35200"/>
    <n v="36"/>
    <n v="9.82"/>
    <n v="1132.83"/>
    <n v="42.6"/>
    <s v="Default"/>
    <n v="45"/>
    <n v="1"/>
    <n v="688"/>
    <x v="4"/>
  </r>
  <r>
    <x v="122"/>
    <s v="BRW-0100"/>
    <d v="2024-03-12T00:00:00"/>
    <s v="Education"/>
    <n v="14400"/>
    <n v="36"/>
    <n v="10.52"/>
    <n v="468.17"/>
    <n v="49.3"/>
    <s v="Late"/>
    <n v="15"/>
    <n v="0"/>
    <n v="622"/>
    <x v="1"/>
  </r>
  <r>
    <x v="123"/>
    <s v="BRW-0101"/>
    <d v="2024-04-18T00:00:00"/>
    <s v="Vacation"/>
    <n v="8000"/>
    <n v="48"/>
    <n v="6.93"/>
    <n v="191.31"/>
    <n v="52.7"/>
    <s v="Current"/>
    <n v="0"/>
    <n v="0"/>
    <n v="850"/>
    <x v="3"/>
  </r>
  <r>
    <x v="124"/>
    <s v="BRW-0102"/>
    <d v="2024-06-01T00:00:00"/>
    <s v="Wedding"/>
    <n v="39300"/>
    <n v="12"/>
    <n v="12.63"/>
    <n v="3503.35"/>
    <n v="88.9"/>
    <s v="Current"/>
    <n v="0"/>
    <n v="0"/>
    <n v="711"/>
    <x v="2"/>
  </r>
  <r>
    <x v="125"/>
    <s v="BRW-0103"/>
    <d v="2025-05-17T00:00:00"/>
    <s v="Medical Expenses"/>
    <n v="40800"/>
    <n v="60"/>
    <n v="9.25"/>
    <n v="851.9"/>
    <n v="65.900000000000006"/>
    <s v="Paid Off"/>
    <n v="0"/>
    <n v="0"/>
    <n v="646"/>
    <x v="1"/>
  </r>
  <r>
    <x v="126"/>
    <s v="BRW-0104"/>
    <d v="2025-01-02T00:00:00"/>
    <s v="Home Improvement"/>
    <n v="2200"/>
    <n v="48"/>
    <n v="6.79"/>
    <n v="52.47"/>
    <n v="50.9"/>
    <s v="Current"/>
    <n v="0"/>
    <n v="0"/>
    <n v="829"/>
    <x v="3"/>
  </r>
  <r>
    <x v="127"/>
    <s v="BRW-0104"/>
    <d v="2025-04-15T00:00:00"/>
    <s v="Home Improvement"/>
    <n v="43000"/>
    <n v="36"/>
    <n v="6.59"/>
    <n v="1319.67"/>
    <n v="66.8"/>
    <s v="Current"/>
    <n v="0"/>
    <n v="0"/>
    <n v="829"/>
    <x v="3"/>
  </r>
  <r>
    <x v="128"/>
    <s v="BRW-0105"/>
    <d v="2025-01-02T00:00:00"/>
    <s v="Major Purchase"/>
    <n v="16300"/>
    <n v="48"/>
    <n v="13.45"/>
    <n v="440.94"/>
    <n v="45.3"/>
    <s v="Late"/>
    <n v="15"/>
    <n v="0"/>
    <n v="662"/>
    <x v="4"/>
  </r>
  <r>
    <x v="129"/>
    <s v="BRW-0106"/>
    <d v="2025-02-02T00:00:00"/>
    <s v="Debt Consolidation"/>
    <n v="18500"/>
    <n v="60"/>
    <n v="7.03"/>
    <n v="366.58"/>
    <n v="32.6"/>
    <s v="Default"/>
    <n v="168"/>
    <n v="1"/>
    <n v="850"/>
    <x v="3"/>
  </r>
  <r>
    <x v="130"/>
    <s v="BRW-0107"/>
    <d v="2024-01-17T00:00:00"/>
    <s v="Vacation"/>
    <n v="38600"/>
    <n v="48"/>
    <n v="14.52"/>
    <n v="1064.9000000000001"/>
    <n v="49.5"/>
    <s v="Default"/>
    <n v="44"/>
    <n v="1"/>
    <n v="619"/>
    <x v="1"/>
  </r>
  <r>
    <x v="131"/>
    <s v="BRW-0108"/>
    <d v="2024-06-01T00:00:00"/>
    <s v="Debt Consolidation"/>
    <n v="12200"/>
    <n v="60"/>
    <n v="9.2799999999999994"/>
    <n v="254.91"/>
    <n v="32.4"/>
    <s v="Current"/>
    <n v="0"/>
    <n v="0"/>
    <n v="781"/>
    <x v="3"/>
  </r>
  <r>
    <x v="132"/>
    <s v="BRW-0109"/>
    <d v="2024-05-13T00:00:00"/>
    <s v="Vacation"/>
    <n v="17200"/>
    <n v="60"/>
    <n v="8.1"/>
    <n v="349.58"/>
    <n v="38"/>
    <s v="Default"/>
    <n v="42"/>
    <n v="1"/>
    <n v="728"/>
    <x v="2"/>
  </r>
  <r>
    <x v="133"/>
    <s v="BRW-0110"/>
    <d v="2024-04-18T00:00:00"/>
    <s v="Home Improvement"/>
    <n v="10200"/>
    <n v="60"/>
    <n v="9.09"/>
    <n v="212.18"/>
    <n v="13.5"/>
    <s v="Default"/>
    <n v="86"/>
    <n v="1"/>
    <n v="674"/>
    <x v="4"/>
  </r>
  <r>
    <x v="134"/>
    <s v="BRW-0110"/>
    <d v="2024-05-20T00:00:00"/>
    <s v="Home Improvement"/>
    <n v="22500"/>
    <n v="48"/>
    <n v="10.39"/>
    <n v="574.88"/>
    <n v="18.7"/>
    <s v="Late"/>
    <n v="30"/>
    <n v="0"/>
    <n v="674"/>
    <x v="4"/>
  </r>
  <r>
    <x v="135"/>
    <s v="BRW-0111"/>
    <d v="2024-06-21T00:00:00"/>
    <s v="Medical Expenses"/>
    <n v="6500"/>
    <n v="24"/>
    <n v="12.17"/>
    <n v="306.49"/>
    <n v="57.1"/>
    <s v="Current"/>
    <n v="0"/>
    <n v="0"/>
    <n v="697"/>
    <x v="4"/>
  </r>
  <r>
    <x v="136"/>
    <s v="BRW-0112"/>
    <d v="2024-06-10T00:00:00"/>
    <s v="Debt Consolidation"/>
    <n v="16200"/>
    <n v="60"/>
    <n v="12.73"/>
    <n v="366.36"/>
    <n v="59.5"/>
    <s v="Default"/>
    <n v="154"/>
    <n v="1"/>
    <n v="549"/>
    <x v="0"/>
  </r>
  <r>
    <x v="137"/>
    <s v="BRW-0112"/>
    <d v="2024-10-17T00:00:00"/>
    <s v="Home Improvement"/>
    <n v="4000"/>
    <n v="12"/>
    <n v="14.38"/>
    <n v="359.86"/>
    <n v="59.3"/>
    <s v="Default"/>
    <n v="151"/>
    <n v="1"/>
    <n v="549"/>
    <x v="0"/>
  </r>
  <r>
    <x v="138"/>
    <s v="BRW-0113"/>
    <d v="2024-06-27T00:00:00"/>
    <s v="Business Loan"/>
    <n v="14400"/>
    <n v="48"/>
    <n v="8.3800000000000008"/>
    <n v="354.12"/>
    <n v="29.9"/>
    <s v="Current"/>
    <n v="0"/>
    <n v="0"/>
    <n v="821"/>
    <x v="3"/>
  </r>
  <r>
    <x v="139"/>
    <s v="BRW-0114"/>
    <d v="2024-08-29T00:00:00"/>
    <s v="Home Improvement"/>
    <n v="39600"/>
    <n v="36"/>
    <n v="10.79"/>
    <n v="1292.52"/>
    <n v="73.400000000000006"/>
    <s v="Default"/>
    <n v="165"/>
    <n v="1"/>
    <n v="678"/>
    <x v="4"/>
  </r>
  <r>
    <x v="140"/>
    <s v="BRW-0115"/>
    <d v="2025-04-20T00:00:00"/>
    <s v="Wedding"/>
    <n v="23700"/>
    <n v="60"/>
    <n v="8.3699999999999992"/>
    <n v="484.76"/>
    <n v="25.1"/>
    <s v="Current"/>
    <n v="0"/>
    <n v="0"/>
    <n v="850"/>
    <x v="3"/>
  </r>
  <r>
    <x v="141"/>
    <s v="BRW-0115"/>
    <d v="2024-06-12T00:00:00"/>
    <s v="Business Loan"/>
    <n v="4400"/>
    <n v="48"/>
    <n v="8.32"/>
    <n v="108.08"/>
    <n v="14.2"/>
    <s v="Late"/>
    <n v="0"/>
    <n v="0"/>
    <n v="850"/>
    <x v="3"/>
  </r>
  <r>
    <x v="142"/>
    <s v="BRW-0116"/>
    <d v="2024-02-23T00:00:00"/>
    <s v="Major Purchase"/>
    <n v="17400"/>
    <n v="48"/>
    <n v="11.22"/>
    <n v="451.57"/>
    <n v="56.4"/>
    <s v="Paid Off"/>
    <n v="0"/>
    <n v="0"/>
    <n v="540"/>
    <x v="0"/>
  </r>
  <r>
    <x v="143"/>
    <s v="BRW-0117"/>
    <d v="2024-11-29T00:00:00"/>
    <s v="Home Improvement"/>
    <n v="4200"/>
    <n v="48"/>
    <n v="12.38"/>
    <n v="111.39"/>
    <n v="39.299999999999997"/>
    <s v="Paid Off"/>
    <n v="0"/>
    <n v="0"/>
    <n v="635"/>
    <x v="1"/>
  </r>
  <r>
    <x v="144"/>
    <s v="BRW-0118"/>
    <d v="2025-01-19T00:00:00"/>
    <s v="Home Improvement"/>
    <n v="6300"/>
    <n v="48"/>
    <n v="13.3"/>
    <n v="169.95"/>
    <n v="8.8000000000000007"/>
    <s v="Current"/>
    <n v="0"/>
    <n v="0"/>
    <n v="663"/>
    <x v="4"/>
  </r>
  <r>
    <x v="145"/>
    <s v="BRW-0119"/>
    <d v="2025-01-17T00:00:00"/>
    <s v="Major Purchase"/>
    <n v="25400"/>
    <n v="48"/>
    <n v="10.99"/>
    <n v="656.35"/>
    <n v="41.1"/>
    <s v="Default"/>
    <n v="79"/>
    <n v="1"/>
    <n v="594"/>
    <x v="0"/>
  </r>
  <r>
    <x v="146"/>
    <s v="BRW-0120"/>
    <d v="2024-05-19T00:00:00"/>
    <s v="Auto Loan"/>
    <n v="6800"/>
    <n v="60"/>
    <n v="6.15"/>
    <n v="131.94"/>
    <n v="33.200000000000003"/>
    <s v="Default"/>
    <n v="149"/>
    <n v="1"/>
    <n v="849"/>
    <x v="3"/>
  </r>
  <r>
    <x v="147"/>
    <s v="BRW-0121"/>
    <d v="2024-06-23T00:00:00"/>
    <s v="Medical Expenses"/>
    <n v="12600"/>
    <n v="36"/>
    <n v="10.52"/>
    <n v="409.65"/>
    <n v="31.9"/>
    <s v="Current"/>
    <n v="0"/>
    <n v="0"/>
    <n v="750"/>
    <x v="3"/>
  </r>
  <r>
    <x v="148"/>
    <s v="BRW-0122"/>
    <d v="2025-04-18T00:00:00"/>
    <s v="Moving"/>
    <n v="31100"/>
    <n v="60"/>
    <n v="8.3000000000000007"/>
    <n v="635.07000000000005"/>
    <n v="49.3"/>
    <s v="Paid Off"/>
    <n v="0"/>
    <n v="0"/>
    <n v="844"/>
    <x v="3"/>
  </r>
  <r>
    <x v="149"/>
    <s v="BRW-0123"/>
    <d v="2024-01-06T00:00:00"/>
    <s v="Education"/>
    <n v="10300"/>
    <n v="60"/>
    <n v="11.2"/>
    <n v="224.98"/>
    <n v="27.6"/>
    <s v="Paid Off"/>
    <n v="0"/>
    <n v="0"/>
    <n v="812"/>
    <x v="3"/>
  </r>
  <r>
    <x v="150"/>
    <s v="BRW-0124"/>
    <d v="2024-04-10T00:00:00"/>
    <s v="Moving"/>
    <n v="11900"/>
    <n v="48"/>
    <n v="12.47"/>
    <n v="316.13"/>
    <n v="35"/>
    <s v="Current"/>
    <n v="0"/>
    <n v="0"/>
    <n v="695"/>
    <x v="4"/>
  </r>
  <r>
    <x v="151"/>
    <s v="BRW-0125"/>
    <d v="2024-04-02T00:00:00"/>
    <s v="Major Purchase"/>
    <n v="8400"/>
    <n v="36"/>
    <n v="9.11"/>
    <n v="267.55"/>
    <n v="38.200000000000003"/>
    <s v="Default"/>
    <n v="108"/>
    <n v="1"/>
    <n v="725"/>
    <x v="2"/>
  </r>
  <r>
    <x v="152"/>
    <s v="BRW-0126"/>
    <d v="2025-04-19T00:00:00"/>
    <s v="Vacation"/>
    <n v="37900"/>
    <n v="12"/>
    <n v="12.45"/>
    <n v="3375.35"/>
    <n v="98.6"/>
    <s v="Late"/>
    <n v="15"/>
    <n v="0"/>
    <n v="746"/>
    <x v="2"/>
  </r>
  <r>
    <x v="153"/>
    <s v="BRW-0127"/>
    <d v="2024-03-13T00:00:00"/>
    <s v="Education"/>
    <n v="30000"/>
    <n v="12"/>
    <n v="14.64"/>
    <n v="2702.66"/>
    <n v="100.5"/>
    <s v="Default"/>
    <n v="115"/>
    <n v="1"/>
    <n v="580"/>
    <x v="0"/>
  </r>
  <r>
    <x v="154"/>
    <s v="BRW-0128"/>
    <d v="2024-07-31T00:00:00"/>
    <s v="Auto Loan"/>
    <n v="14900"/>
    <n v="60"/>
    <n v="8.5500000000000007"/>
    <n v="306.06"/>
    <n v="21"/>
    <s v="Paid Off"/>
    <n v="0"/>
    <n v="0"/>
    <n v="850"/>
    <x v="3"/>
  </r>
  <r>
    <x v="155"/>
    <s v="BRW-0129"/>
    <d v="2024-04-23T00:00:00"/>
    <s v="Debt Consolidation"/>
    <n v="45700"/>
    <n v="36"/>
    <n v="12.54"/>
    <n v="1529.71"/>
    <n v="50.5"/>
    <s v="Current"/>
    <n v="0"/>
    <n v="0"/>
    <n v="714"/>
    <x v="2"/>
  </r>
  <r>
    <x v="156"/>
    <s v="BRW-0130"/>
    <d v="2024-12-08T00:00:00"/>
    <s v="Moving"/>
    <n v="25000"/>
    <n v="24"/>
    <n v="7.43"/>
    <n v="1124.19"/>
    <n v="59.5"/>
    <s v="Current"/>
    <n v="0"/>
    <n v="0"/>
    <n v="796"/>
    <x v="3"/>
  </r>
  <r>
    <x v="157"/>
    <s v="BRW-0131"/>
    <d v="2024-09-30T00:00:00"/>
    <s v="Wedding"/>
    <n v="32900"/>
    <n v="24"/>
    <n v="12.42"/>
    <n v="1555.18"/>
    <n v="63.7"/>
    <s v="Current"/>
    <n v="0"/>
    <n v="0"/>
    <n v="551"/>
    <x v="0"/>
  </r>
  <r>
    <x v="158"/>
    <s v="BRW-0131"/>
    <d v="2025-04-26T00:00:00"/>
    <s v="Education"/>
    <n v="12900"/>
    <n v="60"/>
    <n v="14.96"/>
    <n v="306.62"/>
    <n v="19.8"/>
    <s v="Current"/>
    <n v="0"/>
    <n v="0"/>
    <n v="551"/>
    <x v="0"/>
  </r>
  <r>
    <x v="159"/>
    <s v="BRW-0132"/>
    <d v="2025-04-13T00:00:00"/>
    <s v="Wedding"/>
    <n v="34300"/>
    <n v="12"/>
    <n v="9.7100000000000009"/>
    <n v="3010.89"/>
    <n v="63"/>
    <s v="Default"/>
    <n v="130"/>
    <n v="1"/>
    <n v="674"/>
    <x v="4"/>
  </r>
  <r>
    <x v="160"/>
    <s v="BRW-0133"/>
    <d v="2024-05-31T00:00:00"/>
    <s v="Auto Loan"/>
    <n v="5700"/>
    <n v="24"/>
    <n v="12"/>
    <n v="268.32"/>
    <n v="19.100000000000001"/>
    <s v="Late"/>
    <n v="15"/>
    <n v="0"/>
    <n v="563"/>
    <x v="0"/>
  </r>
  <r>
    <x v="161"/>
    <s v="BRW-0133"/>
    <d v="2025-04-30T00:00:00"/>
    <s v="Debt Consolidation"/>
    <n v="48500"/>
    <n v="60"/>
    <n v="15.28"/>
    <n v="1160.95"/>
    <n v="32"/>
    <s v="Late"/>
    <n v="0"/>
    <n v="0"/>
    <n v="563"/>
    <x v="0"/>
  </r>
  <r>
    <x v="162"/>
    <s v="BRW-0134"/>
    <d v="2025-02-25T00:00:00"/>
    <s v="Home Improvement"/>
    <n v="21200"/>
    <n v="60"/>
    <n v="13.29"/>
    <n v="485.52"/>
    <n v="31.3"/>
    <s v="Paid Off"/>
    <n v="0"/>
    <n v="0"/>
    <n v="596"/>
    <x v="0"/>
  </r>
  <r>
    <x v="163"/>
    <s v="BRW-0135"/>
    <d v="2024-11-09T00:00:00"/>
    <s v="Moving"/>
    <n v="20400"/>
    <n v="36"/>
    <n v="11.07"/>
    <n v="668.55"/>
    <n v="30.1"/>
    <s v="Current"/>
    <n v="0"/>
    <n v="0"/>
    <n v="706"/>
    <x v="2"/>
  </r>
  <r>
    <x v="164"/>
    <s v="BRW-0136"/>
    <d v="2024-06-13T00:00:00"/>
    <s v="Debt Consolidation"/>
    <n v="9200"/>
    <n v="24"/>
    <n v="8.93"/>
    <n v="420"/>
    <n v="30.1"/>
    <s v="Paid Off"/>
    <n v="0"/>
    <n v="0"/>
    <n v="850"/>
    <x v="3"/>
  </r>
  <r>
    <x v="165"/>
    <s v="BRW-0136"/>
    <d v="2025-03-27T00:00:00"/>
    <s v="Medical Expenses"/>
    <n v="5100"/>
    <n v="36"/>
    <n v="8.7100000000000009"/>
    <n v="161.49"/>
    <n v="24.6"/>
    <s v="Current"/>
    <n v="0"/>
    <n v="0"/>
    <n v="850"/>
    <x v="3"/>
  </r>
  <r>
    <x v="166"/>
    <s v="BRW-0137"/>
    <d v="2024-06-15T00:00:00"/>
    <s v="Education"/>
    <n v="9100"/>
    <n v="48"/>
    <n v="10.07"/>
    <n v="231.11"/>
    <n v="13.3"/>
    <s v="Current"/>
    <n v="0"/>
    <n v="0"/>
    <n v="758"/>
    <x v="3"/>
  </r>
  <r>
    <x v="167"/>
    <s v="BRW-0138"/>
    <d v="2025-06-03T00:00:00"/>
    <s v="Medical Expenses"/>
    <n v="46500"/>
    <n v="24"/>
    <n v="10.199999999999999"/>
    <n v="2150.0300000000002"/>
    <n v="71.5"/>
    <s v="Default"/>
    <n v="105"/>
    <n v="1"/>
    <n v="589"/>
    <x v="0"/>
  </r>
  <r>
    <x v="168"/>
    <s v="BRW-0138"/>
    <d v="2025-03-28T00:00:00"/>
    <s v="Vacation"/>
    <n v="48500"/>
    <n v="60"/>
    <n v="13.52"/>
    <n v="1116.48"/>
    <n v="61.3"/>
    <s v="Default"/>
    <n v="58"/>
    <n v="1"/>
    <n v="589"/>
    <x v="0"/>
  </r>
  <r>
    <x v="169"/>
    <s v="BRW-0139"/>
    <d v="2024-08-13T00:00:00"/>
    <s v="Debt Consolidation"/>
    <n v="13500"/>
    <n v="36"/>
    <n v="10.039999999999999"/>
    <n v="435.86"/>
    <n v="45.8"/>
    <s v="Current"/>
    <n v="0"/>
    <n v="0"/>
    <n v="605"/>
    <x v="1"/>
  </r>
  <r>
    <x v="170"/>
    <s v="BRW-0140"/>
    <d v="2024-03-26T00:00:00"/>
    <s v="Wedding"/>
    <n v="19900"/>
    <n v="36"/>
    <n v="8.2799999999999994"/>
    <n v="626.16999999999996"/>
    <n v="64.900000000000006"/>
    <s v="Late"/>
    <n v="0"/>
    <n v="0"/>
    <n v="762"/>
    <x v="3"/>
  </r>
  <r>
    <x v="171"/>
    <s v="BRW-0141"/>
    <d v="2024-02-27T00:00:00"/>
    <s v="Moving"/>
    <n v="11000"/>
    <n v="60"/>
    <n v="10.53"/>
    <n v="236.6"/>
    <n v="29.5"/>
    <s v="Current"/>
    <n v="0"/>
    <n v="0"/>
    <n v="750"/>
    <x v="3"/>
  </r>
  <r>
    <x v="172"/>
    <s v="BRW-0142"/>
    <d v="2025-04-01T00:00:00"/>
    <s v="Education"/>
    <n v="2600"/>
    <n v="36"/>
    <n v="12.52"/>
    <n v="87"/>
    <n v="49.7"/>
    <s v="Paid Off"/>
    <n v="0"/>
    <n v="0"/>
    <n v="554"/>
    <x v="0"/>
  </r>
  <r>
    <x v="173"/>
    <s v="BRW-0142"/>
    <d v="2025-03-10T00:00:00"/>
    <s v="Vacation"/>
    <n v="21900"/>
    <n v="48"/>
    <n v="12.21"/>
    <n v="578.97"/>
    <n v="58.1"/>
    <s v="Paid Off"/>
    <n v="0"/>
    <n v="0"/>
    <n v="554"/>
    <x v="0"/>
  </r>
  <r>
    <x v="174"/>
    <s v="BRW-0143"/>
    <d v="2024-03-08T00:00:00"/>
    <s v="Medical Expenses"/>
    <n v="19300"/>
    <n v="60"/>
    <n v="11.3"/>
    <n v="422.52"/>
    <n v="21.6"/>
    <s v="Current"/>
    <n v="0"/>
    <n v="0"/>
    <n v="818"/>
    <x v="3"/>
  </r>
  <r>
    <x v="175"/>
    <s v="BRW-0144"/>
    <d v="2024-05-20T00:00:00"/>
    <s v="Auto Loan"/>
    <n v="20600"/>
    <n v="60"/>
    <n v="14.08"/>
    <n v="480.18"/>
    <n v="26.5"/>
    <s v="Default"/>
    <n v="127"/>
    <n v="1"/>
    <n v="582"/>
    <x v="0"/>
  </r>
  <r>
    <x v="176"/>
    <s v="BRW-0145"/>
    <d v="2025-04-19T00:00:00"/>
    <s v="Vacation"/>
    <n v="17700"/>
    <n v="60"/>
    <n v="7.49"/>
    <n v="354.59"/>
    <n v="32.6"/>
    <s v="Current"/>
    <n v="0"/>
    <n v="0"/>
    <n v="842"/>
    <x v="3"/>
  </r>
  <r>
    <x v="177"/>
    <s v="BRW-0146"/>
    <d v="2025-05-18T00:00:00"/>
    <s v="Vacation"/>
    <n v="24800"/>
    <n v="36"/>
    <n v="10.24"/>
    <n v="803.02"/>
    <n v="31.1"/>
    <s v="Current"/>
    <n v="0"/>
    <n v="0"/>
    <n v="711"/>
    <x v="2"/>
  </r>
  <r>
    <x v="178"/>
    <s v="BRW-0147"/>
    <d v="2025-03-22T00:00:00"/>
    <s v="Vacation"/>
    <n v="5200"/>
    <n v="36"/>
    <n v="12.72"/>
    <n v="174.51"/>
    <n v="25.8"/>
    <s v="Current"/>
    <n v="0"/>
    <n v="0"/>
    <n v="611"/>
    <x v="1"/>
  </r>
  <r>
    <x v="179"/>
    <s v="BRW-0148"/>
    <d v="2024-06-15T00:00:00"/>
    <s v="Home Improvement"/>
    <n v="37200"/>
    <n v="12"/>
    <n v="14.59"/>
    <n v="3350.42"/>
    <n v="96.8"/>
    <s v="Current"/>
    <n v="0"/>
    <n v="0"/>
    <n v="578"/>
    <x v="0"/>
  </r>
  <r>
    <x v="180"/>
    <s v="BRW-0149"/>
    <d v="2024-12-30T00:00:00"/>
    <s v="Education"/>
    <n v="12800"/>
    <n v="48"/>
    <n v="9.6999999999999993"/>
    <n v="322.8"/>
    <n v="10.5"/>
    <s v="Default"/>
    <n v="104"/>
    <n v="1"/>
    <n v="809"/>
    <x v="3"/>
  </r>
  <r>
    <x v="181"/>
    <s v="BRW-0150"/>
    <d v="2024-06-20T00:00:00"/>
    <s v="Home Improvement"/>
    <n v="38800"/>
    <n v="24"/>
    <n v="10.86"/>
    <n v="1805.86"/>
    <n v="58.6"/>
    <s v="Late"/>
    <n v="15"/>
    <n v="0"/>
    <n v="778"/>
    <x v="3"/>
  </r>
  <r>
    <x v="182"/>
    <s v="BRW-0151"/>
    <d v="2024-12-26T00:00:00"/>
    <s v="Auto Loan"/>
    <n v="35500"/>
    <n v="36"/>
    <n v="7"/>
    <n v="1096.1400000000001"/>
    <n v="26.5"/>
    <s v="Current"/>
    <n v="0"/>
    <n v="0"/>
    <n v="809"/>
    <x v="3"/>
  </r>
  <r>
    <x v="183"/>
    <s v="BRW-0152"/>
    <d v="2024-06-07T00:00:00"/>
    <s v="Vacation"/>
    <n v="34400"/>
    <n v="24"/>
    <n v="6.36"/>
    <n v="1530.22"/>
    <n v="64.8"/>
    <s v="Paid Off"/>
    <n v="0"/>
    <n v="0"/>
    <n v="849"/>
    <x v="3"/>
  </r>
  <r>
    <x v="184"/>
    <s v="BRW-0153"/>
    <d v="2024-03-19T00:00:00"/>
    <s v="Moving"/>
    <n v="36200"/>
    <n v="12"/>
    <n v="9.35"/>
    <n v="3171.62"/>
    <n v="103.5"/>
    <s v="Default"/>
    <n v="63"/>
    <n v="1"/>
    <n v="764"/>
    <x v="3"/>
  </r>
  <r>
    <x v="185"/>
    <s v="BRW-0154"/>
    <d v="2025-06-19T00:00:00"/>
    <s v="Vacation"/>
    <n v="31400"/>
    <n v="24"/>
    <n v="11.24"/>
    <n v="1466.99"/>
    <n v="54.3"/>
    <s v="Paid Off"/>
    <n v="0"/>
    <n v="0"/>
    <n v="771"/>
    <x v="3"/>
  </r>
  <r>
    <x v="186"/>
    <s v="BRW-0154"/>
    <d v="2024-05-25T00:00:00"/>
    <s v="Debt Consolidation"/>
    <n v="7700"/>
    <n v="24"/>
    <n v="11.43"/>
    <n v="360.42"/>
    <n v="32.9"/>
    <s v="Current"/>
    <n v="0"/>
    <n v="0"/>
    <n v="771"/>
    <x v="3"/>
  </r>
  <r>
    <x v="187"/>
    <s v="BRW-0155"/>
    <d v="2025-05-10T00:00:00"/>
    <s v="Major Purchase"/>
    <n v="39600"/>
    <n v="12"/>
    <n v="9.0399999999999991"/>
    <n v="3463.81"/>
    <n v="114.2"/>
    <s v="Current"/>
    <n v="0"/>
    <n v="0"/>
    <n v="663"/>
    <x v="4"/>
  </r>
  <r>
    <x v="188"/>
    <s v="BRW-0155"/>
    <d v="2024-11-04T00:00:00"/>
    <s v="Moving"/>
    <n v="24500"/>
    <n v="36"/>
    <n v="9.17"/>
    <n v="781.03"/>
    <n v="65.8"/>
    <s v="Paid Off"/>
    <n v="0"/>
    <n v="0"/>
    <n v="663"/>
    <x v="4"/>
  </r>
  <r>
    <x v="189"/>
    <s v="BRW-0156"/>
    <d v="2024-05-29T00:00:00"/>
    <s v="Business Loan"/>
    <n v="11600"/>
    <n v="36"/>
    <n v="9.86"/>
    <n v="373.54"/>
    <n v="32.5"/>
    <s v="Late"/>
    <n v="15"/>
    <n v="0"/>
    <n v="617"/>
    <x v="1"/>
  </r>
  <r>
    <x v="190"/>
    <s v="BRW-0156"/>
    <d v="2024-03-10T00:00:00"/>
    <s v="Education"/>
    <n v="43000"/>
    <n v="60"/>
    <n v="10.93"/>
    <n v="933.42"/>
    <n v="41"/>
    <s v="Default"/>
    <n v="178"/>
    <n v="1"/>
    <n v="617"/>
    <x v="1"/>
  </r>
  <r>
    <x v="191"/>
    <s v="BRW-0157"/>
    <d v="2024-01-05T00:00:00"/>
    <s v="Moving"/>
    <n v="11200"/>
    <n v="36"/>
    <n v="8.16"/>
    <n v="351.79"/>
    <n v="57.9"/>
    <s v="Current"/>
    <n v="0"/>
    <n v="0"/>
    <n v="762"/>
    <x v="3"/>
  </r>
  <r>
    <x v="192"/>
    <s v="BRW-0158"/>
    <d v="2024-04-19T00:00:00"/>
    <s v="Vacation"/>
    <n v="15600"/>
    <n v="48"/>
    <n v="11.77"/>
    <n v="409.05"/>
    <n v="60.9"/>
    <s v="Default"/>
    <n v="120"/>
    <n v="1"/>
    <n v="696"/>
    <x v="4"/>
  </r>
  <r>
    <x v="193"/>
    <s v="BRW-0159"/>
    <d v="2024-11-17T00:00:00"/>
    <s v="Major Purchase"/>
    <n v="12900"/>
    <n v="12"/>
    <n v="9.64"/>
    <n v="1131.96"/>
    <n v="61.1"/>
    <s v="Default"/>
    <n v="58"/>
    <n v="1"/>
    <n v="850"/>
    <x v="3"/>
  </r>
  <r>
    <x v="194"/>
    <s v="BRW-0159"/>
    <d v="2024-02-11T00:00:00"/>
    <s v="Moving"/>
    <n v="34000"/>
    <n v="36"/>
    <n v="8.6199999999999992"/>
    <n v="1075.19"/>
    <n v="60.4"/>
    <s v="Default"/>
    <n v="156"/>
    <n v="1"/>
    <n v="850"/>
    <x v="3"/>
  </r>
  <r>
    <x v="195"/>
    <s v="BRW-0160"/>
    <d v="2025-02-21T00:00:00"/>
    <s v="Auto Loan"/>
    <n v="31800"/>
    <n v="48"/>
    <n v="9.85"/>
    <n v="804.24"/>
    <n v="56.2"/>
    <s v="Default"/>
    <n v="139"/>
    <n v="1"/>
    <n v="677"/>
    <x v="4"/>
  </r>
  <r>
    <x v="196"/>
    <s v="BRW-0161"/>
    <d v="2025-05-18T00:00:00"/>
    <s v="Home Improvement"/>
    <n v="40500"/>
    <n v="36"/>
    <n v="6.81"/>
    <n v="1247.01"/>
    <n v="56.1"/>
    <s v="Current"/>
    <n v="0"/>
    <n v="0"/>
    <n v="845"/>
    <x v="3"/>
  </r>
  <r>
    <x v="197"/>
    <s v="BRW-0162"/>
    <d v="2024-06-21T00:00:00"/>
    <s v="Home Improvement"/>
    <n v="7000"/>
    <n v="60"/>
    <n v="12.59"/>
    <n v="157.81"/>
    <n v="29.2"/>
    <s v="Default"/>
    <n v="80"/>
    <n v="1"/>
    <n v="738"/>
    <x v="2"/>
  </r>
  <r>
    <x v="198"/>
    <s v="BRW-0163"/>
    <d v="2025-05-26T00:00:00"/>
    <s v="Wedding"/>
    <n v="21400"/>
    <n v="24"/>
    <n v="15.11"/>
    <n v="1038.73"/>
    <n v="71.099999999999994"/>
    <s v="Default"/>
    <n v="178"/>
    <n v="1"/>
    <n v="545"/>
    <x v="0"/>
  </r>
  <r>
    <x v="199"/>
    <s v="BRW-0164"/>
    <d v="2025-06-07T00:00:00"/>
    <s v="Major Purchase"/>
    <n v="30000"/>
    <n v="48"/>
    <n v="13.97"/>
    <n v="819.34"/>
    <n v="27.9"/>
    <s v="Current"/>
    <n v="0"/>
    <n v="0"/>
    <n v="658"/>
    <x v="4"/>
  </r>
  <r>
    <x v="200"/>
    <s v="BRW-0165"/>
    <d v="2024-02-24T00:00:00"/>
    <s v="Vacation"/>
    <n v="28300"/>
    <n v="12"/>
    <n v="7.71"/>
    <n v="2457.98"/>
    <n v="65.099999999999994"/>
    <s v="Current"/>
    <n v="0"/>
    <n v="0"/>
    <n v="767"/>
    <x v="3"/>
  </r>
  <r>
    <x v="201"/>
    <s v="BRW-0166"/>
    <d v="2024-03-19T00:00:00"/>
    <s v="Wedding"/>
    <n v="9300"/>
    <n v="60"/>
    <n v="13.93"/>
    <n v="216.06"/>
    <n v="50.9"/>
    <s v="Current"/>
    <n v="0"/>
    <n v="0"/>
    <n v="551"/>
    <x v="0"/>
  </r>
  <r>
    <x v="202"/>
    <s v="BRW-0167"/>
    <d v="2024-01-19T00:00:00"/>
    <s v="Auto Loan"/>
    <n v="21500"/>
    <n v="36"/>
    <n v="10.93"/>
    <n v="703.17"/>
    <n v="67"/>
    <s v="Current"/>
    <n v="0"/>
    <n v="0"/>
    <n v="707"/>
    <x v="2"/>
  </r>
  <r>
    <x v="203"/>
    <s v="BRW-0168"/>
    <d v="2024-02-03T00:00:00"/>
    <s v="Major Purchase"/>
    <n v="42900"/>
    <n v="48"/>
    <n v="9.85"/>
    <n v="1084.97"/>
    <n v="33.299999999999997"/>
    <s v="Paid Off"/>
    <n v="0"/>
    <n v="0"/>
    <n v="747"/>
    <x v="2"/>
  </r>
  <r>
    <x v="204"/>
    <s v="BRW-0168"/>
    <d v="2024-04-22T00:00:00"/>
    <s v="Medical Expenses"/>
    <n v="8500"/>
    <n v="48"/>
    <n v="9.99"/>
    <n v="215.54"/>
    <n v="25.3"/>
    <s v="Current"/>
    <n v="0"/>
    <n v="0"/>
    <n v="747"/>
    <x v="2"/>
  </r>
  <r>
    <x v="205"/>
    <s v="BRW-0169"/>
    <d v="2024-09-26T00:00:00"/>
    <s v="Vacation"/>
    <n v="36800"/>
    <n v="60"/>
    <n v="7.78"/>
    <n v="742.3"/>
    <n v="39.5"/>
    <s v="Late"/>
    <n v="30"/>
    <n v="0"/>
    <n v="750"/>
    <x v="3"/>
  </r>
  <r>
    <x v="206"/>
    <s v="BRW-0170"/>
    <d v="2025-01-10T00:00:00"/>
    <s v="Auto Loan"/>
    <n v="2500"/>
    <n v="12"/>
    <n v="8.11"/>
    <n v="217.6"/>
    <n v="32.299999999999997"/>
    <s v="Current"/>
    <n v="0"/>
    <n v="0"/>
    <n v="752"/>
    <x v="3"/>
  </r>
  <r>
    <x v="207"/>
    <s v="BRW-0171"/>
    <d v="2024-02-27T00:00:00"/>
    <s v="Education"/>
    <n v="15400"/>
    <n v="36"/>
    <n v="12.59"/>
    <n v="515.85"/>
    <n v="56.6"/>
    <s v="Late"/>
    <n v="0"/>
    <n v="0"/>
    <n v="568"/>
    <x v="0"/>
  </r>
  <r>
    <x v="208"/>
    <s v="BRW-0171"/>
    <d v="2024-06-22T00:00:00"/>
    <s v="Wedding"/>
    <n v="12800"/>
    <n v="36"/>
    <n v="11.11"/>
    <n v="419.72"/>
    <n v="54"/>
    <s v="Default"/>
    <n v="113"/>
    <n v="1"/>
    <n v="568"/>
    <x v="0"/>
  </r>
  <r>
    <x v="209"/>
    <s v="BRW-0172"/>
    <d v="2025-04-25T00:00:00"/>
    <s v="Major Purchase"/>
    <n v="45300"/>
    <n v="36"/>
    <n v="7.2"/>
    <n v="1402.88"/>
    <n v="36.299999999999997"/>
    <s v="Late"/>
    <n v="30"/>
    <n v="0"/>
    <n v="774"/>
    <x v="3"/>
  </r>
  <r>
    <x v="210"/>
    <s v="BRW-0173"/>
    <d v="2025-05-29T00:00:00"/>
    <s v="Wedding"/>
    <n v="14800"/>
    <n v="24"/>
    <n v="8.93"/>
    <n v="675.66"/>
    <n v="23.8"/>
    <s v="Current"/>
    <n v="0"/>
    <n v="0"/>
    <n v="765"/>
    <x v="3"/>
  </r>
  <r>
    <x v="211"/>
    <s v="BRW-0174"/>
    <d v="2024-08-07T00:00:00"/>
    <s v="Major Purchase"/>
    <n v="11400"/>
    <n v="12"/>
    <n v="14.49"/>
    <n v="1026.2"/>
    <n v="90.3"/>
    <s v="Default"/>
    <n v="42"/>
    <n v="1"/>
    <n v="583"/>
    <x v="0"/>
  </r>
  <r>
    <x v="212"/>
    <s v="BRW-0175"/>
    <d v="2024-04-07T00:00:00"/>
    <s v="Wedding"/>
    <n v="10400"/>
    <n v="12"/>
    <n v="9.5399999999999991"/>
    <n v="912.1"/>
    <n v="33.700000000000003"/>
    <s v="Current"/>
    <n v="0"/>
    <n v="0"/>
    <n v="843"/>
    <x v="3"/>
  </r>
  <r>
    <x v="213"/>
    <s v="BRW-0176"/>
    <d v="2024-11-03T00:00:00"/>
    <s v="Major Purchase"/>
    <n v="30700"/>
    <n v="36"/>
    <n v="12.87"/>
    <n v="1032.48"/>
    <n v="56.3"/>
    <s v="Default"/>
    <n v="168"/>
    <n v="1"/>
    <n v="579"/>
    <x v="0"/>
  </r>
  <r>
    <x v="214"/>
    <s v="BRW-0177"/>
    <d v="2024-07-03T00:00:00"/>
    <s v="Major Purchase"/>
    <n v="27100"/>
    <n v="48"/>
    <n v="13.19"/>
    <n v="729.58"/>
    <n v="70.5"/>
    <s v="Current"/>
    <n v="0"/>
    <n v="0"/>
    <n v="610"/>
    <x v="1"/>
  </r>
  <r>
    <x v="215"/>
    <s v="BRW-0178"/>
    <d v="2025-06-29T00:00:00"/>
    <s v="Vacation"/>
    <n v="24700"/>
    <n v="48"/>
    <n v="7.62"/>
    <n v="598.6"/>
    <n v="64.8"/>
    <s v="Late"/>
    <n v="15"/>
    <n v="0"/>
    <n v="823"/>
    <x v="3"/>
  </r>
  <r>
    <x v="216"/>
    <s v="BRW-0179"/>
    <d v="2024-11-03T00:00:00"/>
    <s v="Debt Consolidation"/>
    <n v="14000"/>
    <n v="24"/>
    <n v="7.97"/>
    <n v="632.99"/>
    <n v="31.5"/>
    <s v="Paid Off"/>
    <n v="0"/>
    <n v="0"/>
    <n v="794"/>
    <x v="3"/>
  </r>
  <r>
    <x v="217"/>
    <s v="BRW-0179"/>
    <d v="2024-06-13T00:00:00"/>
    <s v="Home Improvement"/>
    <n v="34000"/>
    <n v="36"/>
    <n v="10.89"/>
    <n v="1111.3499999999999"/>
    <n v="46.7"/>
    <s v="Current"/>
    <n v="0"/>
    <n v="0"/>
    <n v="794"/>
    <x v="3"/>
  </r>
  <r>
    <x v="218"/>
    <s v="BRW-0180"/>
    <d v="2025-03-22T00:00:00"/>
    <s v="Business Loan"/>
    <n v="22700"/>
    <n v="36"/>
    <n v="10.39"/>
    <n v="736.63"/>
    <n v="44.9"/>
    <s v="Late"/>
    <n v="15"/>
    <n v="0"/>
    <n v="716"/>
    <x v="2"/>
  </r>
  <r>
    <x v="219"/>
    <s v="BRW-0181"/>
    <d v="2024-02-13T00:00:00"/>
    <s v="Debt Consolidation"/>
    <n v="22000"/>
    <n v="60"/>
    <n v="11"/>
    <n v="478.33"/>
    <n v="64.7"/>
    <s v="Current"/>
    <n v="0"/>
    <n v="0"/>
    <n v="593"/>
    <x v="0"/>
  </r>
  <r>
    <x v="220"/>
    <s v="BRW-0182"/>
    <d v="2025-02-20T00:00:00"/>
    <s v="Home Improvement"/>
    <n v="10000"/>
    <n v="12"/>
    <n v="15"/>
    <n v="902.58"/>
    <n v="61.8"/>
    <s v="Paid Off"/>
    <n v="0"/>
    <n v="0"/>
    <n v="570"/>
    <x v="0"/>
  </r>
  <r>
    <x v="221"/>
    <s v="BRW-0182"/>
    <d v="2025-05-27T00:00:00"/>
    <s v="Major Purchase"/>
    <n v="36800"/>
    <n v="24"/>
    <n v="11.68"/>
    <n v="1726.81"/>
    <n v="85.1"/>
    <s v="Paid Off"/>
    <n v="0"/>
    <n v="0"/>
    <n v="570"/>
    <x v="0"/>
  </r>
  <r>
    <x v="222"/>
    <s v="BRW-0183"/>
    <d v="2024-11-16T00:00:00"/>
    <s v="Moving"/>
    <n v="27600"/>
    <n v="24"/>
    <n v="9.2200000000000006"/>
    <n v="1263.69"/>
    <n v="64.8"/>
    <s v="Current"/>
    <n v="0"/>
    <n v="0"/>
    <n v="827"/>
    <x v="3"/>
  </r>
  <r>
    <x v="223"/>
    <s v="BRW-0183"/>
    <d v="2024-10-08T00:00:00"/>
    <s v="Business Loan"/>
    <n v="12500"/>
    <n v="12"/>
    <n v="7.09"/>
    <n v="1082.0999999999999"/>
    <n v="60.5"/>
    <s v="Current"/>
    <n v="0"/>
    <n v="0"/>
    <n v="827"/>
    <x v="3"/>
  </r>
  <r>
    <x v="224"/>
    <s v="BRW-0184"/>
    <d v="2024-09-09T00:00:00"/>
    <s v="Education"/>
    <n v="5000"/>
    <n v="60"/>
    <n v="7.95"/>
    <n v="101.26"/>
    <n v="40.700000000000003"/>
    <s v="Late"/>
    <n v="15"/>
    <n v="0"/>
    <n v="850"/>
    <x v="3"/>
  </r>
  <r>
    <x v="225"/>
    <s v="BRW-0185"/>
    <d v="2024-02-25T00:00:00"/>
    <s v="Education"/>
    <n v="2800"/>
    <n v="60"/>
    <n v="8.86"/>
    <n v="57.93"/>
    <n v="22"/>
    <s v="Current"/>
    <n v="0"/>
    <n v="0"/>
    <n v="679"/>
    <x v="4"/>
  </r>
  <r>
    <x v="226"/>
    <s v="BRW-0186"/>
    <d v="2024-08-30T00:00:00"/>
    <s v="Auto Loan"/>
    <n v="35600"/>
    <n v="12"/>
    <n v="9.81"/>
    <n v="3126.66"/>
    <n v="96.8"/>
    <s v="Paid Off"/>
    <n v="0"/>
    <n v="0"/>
    <n v="772"/>
    <x v="3"/>
  </r>
  <r>
    <x v="227"/>
    <s v="BRW-0187"/>
    <d v="2024-06-13T00:00:00"/>
    <s v="Auto Loan"/>
    <n v="46900"/>
    <n v="24"/>
    <n v="9.25"/>
    <n v="2148"/>
    <n v="34.9"/>
    <s v="Paid Off"/>
    <n v="0"/>
    <n v="0"/>
    <n v="734"/>
    <x v="2"/>
  </r>
  <r>
    <x v="228"/>
    <s v="BRW-0188"/>
    <d v="2025-05-18T00:00:00"/>
    <s v="Major Purchase"/>
    <n v="15200"/>
    <n v="12"/>
    <n v="12.02"/>
    <n v="1350.64"/>
    <n v="88"/>
    <s v="Paid Off"/>
    <n v="0"/>
    <n v="0"/>
    <n v="726"/>
    <x v="2"/>
  </r>
  <r>
    <x v="229"/>
    <s v="BRW-0189"/>
    <d v="2025-03-06T00:00:00"/>
    <s v="Home Improvement"/>
    <n v="35500"/>
    <n v="60"/>
    <n v="10.07"/>
    <n v="755.49"/>
    <n v="33.200000000000003"/>
    <s v="Paid Off"/>
    <n v="0"/>
    <n v="0"/>
    <n v="616"/>
    <x v="1"/>
  </r>
  <r>
    <x v="230"/>
    <s v="BRW-0190"/>
    <d v="2024-05-19T00:00:00"/>
    <s v="Debt Consolidation"/>
    <n v="30700"/>
    <n v="24"/>
    <n v="12.35"/>
    <n v="1450.18"/>
    <n v="74.900000000000006"/>
    <s v="Default"/>
    <n v="81"/>
    <n v="1"/>
    <n v="648"/>
    <x v="1"/>
  </r>
  <r>
    <x v="231"/>
    <s v="BRW-0191"/>
    <d v="2024-05-13T00:00:00"/>
    <s v="Education"/>
    <n v="6300"/>
    <n v="24"/>
    <n v="12.83"/>
    <n v="299.01"/>
    <n v="51.9"/>
    <s v="Paid Off"/>
    <n v="0"/>
    <n v="0"/>
    <n v="585"/>
    <x v="0"/>
  </r>
  <r>
    <x v="232"/>
    <s v="BRW-0192"/>
    <d v="2024-12-01T00:00:00"/>
    <s v="Vacation"/>
    <n v="8400"/>
    <n v="24"/>
    <n v="11.52"/>
    <n v="393.54"/>
    <n v="54.4"/>
    <s v="Current"/>
    <n v="0"/>
    <n v="0"/>
    <n v="715"/>
    <x v="2"/>
  </r>
  <r>
    <x v="233"/>
    <s v="BRW-0193"/>
    <d v="2024-01-24T00:00:00"/>
    <s v="Major Purchase"/>
    <n v="44400"/>
    <n v="24"/>
    <n v="10.19"/>
    <n v="2052.73"/>
    <n v="74.7"/>
    <s v="Late"/>
    <n v="0"/>
    <n v="0"/>
    <n v="595"/>
    <x v="0"/>
  </r>
  <r>
    <x v="234"/>
    <s v="BRW-0194"/>
    <d v="2025-03-15T00:00:00"/>
    <s v="Vacation"/>
    <n v="35700"/>
    <n v="24"/>
    <n v="6.98"/>
    <n v="1598.06"/>
    <n v="64.7"/>
    <s v="Paid Off"/>
    <n v="0"/>
    <n v="0"/>
    <n v="796"/>
    <x v="3"/>
  </r>
  <r>
    <x v="235"/>
    <s v="BRW-0194"/>
    <d v="2025-04-09T00:00:00"/>
    <s v="Medical Expenses"/>
    <n v="7600"/>
    <n v="60"/>
    <n v="8.91"/>
    <n v="157.43"/>
    <n v="47.1"/>
    <s v="Current"/>
    <n v="0"/>
    <n v="0"/>
    <n v="796"/>
    <x v="3"/>
  </r>
  <r>
    <x v="236"/>
    <s v="BRW-0195"/>
    <d v="2024-07-30T00:00:00"/>
    <s v="Auto Loan"/>
    <n v="13900"/>
    <n v="24"/>
    <n v="10.54"/>
    <n v="644.88"/>
    <n v="39.1"/>
    <s v="Late"/>
    <n v="30"/>
    <n v="0"/>
    <n v="697"/>
    <x v="4"/>
  </r>
  <r>
    <x v="237"/>
    <s v="BRW-0196"/>
    <d v="2024-09-25T00:00:00"/>
    <s v="Major Purchase"/>
    <n v="29800"/>
    <n v="12"/>
    <n v="7.73"/>
    <n v="2588.54"/>
    <n v="81.900000000000006"/>
    <s v="Current"/>
    <n v="0"/>
    <n v="0"/>
    <n v="823"/>
    <x v="3"/>
  </r>
  <r>
    <x v="238"/>
    <s v="BRW-0197"/>
    <d v="2025-02-11T00:00:00"/>
    <s v="Vacation"/>
    <n v="17500"/>
    <n v="36"/>
    <n v="10.71"/>
    <n v="570.53"/>
    <n v="52"/>
    <s v="Paid Off"/>
    <n v="0"/>
    <n v="0"/>
    <n v="850"/>
    <x v="3"/>
  </r>
  <r>
    <x v="239"/>
    <s v="BRW-0198"/>
    <d v="2024-08-28T00:00:00"/>
    <s v="Auto Loan"/>
    <n v="17700"/>
    <n v="12"/>
    <n v="11.3"/>
    <n v="1566.83"/>
    <n v="48.2"/>
    <s v="Late"/>
    <n v="0"/>
    <n v="0"/>
    <n v="622"/>
    <x v="1"/>
  </r>
  <r>
    <x v="240"/>
    <s v="BRW-0199"/>
    <d v="2025-01-25T00:00:00"/>
    <s v="Wedding"/>
    <n v="32100"/>
    <n v="12"/>
    <n v="10.9"/>
    <n v="2835.55"/>
    <n v="139.69999999999999"/>
    <s v="Default"/>
    <n v="131"/>
    <n v="1"/>
    <n v="622"/>
    <x v="1"/>
  </r>
  <r>
    <x v="241"/>
    <s v="BRW-0200"/>
    <d v="2024-06-22T00:00:00"/>
    <s v="Medical Expenses"/>
    <n v="28900"/>
    <n v="60"/>
    <n v="11.63"/>
    <n v="637.47"/>
    <n v="74.599999999999994"/>
    <s v="Default"/>
    <n v="116"/>
    <n v="1"/>
    <n v="556"/>
    <x v="0"/>
  </r>
  <r>
    <x v="242"/>
    <s v="BRW-0201"/>
    <d v="2024-04-29T00:00:00"/>
    <s v="Medical Expenses"/>
    <n v="15500"/>
    <n v="48"/>
    <n v="7.34"/>
    <n v="373.62"/>
    <n v="49.7"/>
    <s v="Late"/>
    <n v="30"/>
    <n v="0"/>
    <n v="802"/>
    <x v="3"/>
  </r>
  <r>
    <x v="243"/>
    <s v="BRW-0201"/>
    <d v="2024-09-26T00:00:00"/>
    <s v="Auto Loan"/>
    <n v="46500"/>
    <n v="36"/>
    <n v="11.15"/>
    <n v="1525.66"/>
    <n v="76.5"/>
    <s v="Current"/>
    <n v="0"/>
    <n v="0"/>
    <n v="802"/>
    <x v="3"/>
  </r>
  <r>
    <x v="244"/>
    <s v="BRW-0202"/>
    <d v="2025-03-26T00:00:00"/>
    <s v="Medical Expenses"/>
    <n v="49700"/>
    <n v="24"/>
    <n v="11.68"/>
    <n v="2332.13"/>
    <n v="83.2"/>
    <s v="Default"/>
    <n v="68"/>
    <n v="1"/>
    <n v="666"/>
    <x v="4"/>
  </r>
  <r>
    <x v="245"/>
    <s v="BRW-0203"/>
    <d v="2025-05-21T00:00:00"/>
    <s v="Medical Expenses"/>
    <n v="10100"/>
    <n v="48"/>
    <n v="9.1"/>
    <n v="251.82"/>
    <n v="21.8"/>
    <s v="Default"/>
    <n v="121"/>
    <n v="1"/>
    <n v="785"/>
    <x v="3"/>
  </r>
  <r>
    <x v="246"/>
    <s v="BRW-0204"/>
    <d v="2024-04-05T00:00:00"/>
    <s v="Moving"/>
    <n v="25700"/>
    <n v="24"/>
    <n v="8.25"/>
    <n v="1165.27"/>
    <n v="21.4"/>
    <s v="Paid Off"/>
    <n v="0"/>
    <n v="0"/>
    <n v="742"/>
    <x v="2"/>
  </r>
  <r>
    <x v="247"/>
    <s v="BRW-0204"/>
    <d v="2024-01-05T00:00:00"/>
    <s v="Moving"/>
    <n v="29000"/>
    <n v="60"/>
    <n v="8.6999999999999993"/>
    <n v="597.78"/>
    <n v="14.4"/>
    <s v="Current"/>
    <n v="0"/>
    <n v="0"/>
    <n v="742"/>
    <x v="2"/>
  </r>
  <r>
    <x v="248"/>
    <s v="BRW-0205"/>
    <d v="2024-05-04T00:00:00"/>
    <s v="Vacation"/>
    <n v="27200"/>
    <n v="12"/>
    <n v="8.59"/>
    <n v="2373.5100000000002"/>
    <n v="137.4"/>
    <s v="Paid Off"/>
    <n v="0"/>
    <n v="0"/>
    <n v="770"/>
    <x v="3"/>
  </r>
  <r>
    <x v="249"/>
    <s v="BRW-0206"/>
    <d v="2024-10-02T00:00:00"/>
    <s v="Medical Expenses"/>
    <n v="4700"/>
    <n v="48"/>
    <n v="11.45"/>
    <n v="122.5"/>
    <n v="22.8"/>
    <s v="Paid Off"/>
    <n v="0"/>
    <n v="0"/>
    <n v="649"/>
    <x v="1"/>
  </r>
  <r>
    <x v="250"/>
    <s v="BRW-0206"/>
    <d v="2024-02-19T00:00:00"/>
    <s v="Wedding"/>
    <n v="12400"/>
    <n v="60"/>
    <n v="9.83"/>
    <n v="262.43"/>
    <n v="29.9"/>
    <s v="Paid Off"/>
    <n v="0"/>
    <n v="0"/>
    <n v="649"/>
    <x v="1"/>
  </r>
  <r>
    <x v="251"/>
    <s v="BRW-0207"/>
    <d v="2024-09-02T00:00:00"/>
    <s v="Moving"/>
    <n v="20300"/>
    <n v="48"/>
    <n v="11.28"/>
    <n v="527.42999999999995"/>
    <n v="51.1"/>
    <s v="Late"/>
    <n v="15"/>
    <n v="0"/>
    <n v="600"/>
    <x v="1"/>
  </r>
  <r>
    <x v="252"/>
    <s v="BRW-0208"/>
    <d v="2025-05-17T00:00:00"/>
    <s v="Medical Expenses"/>
    <n v="21300"/>
    <n v="24"/>
    <n v="8.7899999999999991"/>
    <n v="971.03"/>
    <n v="49"/>
    <s v="Paid Off"/>
    <n v="0"/>
    <n v="0"/>
    <n v="709"/>
    <x v="2"/>
  </r>
  <r>
    <x v="253"/>
    <s v="BRW-0208"/>
    <d v="2025-05-16T00:00:00"/>
    <s v="Wedding"/>
    <n v="31800"/>
    <n v="36"/>
    <n v="10.75"/>
    <n v="1037.33"/>
    <n v="49.8"/>
    <s v="Current"/>
    <n v="0"/>
    <n v="0"/>
    <n v="709"/>
    <x v="2"/>
  </r>
  <r>
    <x v="254"/>
    <s v="BRW-0209"/>
    <d v="2025-03-12T00:00:00"/>
    <s v="Home Improvement"/>
    <n v="40900"/>
    <n v="60"/>
    <n v="10.37"/>
    <n v="876.47"/>
    <n v="17.3"/>
    <s v="Default"/>
    <n v="161"/>
    <n v="1"/>
    <n v="634"/>
    <x v="1"/>
  </r>
  <r>
    <x v="255"/>
    <s v="BRW-0210"/>
    <d v="2025-06-23T00:00:00"/>
    <s v="Vacation"/>
    <n v="33100"/>
    <n v="24"/>
    <n v="13.1"/>
    <n v="1575.19"/>
    <n v="67.3"/>
    <s v="Current"/>
    <n v="0"/>
    <n v="0"/>
    <n v="693"/>
    <x v="4"/>
  </r>
  <r>
    <x v="256"/>
    <s v="BRW-0211"/>
    <d v="2025-06-19T00:00:00"/>
    <s v="Vacation"/>
    <n v="21300"/>
    <n v="36"/>
    <n v="11.26"/>
    <n v="699.96"/>
    <n v="71.099999999999994"/>
    <s v="Current"/>
    <n v="0"/>
    <n v="0"/>
    <n v="777"/>
    <x v="3"/>
  </r>
  <r>
    <x v="257"/>
    <s v="BRW-0212"/>
    <d v="2024-09-16T00:00:00"/>
    <s v="Moving"/>
    <n v="6900"/>
    <n v="12"/>
    <n v="11.99"/>
    <n v="613.02"/>
    <n v="62.1"/>
    <s v="Default"/>
    <n v="179"/>
    <n v="1"/>
    <n v="620"/>
    <x v="1"/>
  </r>
  <r>
    <x v="258"/>
    <s v="BRW-0212"/>
    <d v="2024-07-05T00:00:00"/>
    <s v="Home Improvement"/>
    <n v="2600"/>
    <n v="48"/>
    <n v="10.56"/>
    <n v="66.64"/>
    <n v="41.2"/>
    <s v="Current"/>
    <n v="0"/>
    <n v="0"/>
    <n v="620"/>
    <x v="1"/>
  </r>
  <r>
    <x v="259"/>
    <s v="BRW-0213"/>
    <d v="2024-09-28T00:00:00"/>
    <s v="Education"/>
    <n v="23800"/>
    <n v="48"/>
    <n v="10.65"/>
    <n v="611.09"/>
    <n v="27.8"/>
    <s v="Late"/>
    <n v="15"/>
    <n v="0"/>
    <n v="748"/>
    <x v="2"/>
  </r>
  <r>
    <x v="260"/>
    <s v="BRW-0214"/>
    <d v="2024-01-19T00:00:00"/>
    <s v="Home Improvement"/>
    <n v="18600"/>
    <n v="12"/>
    <n v="10.15"/>
    <n v="1636.53"/>
    <n v="99.8"/>
    <s v="Default"/>
    <n v="59"/>
    <n v="1"/>
    <n v="721"/>
    <x v="2"/>
  </r>
  <r>
    <x v="261"/>
    <s v="BRW-0215"/>
    <d v="2024-11-06T00:00:00"/>
    <s v="Vacation"/>
    <n v="21400"/>
    <n v="60"/>
    <n v="12.71"/>
    <n v="483.74"/>
    <n v="34.4"/>
    <s v="Late"/>
    <n v="30"/>
    <n v="0"/>
    <n v="655"/>
    <x v="4"/>
  </r>
  <r>
    <x v="262"/>
    <s v="BRW-0216"/>
    <d v="2024-04-24T00:00:00"/>
    <s v="Major Purchase"/>
    <n v="6200"/>
    <n v="24"/>
    <n v="9.9"/>
    <n v="285.81"/>
    <n v="14.5"/>
    <s v="Current"/>
    <n v="0"/>
    <n v="0"/>
    <n v="610"/>
    <x v="1"/>
  </r>
  <r>
    <x v="263"/>
    <s v="BRW-0217"/>
    <d v="2024-07-14T00:00:00"/>
    <s v="Vacation"/>
    <n v="27800"/>
    <n v="48"/>
    <n v="10.78"/>
    <n v="715.54"/>
    <n v="38.1"/>
    <s v="Current"/>
    <n v="0"/>
    <n v="0"/>
    <n v="806"/>
    <x v="3"/>
  </r>
  <r>
    <x v="264"/>
    <s v="BRW-0218"/>
    <d v="2025-04-27T00:00:00"/>
    <s v="Home Improvement"/>
    <n v="5500"/>
    <n v="48"/>
    <n v="11.5"/>
    <n v="143.49"/>
    <n v="36.6"/>
    <s v="Default"/>
    <n v="145"/>
    <n v="1"/>
    <n v="799"/>
    <x v="3"/>
  </r>
  <r>
    <x v="265"/>
    <s v="BRW-0219"/>
    <d v="2024-01-09T00:00:00"/>
    <s v="Business Loan"/>
    <n v="39400"/>
    <n v="48"/>
    <n v="6.77"/>
    <n v="939.28"/>
    <n v="26.5"/>
    <s v="Default"/>
    <n v="140"/>
    <n v="1"/>
    <n v="809"/>
    <x v="3"/>
  </r>
  <r>
    <x v="266"/>
    <s v="BRW-0220"/>
    <d v="2024-02-07T00:00:00"/>
    <s v="Vacation"/>
    <n v="30600"/>
    <n v="60"/>
    <n v="12.03"/>
    <n v="681.14"/>
    <n v="39.4"/>
    <s v="Current"/>
    <n v="0"/>
    <n v="0"/>
    <n v="778"/>
    <x v="3"/>
  </r>
  <r>
    <x v="267"/>
    <s v="BRW-0220"/>
    <d v="2024-03-03T00:00:00"/>
    <s v="Wedding"/>
    <n v="45400"/>
    <n v="48"/>
    <n v="8.19"/>
    <n v="1112.4000000000001"/>
    <n v="43.3"/>
    <s v="Current"/>
    <n v="0"/>
    <n v="0"/>
    <n v="778"/>
    <x v="3"/>
  </r>
  <r>
    <x v="268"/>
    <s v="BRW-0221"/>
    <d v="2024-12-21T00:00:00"/>
    <s v="Major Purchase"/>
    <n v="7600"/>
    <n v="60"/>
    <n v="12.33"/>
    <n v="170.33"/>
    <n v="11"/>
    <s v="Current"/>
    <n v="0"/>
    <n v="0"/>
    <n v="742"/>
    <x v="2"/>
  </r>
  <r>
    <x v="269"/>
    <s v="BRW-0222"/>
    <d v="2024-12-13T00:00:00"/>
    <s v="Vacation"/>
    <n v="13100"/>
    <n v="24"/>
    <n v="13.44"/>
    <n v="625.51"/>
    <n v="53.4"/>
    <s v="Late"/>
    <n v="15"/>
    <n v="0"/>
    <n v="570"/>
    <x v="0"/>
  </r>
  <r>
    <x v="270"/>
    <s v="BRW-0223"/>
    <d v="2025-01-03T00:00:00"/>
    <s v="Auto Loan"/>
    <n v="20700"/>
    <n v="48"/>
    <n v="12"/>
    <n v="545.11"/>
    <n v="19.8"/>
    <s v="Paid Off"/>
    <n v="0"/>
    <n v="0"/>
    <n v="730"/>
    <x v="2"/>
  </r>
  <r>
    <x v="271"/>
    <s v="BRW-0224"/>
    <d v="2024-07-23T00:00:00"/>
    <s v="Auto Loan"/>
    <n v="6100"/>
    <n v="48"/>
    <n v="10.48"/>
    <n v="156.12"/>
    <n v="42.8"/>
    <s v="Default"/>
    <n v="155"/>
    <n v="1"/>
    <n v="610"/>
    <x v="1"/>
  </r>
  <r>
    <x v="272"/>
    <s v="BRW-0225"/>
    <d v="2024-02-18T00:00:00"/>
    <s v="Major Purchase"/>
    <n v="25700"/>
    <n v="24"/>
    <n v="7.93"/>
    <n v="1161.52"/>
    <n v="38.1"/>
    <s v="Current"/>
    <n v="0"/>
    <n v="0"/>
    <n v="787"/>
    <x v="3"/>
  </r>
  <r>
    <x v="273"/>
    <s v="BRW-0226"/>
    <d v="2024-12-11T00:00:00"/>
    <s v="Medical Expenses"/>
    <n v="43900"/>
    <n v="12"/>
    <n v="14.33"/>
    <n v="3948.47"/>
    <n v="177.4"/>
    <s v="Default"/>
    <n v="88"/>
    <n v="1"/>
    <n v="582"/>
    <x v="0"/>
  </r>
  <r>
    <x v="274"/>
    <s v="BRW-0227"/>
    <d v="2024-09-30T00:00:00"/>
    <s v="Business Loan"/>
    <n v="49700"/>
    <n v="36"/>
    <n v="11.21"/>
    <n v="1632.06"/>
    <n v="51.2"/>
    <s v="Late"/>
    <n v="15"/>
    <n v="0"/>
    <n v="758"/>
    <x v="3"/>
  </r>
  <r>
    <x v="275"/>
    <s v="BRW-0228"/>
    <d v="2024-04-23T00:00:00"/>
    <s v="Home Improvement"/>
    <n v="46500"/>
    <n v="48"/>
    <n v="12.61"/>
    <n v="1238.5"/>
    <n v="56.2"/>
    <s v="Late"/>
    <n v="0"/>
    <n v="0"/>
    <n v="683"/>
    <x v="4"/>
  </r>
  <r>
    <x v="276"/>
    <s v="BRW-0229"/>
    <d v="2024-04-30T00:00:00"/>
    <s v="Home Improvement"/>
    <n v="4000"/>
    <n v="12"/>
    <n v="7.24"/>
    <n v="346.55"/>
    <n v="55.6"/>
    <s v="Late"/>
    <n v="15"/>
    <n v="0"/>
    <n v="816"/>
    <x v="3"/>
  </r>
  <r>
    <x v="277"/>
    <s v="BRW-0229"/>
    <d v="2024-04-11T00:00:00"/>
    <s v="Auto Loan"/>
    <n v="38600"/>
    <n v="48"/>
    <n v="10.06"/>
    <n v="980.11"/>
    <n v="61.5"/>
    <s v="Default"/>
    <n v="123"/>
    <n v="1"/>
    <n v="816"/>
    <x v="3"/>
  </r>
  <r>
    <x v="278"/>
    <s v="BRW-0230"/>
    <d v="2024-01-07T00:00:00"/>
    <s v="Medical Expenses"/>
    <n v="8100"/>
    <n v="48"/>
    <n v="12"/>
    <n v="213.3"/>
    <n v="43.4"/>
    <s v="Current"/>
    <n v="0"/>
    <n v="0"/>
    <n v="711"/>
    <x v="2"/>
  </r>
  <r>
    <x v="279"/>
    <s v="BRW-0231"/>
    <d v="2024-09-08T00:00:00"/>
    <s v="Home Improvement"/>
    <n v="22300"/>
    <n v="48"/>
    <n v="8.94"/>
    <n v="554.29999999999995"/>
    <n v="25.8"/>
    <s v="Current"/>
    <n v="0"/>
    <n v="0"/>
    <n v="772"/>
    <x v="3"/>
  </r>
  <r>
    <x v="280"/>
    <s v="BRW-0232"/>
    <d v="2025-06-12T00:00:00"/>
    <s v="Major Purchase"/>
    <n v="21600"/>
    <n v="48"/>
    <n v="11.09"/>
    <n v="559.21"/>
    <n v="46.2"/>
    <s v="Current"/>
    <n v="0"/>
    <n v="0"/>
    <n v="820"/>
    <x v="3"/>
  </r>
  <r>
    <x v="281"/>
    <s v="BRW-0233"/>
    <d v="2024-11-18T00:00:00"/>
    <s v="Debt Consolidation"/>
    <n v="26800"/>
    <n v="12"/>
    <n v="9.7200000000000006"/>
    <n v="2352.66"/>
    <n v="31.1"/>
    <s v="Current"/>
    <n v="0"/>
    <n v="0"/>
    <n v="642"/>
    <x v="1"/>
  </r>
  <r>
    <x v="282"/>
    <s v="BRW-0234"/>
    <d v="2025-06-16T00:00:00"/>
    <s v="Debt Consolidation"/>
    <n v="32800"/>
    <n v="60"/>
    <n v="6.69"/>
    <n v="644.69000000000005"/>
    <n v="36.299999999999997"/>
    <s v="Paid Off"/>
    <n v="0"/>
    <n v="0"/>
    <n v="816"/>
    <x v="3"/>
  </r>
  <r>
    <x v="283"/>
    <s v="BRW-0235"/>
    <d v="2024-10-13T00:00:00"/>
    <s v="Auto Loan"/>
    <n v="17100"/>
    <n v="36"/>
    <n v="7.04"/>
    <n v="528.30999999999995"/>
    <n v="60.7"/>
    <s v="Current"/>
    <n v="0"/>
    <n v="0"/>
    <n v="780"/>
    <x v="3"/>
  </r>
  <r>
    <x v="284"/>
    <s v="BRW-0236"/>
    <d v="2024-12-19T00:00:00"/>
    <s v="Business Loan"/>
    <n v="32000"/>
    <n v="60"/>
    <n v="11.38"/>
    <n v="701.84"/>
    <n v="44.8"/>
    <s v="Current"/>
    <n v="0"/>
    <n v="0"/>
    <n v="713"/>
    <x v="2"/>
  </r>
  <r>
    <x v="285"/>
    <s v="BRW-0237"/>
    <d v="2024-05-09T00:00:00"/>
    <s v="Auto Loan"/>
    <n v="22300"/>
    <n v="48"/>
    <n v="11.48"/>
    <n v="581.57000000000005"/>
    <n v="49.1"/>
    <s v="Current"/>
    <n v="0"/>
    <n v="0"/>
    <n v="729"/>
    <x v="2"/>
  </r>
  <r>
    <x v="286"/>
    <s v="BRW-0238"/>
    <d v="2024-09-21T00:00:00"/>
    <s v="Auto Loan"/>
    <n v="24100"/>
    <n v="24"/>
    <n v="7.82"/>
    <n v="1088"/>
    <n v="72.2"/>
    <s v="Paid Off"/>
    <n v="0"/>
    <n v="0"/>
    <n v="738"/>
    <x v="2"/>
  </r>
  <r>
    <x v="287"/>
    <s v="BRW-0239"/>
    <d v="2024-12-28T00:00:00"/>
    <s v="Home Improvement"/>
    <n v="42400"/>
    <n v="36"/>
    <n v="11.95"/>
    <n v="1407.27"/>
    <n v="48.1"/>
    <s v="Default"/>
    <n v="61"/>
    <n v="1"/>
    <n v="671"/>
    <x v="4"/>
  </r>
  <r>
    <x v="288"/>
    <s v="BRW-0239"/>
    <d v="2024-08-29T00:00:00"/>
    <s v="Vacation"/>
    <n v="37400"/>
    <n v="48"/>
    <n v="10.51"/>
    <n v="957.75"/>
    <n v="41.7"/>
    <s v="Late"/>
    <n v="30"/>
    <n v="0"/>
    <n v="671"/>
    <x v="4"/>
  </r>
  <r>
    <x v="289"/>
    <s v="BRW-0240"/>
    <d v="2024-05-23T00:00:00"/>
    <s v="Moving"/>
    <n v="13200"/>
    <n v="36"/>
    <n v="8.17"/>
    <n v="414.68"/>
    <n v="57.1"/>
    <s v="Current"/>
    <n v="0"/>
    <n v="0"/>
    <n v="795"/>
    <x v="3"/>
  </r>
  <r>
    <x v="290"/>
    <s v="BRW-0240"/>
    <d v="2024-05-30T00:00:00"/>
    <s v="Education"/>
    <n v="11200"/>
    <n v="36"/>
    <n v="9.02"/>
    <n v="356.26"/>
    <n v="56.5"/>
    <s v="Current"/>
    <n v="0"/>
    <n v="0"/>
    <n v="795"/>
    <x v="3"/>
  </r>
  <r>
    <x v="291"/>
    <s v="BRW-0241"/>
    <d v="2025-02-16T00:00:00"/>
    <s v="Medical Expenses"/>
    <n v="22800"/>
    <n v="36"/>
    <n v="14.15"/>
    <n v="780.91"/>
    <n v="25.2"/>
    <s v="Current"/>
    <n v="0"/>
    <n v="0"/>
    <n v="554"/>
    <x v="0"/>
  </r>
  <r>
    <x v="292"/>
    <s v="BRW-0242"/>
    <d v="2025-03-02T00:00:00"/>
    <s v="Vacation"/>
    <n v="37700"/>
    <n v="48"/>
    <n v="9.64"/>
    <n v="949.66"/>
    <n v="70"/>
    <s v="Current"/>
    <n v="0"/>
    <n v="0"/>
    <n v="841"/>
    <x v="3"/>
  </r>
  <r>
    <x v="293"/>
    <s v="BRW-0243"/>
    <d v="2024-08-05T00:00:00"/>
    <s v="Medical Expenses"/>
    <n v="10400"/>
    <n v="60"/>
    <n v="7.41"/>
    <n v="207.95"/>
    <n v="65.5"/>
    <s v="Current"/>
    <n v="0"/>
    <n v="0"/>
    <n v="791"/>
    <x v="3"/>
  </r>
  <r>
    <x v="294"/>
    <s v="BRW-0244"/>
    <d v="2024-10-23T00:00:00"/>
    <s v="Home Improvement"/>
    <n v="14200"/>
    <n v="12"/>
    <n v="12.28"/>
    <n v="1263.51"/>
    <n v="66.2"/>
    <s v="Default"/>
    <n v="69"/>
    <n v="1"/>
    <n v="574"/>
    <x v="0"/>
  </r>
  <r>
    <x v="295"/>
    <s v="BRW-0245"/>
    <d v="2024-05-26T00:00:00"/>
    <s v="Auto Loan"/>
    <n v="16600"/>
    <n v="48"/>
    <n v="7.86"/>
    <n v="404.16"/>
    <n v="49.6"/>
    <s v="Current"/>
    <n v="0"/>
    <n v="0"/>
    <n v="737"/>
    <x v="2"/>
  </r>
  <r>
    <x v="296"/>
    <s v="BRW-0246"/>
    <d v="2024-12-23T00:00:00"/>
    <s v="Auto Loan"/>
    <n v="41100"/>
    <n v="48"/>
    <n v="10.23"/>
    <n v="1046.95"/>
    <n v="50.9"/>
    <s v="Default"/>
    <n v="41"/>
    <n v="1"/>
    <n v="587"/>
    <x v="0"/>
  </r>
  <r>
    <x v="297"/>
    <s v="BRW-0246"/>
    <d v="2025-01-21T00:00:00"/>
    <s v="Major Purchase"/>
    <n v="16900"/>
    <n v="48"/>
    <n v="14.72"/>
    <n v="467.94"/>
    <n v="43.1"/>
    <s v="Late"/>
    <n v="0"/>
    <n v="0"/>
    <n v="587"/>
    <x v="0"/>
  </r>
  <r>
    <x v="298"/>
    <s v="BRW-0247"/>
    <d v="2024-11-29T00:00:00"/>
    <s v="Moving"/>
    <n v="31000"/>
    <n v="48"/>
    <n v="9.18"/>
    <n v="774.09"/>
    <n v="40.200000000000003"/>
    <s v="Default"/>
    <n v="134"/>
    <n v="1"/>
    <n v="694"/>
    <x v="4"/>
  </r>
  <r>
    <x v="299"/>
    <s v="BRW-0248"/>
    <d v="2024-03-31T00:00:00"/>
    <s v="Major Purchase"/>
    <n v="3800"/>
    <n v="48"/>
    <n v="14.21"/>
    <n v="104.24"/>
    <n v="16.100000000000001"/>
    <s v="Current"/>
    <n v="0"/>
    <n v="0"/>
    <n v="568"/>
    <x v="0"/>
  </r>
  <r>
    <x v="300"/>
    <s v="BRW-0249"/>
    <d v="2024-02-24T00:00:00"/>
    <s v="Auto Loan"/>
    <n v="5100"/>
    <n v="60"/>
    <n v="8.2899999999999991"/>
    <n v="104.12"/>
    <n v="51.2"/>
    <s v="Paid Off"/>
    <n v="0"/>
    <n v="0"/>
    <n v="728"/>
    <x v="2"/>
  </r>
  <r>
    <x v="301"/>
    <s v="BRW-0250"/>
    <d v="2024-10-08T00:00:00"/>
    <s v="Debt Consolidation"/>
    <n v="27200"/>
    <n v="24"/>
    <n v="14.71"/>
    <n v="1315.09"/>
    <n v="66.5"/>
    <s v="Paid Off"/>
    <n v="0"/>
    <n v="0"/>
    <n v="606"/>
    <x v="1"/>
  </r>
  <r>
    <x v="302"/>
    <s v="BRW-0251"/>
    <d v="2024-02-16T00:00:00"/>
    <s v="Vacation"/>
    <n v="12100"/>
    <n v="36"/>
    <n v="10.28"/>
    <n v="392.03"/>
    <n v="52.7"/>
    <s v="Late"/>
    <n v="15"/>
    <n v="0"/>
    <n v="704"/>
    <x v="2"/>
  </r>
  <r>
    <x v="303"/>
    <s v="BRW-0251"/>
    <d v="2024-04-03T00:00:00"/>
    <s v="Medical Expenses"/>
    <n v="35900"/>
    <n v="36"/>
    <n v="10.18"/>
    <n v="1161.43"/>
    <n v="70.5"/>
    <s v="Default"/>
    <n v="55"/>
    <n v="1"/>
    <n v="704"/>
    <x v="2"/>
  </r>
  <r>
    <x v="304"/>
    <s v="BRW-0252"/>
    <d v="2025-02-21T00:00:00"/>
    <s v="Auto Loan"/>
    <n v="9900"/>
    <n v="12"/>
    <n v="9.92"/>
    <n v="870"/>
    <n v="54"/>
    <s v="Paid Off"/>
    <n v="0"/>
    <n v="0"/>
    <n v="651"/>
    <x v="4"/>
  </r>
  <r>
    <x v="305"/>
    <s v="BRW-0253"/>
    <d v="2024-11-27T00:00:00"/>
    <s v="Debt Consolidation"/>
    <n v="5700"/>
    <n v="24"/>
    <n v="11.13"/>
    <n v="266.01"/>
    <n v="49.6"/>
    <s v="Late"/>
    <n v="15"/>
    <n v="0"/>
    <n v="656"/>
    <x v="4"/>
  </r>
  <r>
    <x v="306"/>
    <s v="BRW-0254"/>
    <d v="2025-05-31T00:00:00"/>
    <s v="Business Loan"/>
    <n v="30100"/>
    <n v="48"/>
    <n v="13.59"/>
    <n v="816.35"/>
    <n v="27"/>
    <s v="Current"/>
    <n v="0"/>
    <n v="0"/>
    <n v="537"/>
    <x v="0"/>
  </r>
  <r>
    <x v="307"/>
    <s v="BRW-0255"/>
    <d v="2024-01-20T00:00:00"/>
    <s v="Major Purchase"/>
    <n v="2400"/>
    <n v="24"/>
    <n v="14.87"/>
    <n v="116.22"/>
    <n v="38.299999999999997"/>
    <s v="Default"/>
    <n v="180"/>
    <n v="1"/>
    <n v="582"/>
    <x v="0"/>
  </r>
  <r>
    <x v="308"/>
    <s v="BRW-0256"/>
    <d v="2025-02-20T00:00:00"/>
    <s v="Business Loan"/>
    <n v="33300"/>
    <n v="24"/>
    <n v="11.81"/>
    <n v="1564.59"/>
    <n v="34.299999999999997"/>
    <s v="Current"/>
    <n v="0"/>
    <n v="0"/>
    <n v="583"/>
    <x v="0"/>
  </r>
  <r>
    <x v="309"/>
    <s v="BRW-0257"/>
    <d v="2025-03-09T00:00:00"/>
    <s v="Medical Expenses"/>
    <n v="23500"/>
    <n v="24"/>
    <n v="12.7"/>
    <n v="1113.92"/>
    <n v="71.2"/>
    <s v="Current"/>
    <n v="0"/>
    <n v="0"/>
    <n v="599"/>
    <x v="0"/>
  </r>
  <r>
    <x v="310"/>
    <s v="BRW-0258"/>
    <d v="2025-05-08T00:00:00"/>
    <s v="Wedding"/>
    <n v="32700"/>
    <n v="12"/>
    <n v="7.25"/>
    <n v="2833.19"/>
    <n v="85.7"/>
    <s v="Late"/>
    <n v="0"/>
    <n v="0"/>
    <n v="783"/>
    <x v="3"/>
  </r>
  <r>
    <x v="311"/>
    <s v="BRW-0258"/>
    <d v="2024-06-14T00:00:00"/>
    <s v="Education"/>
    <n v="12200"/>
    <n v="60"/>
    <n v="8.36"/>
    <n v="249.48"/>
    <n v="26"/>
    <s v="Current"/>
    <n v="0"/>
    <n v="0"/>
    <n v="783"/>
    <x v="3"/>
  </r>
  <r>
    <x v="312"/>
    <s v="BRW-0259"/>
    <d v="2024-08-03T00:00:00"/>
    <s v="Home Improvement"/>
    <n v="35000"/>
    <n v="36"/>
    <n v="12.84"/>
    <n v="1176.5899999999999"/>
    <n v="76.099999999999994"/>
    <s v="Late"/>
    <n v="30"/>
    <n v="0"/>
    <n v="693"/>
    <x v="4"/>
  </r>
  <r>
    <x v="313"/>
    <s v="BRW-0260"/>
    <d v="2024-11-25T00:00:00"/>
    <s v="Education"/>
    <n v="49000"/>
    <n v="48"/>
    <n v="10.83"/>
    <n v="1262.3900000000001"/>
    <n v="46.7"/>
    <s v="Current"/>
    <n v="0"/>
    <n v="0"/>
    <n v="632"/>
    <x v="1"/>
  </r>
  <r>
    <x v="314"/>
    <s v="BRW-0261"/>
    <d v="2024-01-10T00:00:00"/>
    <s v="Medical Expenses"/>
    <n v="2100"/>
    <n v="48"/>
    <n v="8.42"/>
    <n v="51.68"/>
    <n v="11.8"/>
    <s v="Paid Off"/>
    <n v="0"/>
    <n v="0"/>
    <n v="696"/>
    <x v="4"/>
  </r>
  <r>
    <x v="315"/>
    <s v="BRW-0262"/>
    <d v="2025-03-31T00:00:00"/>
    <s v="Major Purchase"/>
    <n v="13300"/>
    <n v="12"/>
    <n v="9.34"/>
    <n v="1165.2"/>
    <n v="96.6"/>
    <s v="Paid Off"/>
    <n v="0"/>
    <n v="0"/>
    <n v="801"/>
    <x v="3"/>
  </r>
  <r>
    <x v="316"/>
    <s v="BRW-0263"/>
    <d v="2025-01-14T00:00:00"/>
    <s v="Education"/>
    <n v="42300"/>
    <n v="12"/>
    <n v="7.97"/>
    <n v="3679.02"/>
    <n v="72.599999999999994"/>
    <s v="Current"/>
    <n v="0"/>
    <n v="0"/>
    <n v="759"/>
    <x v="3"/>
  </r>
  <r>
    <x v="317"/>
    <s v="BRW-0263"/>
    <d v="2024-11-06T00:00:00"/>
    <s v="Debt Consolidation"/>
    <n v="34700"/>
    <n v="36"/>
    <n v="8.31"/>
    <n v="1092.3399999999999"/>
    <n v="48.2"/>
    <s v="Paid Off"/>
    <n v="0"/>
    <n v="0"/>
    <n v="759"/>
    <x v="3"/>
  </r>
  <r>
    <x v="318"/>
    <s v="BRW-0264"/>
    <d v="2024-07-19T00:00:00"/>
    <s v="Debt Consolidation"/>
    <n v="40100"/>
    <n v="60"/>
    <n v="7.03"/>
    <n v="794.6"/>
    <n v="64.8"/>
    <s v="Current"/>
    <n v="0"/>
    <n v="0"/>
    <n v="841"/>
    <x v="3"/>
  </r>
  <r>
    <x v="319"/>
    <s v="BRW-0264"/>
    <d v="2024-06-28T00:00:00"/>
    <s v="Auto Loan"/>
    <n v="25700"/>
    <n v="60"/>
    <n v="6.95"/>
    <n v="508.28"/>
    <n v="59.8"/>
    <s v="Default"/>
    <n v="62"/>
    <n v="1"/>
    <n v="841"/>
    <x v="3"/>
  </r>
  <r>
    <x v="320"/>
    <s v="BRW-0265"/>
    <d v="2024-10-07T00:00:00"/>
    <s v="Medical Expenses"/>
    <n v="29400"/>
    <n v="24"/>
    <n v="10.76"/>
    <n v="1367"/>
    <n v="38.799999999999997"/>
    <s v="Paid Off"/>
    <n v="0"/>
    <n v="0"/>
    <n v="819"/>
    <x v="3"/>
  </r>
  <r>
    <x v="321"/>
    <s v="BRW-0266"/>
    <d v="2025-03-13T00:00:00"/>
    <s v="Moving"/>
    <n v="32400"/>
    <n v="48"/>
    <n v="7.78"/>
    <n v="787.64"/>
    <n v="30.9"/>
    <s v="Late"/>
    <n v="15"/>
    <n v="0"/>
    <n v="734"/>
    <x v="2"/>
  </r>
  <r>
    <x v="322"/>
    <s v="BRW-0267"/>
    <d v="2025-04-22T00:00:00"/>
    <s v="Major Purchase"/>
    <n v="21500"/>
    <n v="12"/>
    <n v="9.58"/>
    <n v="1885.99"/>
    <n v="68.099999999999994"/>
    <s v="Current"/>
    <n v="0"/>
    <n v="0"/>
    <n v="829"/>
    <x v="3"/>
  </r>
  <r>
    <x v="323"/>
    <s v="BRW-0267"/>
    <d v="2024-01-06T00:00:00"/>
    <s v="Business Loan"/>
    <n v="25600"/>
    <n v="60"/>
    <n v="8.43"/>
    <n v="524.36"/>
    <n v="47.1"/>
    <s v="Paid Off"/>
    <n v="0"/>
    <n v="0"/>
    <n v="829"/>
    <x v="3"/>
  </r>
  <r>
    <x v="324"/>
    <s v="BRW-0268"/>
    <d v="2024-07-20T00:00:00"/>
    <s v="Business Loan"/>
    <n v="22300"/>
    <n v="12"/>
    <n v="14.87"/>
    <n v="2011.39"/>
    <n v="109.3"/>
    <s v="Default"/>
    <n v="109"/>
    <n v="1"/>
    <n v="583"/>
    <x v="0"/>
  </r>
  <r>
    <x v="325"/>
    <s v="BRW-0268"/>
    <d v="2024-01-25T00:00:00"/>
    <s v="Home Improvement"/>
    <n v="6100"/>
    <n v="48"/>
    <n v="12.44"/>
    <n v="161.96"/>
    <n v="56.6"/>
    <s v="Current"/>
    <n v="0"/>
    <n v="0"/>
    <n v="583"/>
    <x v="0"/>
  </r>
  <r>
    <x v="326"/>
    <s v="BRW-0269"/>
    <d v="2025-06-16T00:00:00"/>
    <s v="Home Improvement"/>
    <n v="48000"/>
    <n v="12"/>
    <n v="10.76"/>
    <n v="4236.95"/>
    <n v="117.3"/>
    <s v="Late"/>
    <n v="15"/>
    <n v="0"/>
    <n v="801"/>
    <x v="3"/>
  </r>
  <r>
    <x v="327"/>
    <s v="BRW-0270"/>
    <d v="2024-02-04T00:00:00"/>
    <s v="Home Improvement"/>
    <n v="29700"/>
    <n v="12"/>
    <n v="15.86"/>
    <n v="2692.74"/>
    <n v="119.6"/>
    <s v="Default"/>
    <n v="46"/>
    <n v="1"/>
    <n v="541"/>
    <x v="0"/>
  </r>
  <r>
    <x v="328"/>
    <s v="BRW-0271"/>
    <d v="2025-03-18T00:00:00"/>
    <s v="Debt Consolidation"/>
    <n v="22200"/>
    <n v="36"/>
    <n v="10.67"/>
    <n v="723.34"/>
    <n v="39.9"/>
    <s v="Default"/>
    <n v="44"/>
    <n v="1"/>
    <n v="743"/>
    <x v="2"/>
  </r>
  <r>
    <x v="329"/>
    <s v="BRW-0272"/>
    <d v="2024-08-26T00:00:00"/>
    <s v="Auto Loan"/>
    <n v="21300"/>
    <n v="60"/>
    <n v="13.16"/>
    <n v="486.39"/>
    <n v="23"/>
    <s v="Late"/>
    <n v="0"/>
    <n v="0"/>
    <n v="636"/>
    <x v="1"/>
  </r>
  <r>
    <x v="330"/>
    <s v="BRW-0273"/>
    <d v="2024-01-27T00:00:00"/>
    <s v="Vacation"/>
    <n v="44200"/>
    <n v="60"/>
    <n v="10.81"/>
    <n v="956.83"/>
    <n v="29.8"/>
    <s v="Current"/>
    <n v="0"/>
    <n v="0"/>
    <n v="582"/>
    <x v="0"/>
  </r>
  <r>
    <x v="331"/>
    <s v="BRW-0274"/>
    <d v="2024-05-09T00:00:00"/>
    <s v="Wedding"/>
    <n v="30500"/>
    <n v="24"/>
    <n v="10.36"/>
    <n v="1412.49"/>
    <n v="38.1"/>
    <s v="Current"/>
    <n v="0"/>
    <n v="0"/>
    <n v="850"/>
    <x v="3"/>
  </r>
  <r>
    <x v="332"/>
    <s v="BRW-0275"/>
    <d v="2024-11-15T00:00:00"/>
    <s v="Vacation"/>
    <n v="7900"/>
    <n v="12"/>
    <n v="8.77"/>
    <n v="690.02"/>
    <n v="29.9"/>
    <s v="Late"/>
    <n v="0"/>
    <n v="0"/>
    <n v="692"/>
    <x v="4"/>
  </r>
  <r>
    <x v="333"/>
    <s v="BRW-0276"/>
    <d v="2024-12-17T00:00:00"/>
    <s v="Wedding"/>
    <n v="39200"/>
    <n v="24"/>
    <n v="8.35"/>
    <n v="1779.17"/>
    <n v="69.400000000000006"/>
    <s v="Late"/>
    <n v="30"/>
    <n v="0"/>
    <n v="840"/>
    <x v="3"/>
  </r>
  <r>
    <x v="334"/>
    <s v="BRW-0277"/>
    <d v="2025-03-08T00:00:00"/>
    <s v="Medical Expenses"/>
    <n v="8800"/>
    <n v="60"/>
    <n v="14.04"/>
    <n v="204.94"/>
    <n v="33.4"/>
    <s v="Late"/>
    <n v="30"/>
    <n v="0"/>
    <n v="615"/>
    <x v="1"/>
  </r>
  <r>
    <x v="335"/>
    <s v="BRW-0278"/>
    <d v="2024-12-05T00:00:00"/>
    <s v="Home Improvement"/>
    <n v="28000"/>
    <n v="48"/>
    <n v="12.52"/>
    <n v="744.52"/>
    <n v="40.9"/>
    <s v="Current"/>
    <n v="0"/>
    <n v="0"/>
    <n v="629"/>
    <x v="1"/>
  </r>
  <r>
    <x v="336"/>
    <s v="BRW-0279"/>
    <d v="2024-01-04T00:00:00"/>
    <s v="Education"/>
    <n v="17200"/>
    <n v="12"/>
    <n v="12.86"/>
    <n v="1535.13"/>
    <n v="44.4"/>
    <s v="Current"/>
    <n v="0"/>
    <n v="0"/>
    <n v="577"/>
    <x v="0"/>
  </r>
  <r>
    <x v="337"/>
    <s v="BRW-0280"/>
    <d v="2025-01-19T00:00:00"/>
    <s v="Vacation"/>
    <n v="47700"/>
    <n v="36"/>
    <n v="10.99"/>
    <n v="1561.41"/>
    <n v="77.5"/>
    <s v="Paid Off"/>
    <n v="0"/>
    <n v="0"/>
    <n v="783"/>
    <x v="3"/>
  </r>
  <r>
    <x v="338"/>
    <s v="BRW-0281"/>
    <d v="2024-07-18T00:00:00"/>
    <s v="Home Improvement"/>
    <n v="28600"/>
    <n v="24"/>
    <n v="8.6999999999999993"/>
    <n v="1302.6500000000001"/>
    <n v="64"/>
    <s v="Late"/>
    <n v="15"/>
    <n v="0"/>
    <n v="765"/>
    <x v="3"/>
  </r>
  <r>
    <x v="339"/>
    <s v="BRW-0282"/>
    <d v="2024-12-13T00:00:00"/>
    <s v="Business Loan"/>
    <n v="4500"/>
    <n v="36"/>
    <n v="11.88"/>
    <n v="149.21"/>
    <n v="22.8"/>
    <s v="Current"/>
    <n v="0"/>
    <n v="0"/>
    <n v="703"/>
    <x v="2"/>
  </r>
  <r>
    <x v="340"/>
    <s v="BRW-0282"/>
    <d v="2024-05-20T00:00:00"/>
    <s v="Medical Expenses"/>
    <n v="36100"/>
    <n v="12"/>
    <n v="12.44"/>
    <n v="3214.88"/>
    <n v="145"/>
    <s v="Current"/>
    <n v="0"/>
    <n v="0"/>
    <n v="703"/>
    <x v="2"/>
  </r>
  <r>
    <x v="341"/>
    <s v="BRW-0283"/>
    <d v="2025-06-23T00:00:00"/>
    <s v="Auto Loan"/>
    <n v="19700"/>
    <n v="36"/>
    <n v="10.74"/>
    <n v="642.53"/>
    <n v="25"/>
    <s v="Late"/>
    <n v="30"/>
    <n v="0"/>
    <n v="754"/>
    <x v="3"/>
  </r>
  <r>
    <x v="342"/>
    <s v="BRW-0283"/>
    <d v="2024-07-15T00:00:00"/>
    <s v="Home Improvement"/>
    <n v="31300"/>
    <n v="24"/>
    <n v="11.41"/>
    <n v="1464.79"/>
    <n v="37.4"/>
    <s v="Current"/>
    <n v="0"/>
    <n v="0"/>
    <n v="754"/>
    <x v="3"/>
  </r>
  <r>
    <x v="343"/>
    <s v="BRW-0284"/>
    <d v="2024-10-28T00:00:00"/>
    <s v="Business Loan"/>
    <n v="38600"/>
    <n v="60"/>
    <n v="10.6"/>
    <n v="831.58"/>
    <n v="31"/>
    <s v="Current"/>
    <n v="0"/>
    <n v="0"/>
    <n v="621"/>
    <x v="1"/>
  </r>
  <r>
    <x v="344"/>
    <s v="BRW-0285"/>
    <d v="2024-03-24T00:00:00"/>
    <s v="Medical Expenses"/>
    <n v="48500"/>
    <n v="48"/>
    <n v="8.6300000000000008"/>
    <n v="1198.42"/>
    <n v="58.9"/>
    <s v="Late"/>
    <n v="0"/>
    <n v="0"/>
    <n v="745"/>
    <x v="2"/>
  </r>
  <r>
    <x v="345"/>
    <s v="BRW-0286"/>
    <d v="2025-06-15T00:00:00"/>
    <s v="Major Purchase"/>
    <n v="33000"/>
    <n v="60"/>
    <n v="9.6"/>
    <n v="694.68"/>
    <n v="38"/>
    <s v="Current"/>
    <n v="0"/>
    <n v="0"/>
    <n v="736"/>
    <x v="2"/>
  </r>
  <r>
    <x v="346"/>
    <s v="BRW-0287"/>
    <d v="2024-07-31T00:00:00"/>
    <s v="Vacation"/>
    <n v="25800"/>
    <n v="60"/>
    <n v="10.98"/>
    <n v="560.70000000000005"/>
    <n v="37"/>
    <s v="Paid Off"/>
    <n v="0"/>
    <n v="0"/>
    <n v="736"/>
    <x v="2"/>
  </r>
  <r>
    <x v="347"/>
    <s v="BRW-0288"/>
    <d v="2025-01-18T00:00:00"/>
    <s v="Auto Loan"/>
    <n v="20100"/>
    <n v="24"/>
    <n v="14.98"/>
    <n v="974.39"/>
    <n v="26.1"/>
    <s v="Default"/>
    <n v="51"/>
    <n v="1"/>
    <n v="582"/>
    <x v="0"/>
  </r>
  <r>
    <x v="348"/>
    <s v="BRW-0289"/>
    <d v="2025-04-21T00:00:00"/>
    <s v="Home Improvement"/>
    <n v="19900"/>
    <n v="24"/>
    <n v="9.8699999999999992"/>
    <n v="917.09"/>
    <n v="53.6"/>
    <s v="Current"/>
    <n v="0"/>
    <n v="0"/>
    <n v="783"/>
    <x v="3"/>
  </r>
  <r>
    <x v="349"/>
    <s v="BRW-0290"/>
    <d v="2025-03-28T00:00:00"/>
    <s v="Education"/>
    <n v="17200"/>
    <n v="48"/>
    <n v="10.56"/>
    <n v="440.88"/>
    <n v="9.8000000000000007"/>
    <s v="Default"/>
    <n v="49"/>
    <n v="1"/>
    <n v="574"/>
    <x v="0"/>
  </r>
  <r>
    <x v="350"/>
    <s v="BRW-0291"/>
    <d v="2024-10-10T00:00:00"/>
    <s v="Home Improvement"/>
    <n v="26100"/>
    <n v="60"/>
    <n v="12.42"/>
    <n v="586.13"/>
    <n v="19.899999999999999"/>
    <s v="Current"/>
    <n v="0"/>
    <n v="0"/>
    <n v="648"/>
    <x v="1"/>
  </r>
  <r>
    <x v="351"/>
    <s v="BRW-0292"/>
    <d v="2024-10-08T00:00:00"/>
    <s v="Business Loan"/>
    <n v="12600"/>
    <n v="36"/>
    <n v="11.36"/>
    <n v="414.66"/>
    <n v="62.4"/>
    <s v="Default"/>
    <n v="65"/>
    <n v="1"/>
    <n v="609"/>
    <x v="1"/>
  </r>
  <r>
    <x v="352"/>
    <s v="BRW-0293"/>
    <d v="2024-12-20T00:00:00"/>
    <s v="Moving"/>
    <n v="2400"/>
    <n v="36"/>
    <n v="8.51"/>
    <n v="75.77"/>
    <n v="29.5"/>
    <s v="Current"/>
    <n v="0"/>
    <n v="0"/>
    <n v="774"/>
    <x v="3"/>
  </r>
  <r>
    <x v="353"/>
    <s v="BRW-0293"/>
    <d v="2024-06-01T00:00:00"/>
    <s v="Wedding"/>
    <n v="2600"/>
    <n v="60"/>
    <n v="12.05"/>
    <n v="57.9"/>
    <n v="28.9"/>
    <s v="Paid Off"/>
    <n v="0"/>
    <n v="0"/>
    <n v="774"/>
    <x v="3"/>
  </r>
  <r>
    <x v="354"/>
    <s v="BRW-0294"/>
    <d v="2025-04-17T00:00:00"/>
    <s v="Business Loan"/>
    <n v="39700"/>
    <n v="48"/>
    <n v="10.93"/>
    <n v="1024.72"/>
    <n v="21.3"/>
    <s v="Paid Off"/>
    <n v="0"/>
    <n v="0"/>
    <n v="761"/>
    <x v="3"/>
  </r>
  <r>
    <x v="355"/>
    <s v="BRW-0295"/>
    <d v="2024-05-22T00:00:00"/>
    <s v="Major Purchase"/>
    <n v="9300"/>
    <n v="60"/>
    <n v="8.15"/>
    <n v="189.24"/>
    <n v="38.4"/>
    <s v="Paid Off"/>
    <n v="0"/>
    <n v="0"/>
    <n v="720"/>
    <x v="2"/>
  </r>
  <r>
    <x v="356"/>
    <s v="BRW-0296"/>
    <d v="2024-11-02T00:00:00"/>
    <s v="Education"/>
    <n v="19900"/>
    <n v="48"/>
    <n v="13.08"/>
    <n v="534.66"/>
    <n v="49.5"/>
    <s v="Paid Off"/>
    <n v="0"/>
    <n v="0"/>
    <n v="644"/>
    <x v="1"/>
  </r>
  <r>
    <x v="357"/>
    <s v="BRW-0297"/>
    <d v="2025-02-04T00:00:00"/>
    <s v="Medical Expenses"/>
    <n v="49700"/>
    <n v="60"/>
    <n v="9.3000000000000007"/>
    <n v="1038.94"/>
    <n v="37.5"/>
    <s v="Current"/>
    <n v="0"/>
    <n v="0"/>
    <n v="831"/>
    <x v="3"/>
  </r>
  <r>
    <x v="358"/>
    <s v="BRW-0297"/>
    <d v="2025-04-07T00:00:00"/>
    <s v="Moving"/>
    <n v="18800"/>
    <n v="36"/>
    <n v="9"/>
    <n v="597.83000000000004"/>
    <n v="26.7"/>
    <s v="Current"/>
    <n v="0"/>
    <n v="0"/>
    <n v="831"/>
    <x v="3"/>
  </r>
  <r>
    <x v="359"/>
    <s v="BRW-0298"/>
    <d v="2024-07-22T00:00:00"/>
    <s v="Medical Expenses"/>
    <n v="19000"/>
    <n v="48"/>
    <n v="6.03"/>
    <n v="446.48"/>
    <n v="54.1"/>
    <s v="Default"/>
    <n v="128"/>
    <n v="1"/>
    <n v="846"/>
    <x v="3"/>
  </r>
  <r>
    <x v="360"/>
    <s v="BRW-0299"/>
    <d v="2025-06-14T00:00:00"/>
    <s v="Business Loan"/>
    <n v="8100"/>
    <n v="48"/>
    <n v="8.1999999999999993"/>
    <n v="198.51"/>
    <n v="64.099999999999994"/>
    <s v="Default"/>
    <n v="113"/>
    <n v="1"/>
    <n v="725"/>
    <x v="2"/>
  </r>
  <r>
    <x v="361"/>
    <s v="BRW-0300"/>
    <d v="2025-05-04T00:00:00"/>
    <s v="Major Purchase"/>
    <n v="49500"/>
    <n v="24"/>
    <n v="13.08"/>
    <n v="2355.1799999999998"/>
    <n v="86.4"/>
    <s v="Paid Off"/>
    <n v="0"/>
    <n v="0"/>
    <n v="576"/>
    <x v="0"/>
  </r>
  <r>
    <x v="362"/>
    <s v="BRW-0300"/>
    <d v="2025-05-01T00:00:00"/>
    <s v="Business Loan"/>
    <n v="9200"/>
    <n v="48"/>
    <n v="14.49"/>
    <n v="253.67"/>
    <n v="55.4"/>
    <s v="Default"/>
    <n v="177"/>
    <n v="1"/>
    <n v="576"/>
    <x v="0"/>
  </r>
  <r>
    <x v="363"/>
    <s v="BRW-0301"/>
    <d v="2024-01-08T00:00:00"/>
    <s v="Wedding"/>
    <n v="26800"/>
    <n v="48"/>
    <n v="7.81"/>
    <n v="651.88"/>
    <n v="55.1"/>
    <s v="Paid Off"/>
    <n v="0"/>
    <n v="0"/>
    <n v="814"/>
    <x v="3"/>
  </r>
  <r>
    <x v="364"/>
    <s v="BRW-0301"/>
    <d v="2025-04-16T00:00:00"/>
    <s v="Wedding"/>
    <n v="27200"/>
    <n v="60"/>
    <n v="10.83"/>
    <n v="589.09"/>
    <n v="54"/>
    <s v="Current"/>
    <n v="0"/>
    <n v="0"/>
    <n v="814"/>
    <x v="3"/>
  </r>
  <r>
    <x v="365"/>
    <s v="BRW-0302"/>
    <d v="2024-06-28T00:00:00"/>
    <s v="Vacation"/>
    <n v="33100"/>
    <n v="36"/>
    <n v="12.62"/>
    <n v="1109.22"/>
    <n v="67.8"/>
    <s v="Default"/>
    <n v="75"/>
    <n v="1"/>
    <n v="560"/>
    <x v="0"/>
  </r>
  <r>
    <x v="366"/>
    <s v="BRW-0303"/>
    <d v="2024-04-07T00:00:00"/>
    <s v="Major Purchase"/>
    <n v="45700"/>
    <n v="24"/>
    <n v="9.33"/>
    <n v="2094.7199999999998"/>
    <n v="76"/>
    <s v="Late"/>
    <n v="15"/>
    <n v="0"/>
    <n v="850"/>
    <x v="3"/>
  </r>
  <r>
    <x v="367"/>
    <s v="BRW-0303"/>
    <d v="2024-03-09T00:00:00"/>
    <s v="Medical Expenses"/>
    <n v="32100"/>
    <n v="36"/>
    <n v="9.17"/>
    <n v="1023.31"/>
    <n v="63.2"/>
    <s v="Current"/>
    <n v="0"/>
    <n v="0"/>
    <n v="850"/>
    <x v="3"/>
  </r>
  <r>
    <x v="368"/>
    <s v="BRW-0304"/>
    <d v="2024-11-29T00:00:00"/>
    <s v="Moving"/>
    <n v="14600"/>
    <n v="12"/>
    <n v="8.36"/>
    <n v="1272.46"/>
    <n v="66.099999999999994"/>
    <s v="Current"/>
    <n v="0"/>
    <n v="0"/>
    <n v="850"/>
    <x v="3"/>
  </r>
  <r>
    <x v="369"/>
    <s v="BRW-0305"/>
    <d v="2025-02-12T00:00:00"/>
    <s v="Debt Consolidation"/>
    <n v="6200"/>
    <n v="48"/>
    <n v="7.94"/>
    <n v="151.19"/>
    <n v="50.7"/>
    <s v="Current"/>
    <n v="0"/>
    <n v="0"/>
    <n v="838"/>
    <x v="3"/>
  </r>
  <r>
    <x v="370"/>
    <s v="BRW-0306"/>
    <d v="2024-03-25T00:00:00"/>
    <s v="Medical Expenses"/>
    <n v="12300"/>
    <n v="48"/>
    <n v="9.32"/>
    <n v="307.95999999999998"/>
    <n v="34.200000000000003"/>
    <s v="Paid Off"/>
    <n v="0"/>
    <n v="0"/>
    <n v="779"/>
    <x v="3"/>
  </r>
  <r>
    <x v="371"/>
    <s v="BRW-0307"/>
    <d v="2024-06-30T00:00:00"/>
    <s v="Auto Loan"/>
    <n v="8800"/>
    <n v="12"/>
    <n v="13.28"/>
    <n v="787.15"/>
    <n v="48.2"/>
    <s v="Default"/>
    <n v="166"/>
    <n v="1"/>
    <n v="585"/>
    <x v="0"/>
  </r>
  <r>
    <x v="372"/>
    <s v="BRW-0308"/>
    <d v="2025-01-01T00:00:00"/>
    <s v="Medical Expenses"/>
    <n v="11000"/>
    <n v="36"/>
    <n v="7.78"/>
    <n v="343.58"/>
    <n v="45.1"/>
    <s v="Paid Off"/>
    <n v="0"/>
    <n v="0"/>
    <n v="779"/>
    <x v="3"/>
  </r>
  <r>
    <x v="373"/>
    <s v="BRW-0309"/>
    <d v="2024-04-15T00:00:00"/>
    <s v="Vacation"/>
    <n v="42200"/>
    <n v="60"/>
    <n v="13.39"/>
    <n v="968.63"/>
    <n v="69.7"/>
    <s v="Default"/>
    <n v="108"/>
    <n v="1"/>
    <n v="589"/>
    <x v="0"/>
  </r>
  <r>
    <x v="374"/>
    <s v="BRW-0310"/>
    <d v="2025-01-18T00:00:00"/>
    <s v="Wedding"/>
    <n v="13400"/>
    <n v="24"/>
    <n v="14.29"/>
    <n v="645.21"/>
    <n v="51.9"/>
    <s v="Current"/>
    <n v="0"/>
    <n v="0"/>
    <n v="621"/>
    <x v="1"/>
  </r>
  <r>
    <x v="375"/>
    <s v="BRW-0311"/>
    <d v="2024-04-08T00:00:00"/>
    <s v="Debt Consolidation"/>
    <n v="10100"/>
    <n v="12"/>
    <n v="9.89"/>
    <n v="887.43"/>
    <n v="67.099999999999994"/>
    <s v="Current"/>
    <n v="0"/>
    <n v="0"/>
    <n v="673"/>
    <x v="4"/>
  </r>
  <r>
    <x v="376"/>
    <s v="BRW-0312"/>
    <d v="2024-07-13T00:00:00"/>
    <s v="Major Purchase"/>
    <n v="23900"/>
    <n v="36"/>
    <n v="10.64"/>
    <n v="778.39"/>
    <n v="76.8"/>
    <s v="Late"/>
    <n v="15"/>
    <n v="0"/>
    <n v="730"/>
    <x v="2"/>
  </r>
  <r>
    <x v="377"/>
    <s v="BRW-0313"/>
    <d v="2024-11-19T00:00:00"/>
    <s v="Business Loan"/>
    <n v="8300"/>
    <n v="24"/>
    <n v="8.84"/>
    <n v="378.57"/>
    <n v="41"/>
    <s v="Default"/>
    <n v="84"/>
    <n v="1"/>
    <n v="674"/>
    <x v="4"/>
  </r>
  <r>
    <x v="378"/>
    <s v="BRW-0314"/>
    <d v="2024-03-09T00:00:00"/>
    <s v="Home Improvement"/>
    <n v="15400"/>
    <n v="60"/>
    <n v="8.19"/>
    <n v="313.66000000000003"/>
    <n v="20.9"/>
    <s v="Paid Off"/>
    <n v="0"/>
    <n v="0"/>
    <n v="819"/>
    <x v="3"/>
  </r>
  <r>
    <x v="379"/>
    <s v="BRW-0315"/>
    <d v="2024-04-07T00:00:00"/>
    <s v="Home Improvement"/>
    <n v="38100"/>
    <n v="60"/>
    <n v="9.17"/>
    <n v="794.04"/>
    <n v="64.5"/>
    <s v="Late"/>
    <n v="30"/>
    <n v="0"/>
    <n v="701"/>
    <x v="2"/>
  </r>
  <r>
    <x v="380"/>
    <s v="BRW-0316"/>
    <d v="2025-05-08T00:00:00"/>
    <s v="Medical Expenses"/>
    <n v="13700"/>
    <n v="36"/>
    <n v="15.64"/>
    <n v="479.22"/>
    <n v="36.200000000000003"/>
    <s v="Default"/>
    <n v="34"/>
    <n v="1"/>
    <n v="555"/>
    <x v="0"/>
  </r>
  <r>
    <x v="381"/>
    <s v="BRW-0317"/>
    <d v="2024-01-14T00:00:00"/>
    <s v="Wedding"/>
    <n v="26500"/>
    <n v="24"/>
    <n v="12.88"/>
    <n v="1258.3699999999999"/>
    <n v="30.3"/>
    <s v="Default"/>
    <n v="61"/>
    <n v="1"/>
    <n v="578"/>
    <x v="0"/>
  </r>
  <r>
    <x v="382"/>
    <s v="BRW-0318"/>
    <d v="2025-05-25T00:00:00"/>
    <s v="Major Purchase"/>
    <n v="21000"/>
    <n v="12"/>
    <n v="9.4499999999999993"/>
    <n v="1840.87"/>
    <n v="121.8"/>
    <s v="Current"/>
    <n v="0"/>
    <n v="0"/>
    <n v="674"/>
    <x v="4"/>
  </r>
  <r>
    <x v="383"/>
    <s v="BRW-0319"/>
    <d v="2024-11-21T00:00:00"/>
    <s v="Wedding"/>
    <n v="22800"/>
    <n v="36"/>
    <n v="10.199999999999999"/>
    <n v="737.83"/>
    <n v="37.200000000000003"/>
    <s v="Current"/>
    <n v="0"/>
    <n v="0"/>
    <n v="628"/>
    <x v="1"/>
  </r>
  <r>
    <x v="384"/>
    <s v="BRW-0320"/>
    <d v="2024-07-29T00:00:00"/>
    <s v="Auto Loan"/>
    <n v="13000"/>
    <n v="36"/>
    <n v="11.03"/>
    <n v="425.79"/>
    <n v="16.3"/>
    <s v="Late"/>
    <n v="15"/>
    <n v="0"/>
    <n v="641"/>
    <x v="1"/>
  </r>
  <r>
    <x v="385"/>
    <s v="BRW-0320"/>
    <d v="2025-01-25T00:00:00"/>
    <s v="Business Loan"/>
    <n v="35400"/>
    <n v="24"/>
    <n v="12.36"/>
    <n v="1672.36"/>
    <n v="36.299999999999997"/>
    <s v="Late"/>
    <n v="0"/>
    <n v="0"/>
    <n v="641"/>
    <x v="1"/>
  </r>
  <r>
    <x v="386"/>
    <s v="BRW-0321"/>
    <d v="2024-05-08T00:00:00"/>
    <s v="Vacation"/>
    <n v="5800"/>
    <n v="24"/>
    <n v="14.02"/>
    <n v="278.52999999999997"/>
    <n v="28.6"/>
    <s v="Default"/>
    <n v="170"/>
    <n v="1"/>
    <n v="640"/>
    <x v="1"/>
  </r>
  <r>
    <x v="387"/>
    <s v="BRW-0322"/>
    <d v="2024-07-21T00:00:00"/>
    <s v="Business Loan"/>
    <n v="4200"/>
    <n v="48"/>
    <n v="11.24"/>
    <n v="109.04"/>
    <n v="44.9"/>
    <s v="Default"/>
    <n v="75"/>
    <n v="1"/>
    <n v="619"/>
    <x v="1"/>
  </r>
  <r>
    <x v="388"/>
    <s v="BRW-0322"/>
    <d v="2024-07-25T00:00:00"/>
    <s v="Wedding"/>
    <n v="10200"/>
    <n v="48"/>
    <n v="14.52"/>
    <n v="281.39999999999998"/>
    <n v="49"/>
    <s v="Default"/>
    <n v="153"/>
    <n v="1"/>
    <n v="619"/>
    <x v="1"/>
  </r>
  <r>
    <x v="389"/>
    <s v="BRW-0323"/>
    <d v="2025-03-19T00:00:00"/>
    <s v="Education"/>
    <n v="8200"/>
    <n v="48"/>
    <n v="12.25"/>
    <n v="216.95"/>
    <n v="16.7"/>
    <s v="Paid Off"/>
    <n v="0"/>
    <n v="0"/>
    <n v="592"/>
    <x v="0"/>
  </r>
  <r>
    <x v="390"/>
    <s v="BRW-0324"/>
    <d v="2024-06-05T00:00:00"/>
    <s v="Major Purchase"/>
    <n v="4900"/>
    <n v="36"/>
    <n v="9.18"/>
    <n v="156.22999999999999"/>
    <n v="59"/>
    <s v="Current"/>
    <n v="0"/>
    <n v="0"/>
    <n v="828"/>
    <x v="3"/>
  </r>
  <r>
    <x v="391"/>
    <s v="BRW-0325"/>
    <d v="2025-04-25T00:00:00"/>
    <s v="Auto Loan"/>
    <n v="30600"/>
    <n v="12"/>
    <n v="9.93"/>
    <n v="2689.23"/>
    <n v="100.4"/>
    <s v="Default"/>
    <n v="78"/>
    <n v="1"/>
    <n v="704"/>
    <x v="2"/>
  </r>
  <r>
    <x v="392"/>
    <s v="BRW-0326"/>
    <d v="2025-02-08T00:00:00"/>
    <s v="Moving"/>
    <n v="20000"/>
    <n v="48"/>
    <n v="12.16"/>
    <n v="528.25"/>
    <n v="30.1"/>
    <s v="Current"/>
    <n v="0"/>
    <n v="0"/>
    <n v="748"/>
    <x v="2"/>
  </r>
  <r>
    <x v="393"/>
    <s v="BRW-0327"/>
    <d v="2024-06-15T00:00:00"/>
    <s v="Wedding"/>
    <n v="6100"/>
    <n v="12"/>
    <n v="10.74"/>
    <n v="538.39"/>
    <n v="47.2"/>
    <s v="Default"/>
    <n v="141"/>
    <n v="1"/>
    <n v="671"/>
    <x v="4"/>
  </r>
  <r>
    <x v="394"/>
    <s v="BRW-0328"/>
    <d v="2025-01-29T00:00:00"/>
    <s v="Education"/>
    <n v="24900"/>
    <n v="36"/>
    <n v="10.17"/>
    <n v="805.44"/>
    <n v="24"/>
    <s v="Current"/>
    <n v="0"/>
    <n v="0"/>
    <n v="799"/>
    <x v="3"/>
  </r>
  <r>
    <x v="395"/>
    <s v="BRW-0328"/>
    <d v="2024-05-31T00:00:00"/>
    <s v="Debt Consolidation"/>
    <n v="19300"/>
    <n v="12"/>
    <n v="10.17"/>
    <n v="1698.3"/>
    <n v="44"/>
    <s v="Late"/>
    <n v="0"/>
    <n v="0"/>
    <n v="799"/>
    <x v="3"/>
  </r>
  <r>
    <x v="396"/>
    <s v="BRW-0329"/>
    <d v="2024-04-04T00:00:00"/>
    <s v="Wedding"/>
    <n v="33800"/>
    <n v="24"/>
    <n v="6.85"/>
    <n v="1511.02"/>
    <n v="36.4"/>
    <s v="Late"/>
    <n v="15"/>
    <n v="0"/>
    <n v="793"/>
    <x v="3"/>
  </r>
  <r>
    <x v="397"/>
    <s v="BRW-0330"/>
    <d v="2025-03-13T00:00:00"/>
    <s v="Home Improvement"/>
    <n v="11100"/>
    <n v="48"/>
    <n v="9.5299999999999994"/>
    <n v="279.02999999999997"/>
    <n v="48.1"/>
    <s v="Default"/>
    <n v="107"/>
    <n v="1"/>
    <n v="678"/>
    <x v="4"/>
  </r>
  <r>
    <x v="398"/>
    <s v="BRW-0331"/>
    <d v="2024-04-01T00:00:00"/>
    <s v="Moving"/>
    <n v="20400"/>
    <n v="36"/>
    <n v="12.24"/>
    <n v="679.91"/>
    <n v="60.2"/>
    <s v="Default"/>
    <n v="176"/>
    <n v="1"/>
    <n v="686"/>
    <x v="4"/>
  </r>
  <r>
    <x v="399"/>
    <s v="BRW-0332"/>
    <d v="2025-02-11T00:00:00"/>
    <s v="Education"/>
    <n v="14900"/>
    <n v="24"/>
    <n v="14.15"/>
    <n v="716.45"/>
    <n v="32"/>
    <s v="Current"/>
    <n v="0"/>
    <n v="0"/>
    <n v="630"/>
    <x v="1"/>
  </r>
  <r>
    <x v="400"/>
    <s v="BRW-0333"/>
    <d v="2024-10-22T00:00:00"/>
    <s v="Home Improvement"/>
    <n v="15500"/>
    <n v="60"/>
    <n v="8.4499999999999993"/>
    <n v="317.63"/>
    <n v="52.3"/>
    <s v="Current"/>
    <n v="0"/>
    <n v="0"/>
    <n v="818"/>
    <x v="3"/>
  </r>
  <r>
    <x v="401"/>
    <s v="BRW-0334"/>
    <d v="2024-08-05T00:00:00"/>
    <s v="Business Loan"/>
    <n v="20100"/>
    <n v="12"/>
    <n v="12.95"/>
    <n v="1794.81"/>
    <n v="55.1"/>
    <s v="Default"/>
    <n v="45"/>
    <n v="1"/>
    <n v="558"/>
    <x v="0"/>
  </r>
  <r>
    <x v="402"/>
    <s v="BRW-0335"/>
    <d v="2024-04-21T00:00:00"/>
    <s v="Business Loan"/>
    <n v="34700"/>
    <n v="48"/>
    <n v="10.54"/>
    <n v="889.11"/>
    <n v="29.1"/>
    <s v="Current"/>
    <n v="0"/>
    <n v="0"/>
    <n v="700"/>
    <x v="2"/>
  </r>
  <r>
    <x v="403"/>
    <s v="BRW-0336"/>
    <d v="2024-04-13T00:00:00"/>
    <s v="Auto Loan"/>
    <n v="3400"/>
    <n v="24"/>
    <n v="10.039999999999999"/>
    <n v="156.96"/>
    <n v="13.2"/>
    <s v="Default"/>
    <n v="98"/>
    <n v="1"/>
    <n v="741"/>
    <x v="2"/>
  </r>
  <r>
    <x v="404"/>
    <s v="BRW-0337"/>
    <d v="2025-06-18T00:00:00"/>
    <s v="Debt Consolidation"/>
    <n v="39900"/>
    <n v="12"/>
    <n v="7.25"/>
    <n v="3457.02"/>
    <n v="77.599999999999994"/>
    <s v="Current"/>
    <n v="0"/>
    <n v="0"/>
    <n v="794"/>
    <x v="3"/>
  </r>
  <r>
    <x v="405"/>
    <s v="BRW-0338"/>
    <d v="2024-12-10T00:00:00"/>
    <s v="Auto Loan"/>
    <n v="24700"/>
    <n v="36"/>
    <n v="12.46"/>
    <n v="825.83"/>
    <n v="23.3"/>
    <s v="Late"/>
    <n v="15"/>
    <n v="0"/>
    <n v="634"/>
    <x v="1"/>
  </r>
  <r>
    <x v="406"/>
    <s v="BRW-0338"/>
    <d v="2024-12-30T00:00:00"/>
    <s v="Business Loan"/>
    <n v="33900"/>
    <n v="48"/>
    <n v="12.49"/>
    <n v="900.89"/>
    <n v="24.2"/>
    <s v="Current"/>
    <n v="0"/>
    <n v="0"/>
    <n v="634"/>
    <x v="1"/>
  </r>
  <r>
    <x v="407"/>
    <s v="BRW-0339"/>
    <d v="2024-05-05T00:00:00"/>
    <s v="Major Purchase"/>
    <n v="44600"/>
    <n v="24"/>
    <n v="6.46"/>
    <n v="1985.96"/>
    <n v="98.4"/>
    <s v="Late"/>
    <n v="0"/>
    <n v="0"/>
    <n v="820"/>
    <x v="3"/>
  </r>
  <r>
    <x v="408"/>
    <s v="BRW-0339"/>
    <d v="2024-07-11T00:00:00"/>
    <s v="Business Loan"/>
    <n v="25000"/>
    <n v="48"/>
    <n v="8.91"/>
    <n v="621.05999999999995"/>
    <n v="67.400000000000006"/>
    <s v="Default"/>
    <n v="112"/>
    <n v="1"/>
    <n v="820"/>
    <x v="3"/>
  </r>
  <r>
    <x v="409"/>
    <s v="BRW-0340"/>
    <d v="2024-08-27T00:00:00"/>
    <s v="Education"/>
    <n v="48500"/>
    <n v="36"/>
    <n v="11.66"/>
    <n v="1603.03"/>
    <n v="75.900000000000006"/>
    <s v="Late"/>
    <n v="0"/>
    <n v="0"/>
    <n v="704"/>
    <x v="2"/>
  </r>
  <r>
    <x v="410"/>
    <s v="BRW-0341"/>
    <d v="2024-04-12T00:00:00"/>
    <s v="Major Purchase"/>
    <n v="47200"/>
    <n v="48"/>
    <n v="13"/>
    <n v="1266.26"/>
    <n v="21.4"/>
    <s v="Current"/>
    <n v="0"/>
    <n v="0"/>
    <n v="716"/>
    <x v="2"/>
  </r>
  <r>
    <x v="411"/>
    <s v="BRW-0342"/>
    <d v="2025-05-24T00:00:00"/>
    <s v="Moving"/>
    <n v="39700"/>
    <n v="60"/>
    <n v="7.59"/>
    <n v="797.21"/>
    <n v="65.400000000000006"/>
    <s v="Late"/>
    <n v="0"/>
    <n v="0"/>
    <n v="754"/>
    <x v="3"/>
  </r>
  <r>
    <x v="412"/>
    <s v="BRW-0343"/>
    <d v="2024-09-03T00:00:00"/>
    <s v="Vacation"/>
    <n v="17000"/>
    <n v="12"/>
    <n v="8.58"/>
    <n v="1483.37"/>
    <n v="33.700000000000003"/>
    <s v="Paid Off"/>
    <n v="0"/>
    <n v="0"/>
    <n v="830"/>
    <x v="3"/>
  </r>
  <r>
    <x v="413"/>
    <s v="BRW-0344"/>
    <d v="2024-11-30T00:00:00"/>
    <s v="Home Improvement"/>
    <n v="36400"/>
    <n v="24"/>
    <n v="15.11"/>
    <n v="1766.82"/>
    <n v="37.6"/>
    <s v="Current"/>
    <n v="0"/>
    <n v="0"/>
    <n v="572"/>
    <x v="0"/>
  </r>
  <r>
    <x v="414"/>
    <s v="BRW-0345"/>
    <d v="2025-05-18T00:00:00"/>
    <s v="Vacation"/>
    <n v="34200"/>
    <n v="24"/>
    <n v="15.53"/>
    <n v="1666.87"/>
    <n v="73.900000000000006"/>
    <s v="Default"/>
    <n v="115"/>
    <n v="1"/>
    <n v="545"/>
    <x v="0"/>
  </r>
  <r>
    <x v="415"/>
    <s v="BRW-0346"/>
    <d v="2025-01-25T00:00:00"/>
    <s v="Wedding"/>
    <n v="22100"/>
    <n v="36"/>
    <n v="8.42"/>
    <n v="696.82"/>
    <n v="47.8"/>
    <s v="Paid Off"/>
    <n v="0"/>
    <n v="0"/>
    <n v="808"/>
    <x v="3"/>
  </r>
  <r>
    <x v="416"/>
    <s v="BRW-0346"/>
    <d v="2024-04-24T00:00:00"/>
    <s v="Major Purchase"/>
    <n v="9800"/>
    <n v="12"/>
    <n v="7.99"/>
    <n v="852.44"/>
    <n v="54.2"/>
    <s v="Default"/>
    <n v="78"/>
    <n v="1"/>
    <n v="808"/>
    <x v="3"/>
  </r>
  <r>
    <x v="417"/>
    <s v="BRW-0347"/>
    <d v="2024-01-02T00:00:00"/>
    <s v="Home Improvement"/>
    <n v="7000"/>
    <n v="36"/>
    <n v="11.75"/>
    <n v="231.67"/>
    <n v="26.4"/>
    <s v="Current"/>
    <n v="0"/>
    <n v="0"/>
    <n v="781"/>
    <x v="3"/>
  </r>
  <r>
    <x v="418"/>
    <s v="BRW-0348"/>
    <d v="2024-08-15T00:00:00"/>
    <s v="Major Purchase"/>
    <n v="12900"/>
    <n v="24"/>
    <n v="12.02"/>
    <n v="607.37"/>
    <n v="26.4"/>
    <s v="Default"/>
    <n v="32"/>
    <n v="1"/>
    <n v="635"/>
    <x v="1"/>
  </r>
  <r>
    <x v="419"/>
    <s v="BRW-0349"/>
    <d v="2025-05-26T00:00:00"/>
    <s v="Vacation"/>
    <n v="32200"/>
    <n v="36"/>
    <n v="10.02"/>
    <n v="1039.31"/>
    <n v="45.1"/>
    <s v="Current"/>
    <n v="0"/>
    <n v="0"/>
    <n v="850"/>
    <x v="3"/>
  </r>
  <r>
    <x v="420"/>
    <s v="BRW-0350"/>
    <d v="2025-05-04T00:00:00"/>
    <s v="Debt Consolidation"/>
    <n v="11300"/>
    <n v="12"/>
    <n v="10.33"/>
    <n v="995.18"/>
    <n v="47.5"/>
    <s v="Current"/>
    <n v="0"/>
    <n v="0"/>
    <n v="662"/>
    <x v="4"/>
  </r>
  <r>
    <x v="421"/>
    <s v="BRW-0351"/>
    <d v="2024-08-18T00:00:00"/>
    <s v="Debt Consolidation"/>
    <n v="18000"/>
    <n v="24"/>
    <n v="10.31"/>
    <n v="833.19"/>
    <n v="44.6"/>
    <s v="Paid Off"/>
    <n v="0"/>
    <n v="0"/>
    <n v="836"/>
    <x v="3"/>
  </r>
  <r>
    <x v="422"/>
    <s v="BRW-0351"/>
    <d v="2024-06-12T00:00:00"/>
    <s v="Medical Expenses"/>
    <n v="36900"/>
    <n v="36"/>
    <n v="10.99"/>
    <n v="1207.8800000000001"/>
    <n v="50.7"/>
    <s v="Current"/>
    <n v="0"/>
    <n v="0"/>
    <n v="836"/>
    <x v="3"/>
  </r>
  <r>
    <x v="423"/>
    <s v="BRW-0352"/>
    <d v="2024-10-16T00:00:00"/>
    <s v="Education"/>
    <n v="20800"/>
    <n v="60"/>
    <n v="12.8"/>
    <n v="471.14"/>
    <n v="52.9"/>
    <s v="Paid Off"/>
    <n v="0"/>
    <n v="0"/>
    <n v="650"/>
    <x v="4"/>
  </r>
  <r>
    <x v="424"/>
    <s v="BRW-0353"/>
    <d v="2024-11-07T00:00:00"/>
    <s v="Medical Expenses"/>
    <n v="40000"/>
    <n v="12"/>
    <n v="10.08"/>
    <n v="3518.12"/>
    <n v="107.2"/>
    <s v="Current"/>
    <n v="0"/>
    <n v="0"/>
    <n v="850"/>
    <x v="3"/>
  </r>
  <r>
    <x v="425"/>
    <s v="BRW-0354"/>
    <d v="2024-01-10T00:00:00"/>
    <s v="Auto Loan"/>
    <n v="12100"/>
    <n v="24"/>
    <n v="11.16"/>
    <n v="564.85"/>
    <n v="54.6"/>
    <s v="Late"/>
    <n v="15"/>
    <n v="0"/>
    <n v="751"/>
    <x v="3"/>
  </r>
  <r>
    <x v="426"/>
    <s v="BRW-0355"/>
    <d v="2024-04-08T00:00:00"/>
    <s v="Medical Expenses"/>
    <n v="49200"/>
    <n v="24"/>
    <n v="14.9"/>
    <n v="2383.21"/>
    <n v="69.400000000000006"/>
    <s v="Default"/>
    <n v="151"/>
    <n v="1"/>
    <n v="584"/>
    <x v="0"/>
  </r>
  <r>
    <x v="427"/>
    <s v="BRW-0356"/>
    <d v="2024-06-01T00:00:00"/>
    <s v="Debt Consolidation"/>
    <n v="21600"/>
    <n v="36"/>
    <n v="8.8000000000000007"/>
    <n v="684.87"/>
    <n v="21.5"/>
    <s v="Current"/>
    <n v="0"/>
    <n v="0"/>
    <n v="850"/>
    <x v="3"/>
  </r>
  <r>
    <x v="428"/>
    <s v="BRW-0357"/>
    <d v="2025-01-19T00:00:00"/>
    <s v="Vacation"/>
    <n v="12000"/>
    <n v="24"/>
    <n v="13.61"/>
    <n v="573.95000000000005"/>
    <n v="46.6"/>
    <s v="Late"/>
    <n v="30"/>
    <n v="0"/>
    <n v="579"/>
    <x v="0"/>
  </r>
  <r>
    <x v="429"/>
    <s v="BRW-0358"/>
    <d v="2025-03-31T00:00:00"/>
    <s v="Vacation"/>
    <n v="33200"/>
    <n v="36"/>
    <n v="10.3"/>
    <n v="1075.95"/>
    <n v="58.6"/>
    <s v="Current"/>
    <n v="0"/>
    <n v="0"/>
    <n v="772"/>
    <x v="3"/>
  </r>
  <r>
    <x v="430"/>
    <s v="BRW-0359"/>
    <d v="2024-04-06T00:00:00"/>
    <s v="Moving"/>
    <n v="30200"/>
    <n v="60"/>
    <n v="11.38"/>
    <n v="662.36"/>
    <n v="31.8"/>
    <s v="Current"/>
    <n v="0"/>
    <n v="0"/>
    <n v="661"/>
    <x v="4"/>
  </r>
  <r>
    <x v="431"/>
    <s v="BRW-0360"/>
    <d v="2024-07-08T00:00:00"/>
    <s v="Major Purchase"/>
    <n v="8000"/>
    <n v="36"/>
    <n v="7.22"/>
    <n v="247.82"/>
    <n v="23.8"/>
    <s v="Current"/>
    <n v="0"/>
    <n v="0"/>
    <n v="786"/>
    <x v="3"/>
  </r>
  <r>
    <x v="432"/>
    <s v="BRW-0361"/>
    <d v="2024-05-07T00:00:00"/>
    <s v="Moving"/>
    <n v="26900"/>
    <n v="60"/>
    <n v="8.5299999999999994"/>
    <n v="552.28"/>
    <n v="51.9"/>
    <s v="Late"/>
    <n v="0"/>
    <n v="0"/>
    <n v="850"/>
    <x v="3"/>
  </r>
  <r>
    <x v="433"/>
    <s v="BRW-0361"/>
    <d v="2025-04-02T00:00:00"/>
    <s v="Home Improvement"/>
    <n v="30800"/>
    <n v="24"/>
    <n v="5.86"/>
    <n v="1363.13"/>
    <n v="60.2"/>
    <s v="Current"/>
    <n v="0"/>
    <n v="0"/>
    <n v="850"/>
    <x v="3"/>
  </r>
  <r>
    <x v="434"/>
    <s v="BRW-0362"/>
    <d v="2024-05-07T00:00:00"/>
    <s v="Medical Expenses"/>
    <n v="14300"/>
    <n v="12"/>
    <n v="6.87"/>
    <n v="1236.48"/>
    <n v="23.6"/>
    <s v="Current"/>
    <n v="0"/>
    <n v="0"/>
    <n v="813"/>
    <x v="3"/>
  </r>
  <r>
    <x v="435"/>
    <s v="BRW-0363"/>
    <d v="2024-10-27T00:00:00"/>
    <s v="Debt Consolidation"/>
    <n v="3900"/>
    <n v="60"/>
    <n v="13.91"/>
    <n v="90.56"/>
    <n v="24.5"/>
    <s v="Current"/>
    <n v="0"/>
    <n v="0"/>
    <n v="637"/>
    <x v="1"/>
  </r>
  <r>
    <x v="436"/>
    <s v="BRW-0364"/>
    <d v="2024-08-02T00:00:00"/>
    <s v="Moving"/>
    <n v="49800"/>
    <n v="60"/>
    <n v="8.52"/>
    <n v="1022.2"/>
    <n v="52.7"/>
    <s v="Current"/>
    <n v="0"/>
    <n v="0"/>
    <n v="850"/>
    <x v="3"/>
  </r>
  <r>
    <x v="437"/>
    <s v="BRW-0365"/>
    <d v="2024-08-09T00:00:00"/>
    <s v="Medical Expenses"/>
    <n v="24000"/>
    <n v="24"/>
    <n v="11.19"/>
    <n v="1120.71"/>
    <n v="77.8"/>
    <s v="Paid Off"/>
    <n v="0"/>
    <n v="0"/>
    <n v="709"/>
    <x v="2"/>
  </r>
  <r>
    <x v="438"/>
    <s v="BRW-0366"/>
    <d v="2024-03-26T00:00:00"/>
    <s v="Moving"/>
    <n v="9800"/>
    <n v="24"/>
    <n v="8.3800000000000008"/>
    <n v="444.93"/>
    <n v="29.8"/>
    <s v="Paid Off"/>
    <n v="0"/>
    <n v="0"/>
    <n v="817"/>
    <x v="3"/>
  </r>
  <r>
    <x v="439"/>
    <s v="BRW-0367"/>
    <d v="2025-06-07T00:00:00"/>
    <s v="Business Loan"/>
    <n v="26000"/>
    <n v="24"/>
    <n v="14.51"/>
    <n v="1254.6099999999999"/>
    <n v="61.7"/>
    <s v="Current"/>
    <n v="0"/>
    <n v="0"/>
    <n v="544"/>
    <x v="0"/>
  </r>
  <r>
    <x v="440"/>
    <s v="BRW-0368"/>
    <d v="2024-05-07T00:00:00"/>
    <s v="Major Purchase"/>
    <n v="31700"/>
    <n v="24"/>
    <n v="6.22"/>
    <n v="1408.11"/>
    <n v="66.8"/>
    <s v="Current"/>
    <n v="0"/>
    <n v="0"/>
    <n v="850"/>
    <x v="3"/>
  </r>
  <r>
    <x v="441"/>
    <s v="BRW-0368"/>
    <d v="2024-05-29T00:00:00"/>
    <s v="Education"/>
    <n v="18100"/>
    <n v="36"/>
    <n v="9.7200000000000006"/>
    <n v="581.66"/>
    <n v="44"/>
    <s v="Current"/>
    <n v="0"/>
    <n v="0"/>
    <n v="850"/>
    <x v="3"/>
  </r>
  <r>
    <x v="442"/>
    <s v="BRW-0369"/>
    <d v="2024-11-09T00:00:00"/>
    <s v="Business Loan"/>
    <n v="7000"/>
    <n v="12"/>
    <n v="8.5"/>
    <n v="610.54"/>
    <n v="54.8"/>
    <s v="Current"/>
    <n v="0"/>
    <n v="0"/>
    <n v="743"/>
    <x v="2"/>
  </r>
  <r>
    <x v="443"/>
    <s v="BRW-0370"/>
    <d v="2024-02-19T00:00:00"/>
    <s v="Wedding"/>
    <n v="25100"/>
    <n v="60"/>
    <n v="10.83"/>
    <n v="543.61"/>
    <n v="68"/>
    <s v="Default"/>
    <n v="129"/>
    <n v="1"/>
    <n v="580"/>
    <x v="0"/>
  </r>
  <r>
    <x v="444"/>
    <s v="BRW-0371"/>
    <d v="2024-05-10T00:00:00"/>
    <s v="Moving"/>
    <n v="42100"/>
    <n v="48"/>
    <n v="11.95"/>
    <n v="1107.6199999999999"/>
    <n v="72.2"/>
    <s v="Default"/>
    <n v="161"/>
    <n v="1"/>
    <n v="626"/>
    <x v="1"/>
  </r>
  <r>
    <x v="445"/>
    <s v="BRW-0372"/>
    <d v="2025-01-14T00:00:00"/>
    <s v="Medical Expenses"/>
    <n v="14100"/>
    <n v="36"/>
    <n v="11.21"/>
    <n v="463.02"/>
    <n v="36.4"/>
    <s v="Late"/>
    <n v="0"/>
    <n v="0"/>
    <n v="543"/>
    <x v="0"/>
  </r>
  <r>
    <x v="446"/>
    <s v="BRW-0373"/>
    <d v="2024-10-09T00:00:00"/>
    <s v="Medical Expenses"/>
    <n v="17600"/>
    <n v="48"/>
    <n v="10.76"/>
    <n v="452.83"/>
    <n v="60.1"/>
    <s v="Paid Off"/>
    <n v="0"/>
    <n v="0"/>
    <n v="705"/>
    <x v="2"/>
  </r>
  <r>
    <x v="447"/>
    <s v="BRW-0374"/>
    <d v="2024-11-16T00:00:00"/>
    <s v="Business Loan"/>
    <n v="29700"/>
    <n v="36"/>
    <n v="8.4499999999999993"/>
    <n v="936.87"/>
    <n v="39.799999999999997"/>
    <s v="Current"/>
    <n v="0"/>
    <n v="0"/>
    <n v="815"/>
    <x v="3"/>
  </r>
  <r>
    <x v="448"/>
    <s v="BRW-0374"/>
    <d v="2024-10-19T00:00:00"/>
    <s v="Business Loan"/>
    <n v="9900"/>
    <n v="12"/>
    <n v="6.84"/>
    <n v="855.88"/>
    <n v="37.9"/>
    <s v="Paid Off"/>
    <n v="0"/>
    <n v="0"/>
    <n v="815"/>
    <x v="3"/>
  </r>
  <r>
    <x v="449"/>
    <s v="BRW-0375"/>
    <d v="2025-06-11T00:00:00"/>
    <s v="Major Purchase"/>
    <n v="46800"/>
    <n v="24"/>
    <n v="10.46"/>
    <n v="2169.5300000000002"/>
    <n v="43.4"/>
    <s v="Current"/>
    <n v="0"/>
    <n v="0"/>
    <n v="716"/>
    <x v="2"/>
  </r>
  <r>
    <x v="450"/>
    <s v="BRW-0375"/>
    <d v="2024-12-19T00:00:00"/>
    <s v="Home Improvement"/>
    <n v="31600"/>
    <n v="12"/>
    <n v="11.64"/>
    <n v="2802.3"/>
    <n v="50.1"/>
    <s v="Paid Off"/>
    <n v="0"/>
    <n v="0"/>
    <n v="716"/>
    <x v="2"/>
  </r>
  <r>
    <x v="451"/>
    <s v="BRW-0376"/>
    <d v="2025-06-20T00:00:00"/>
    <s v="Moving"/>
    <n v="3700"/>
    <n v="48"/>
    <n v="15.07"/>
    <n v="103.11"/>
    <n v="55.4"/>
    <s v="Current"/>
    <n v="0"/>
    <n v="0"/>
    <n v="585"/>
    <x v="0"/>
  </r>
  <r>
    <x v="452"/>
    <s v="BRW-0376"/>
    <d v="2024-06-23T00:00:00"/>
    <s v="Medical Expenses"/>
    <n v="33800"/>
    <n v="48"/>
    <n v="12.73"/>
    <n v="902.25"/>
    <n v="80.2"/>
    <s v="Default"/>
    <n v="58"/>
    <n v="1"/>
    <n v="585"/>
    <x v="0"/>
  </r>
  <r>
    <x v="453"/>
    <s v="BRW-0377"/>
    <d v="2025-05-09T00:00:00"/>
    <s v="Business Loan"/>
    <n v="42800"/>
    <n v="12"/>
    <n v="9.3699999999999992"/>
    <n v="3750.27"/>
    <n v="105.8"/>
    <s v="Paid Off"/>
    <n v="0"/>
    <n v="0"/>
    <n v="725"/>
    <x v="2"/>
  </r>
  <r>
    <x v="454"/>
    <s v="BRW-0378"/>
    <d v="2024-02-06T00:00:00"/>
    <s v="Business Loan"/>
    <n v="46600"/>
    <n v="60"/>
    <n v="11.4"/>
    <n v="1022.52"/>
    <n v="38"/>
    <s v="Late"/>
    <n v="15"/>
    <n v="0"/>
    <n v="764"/>
    <x v="3"/>
  </r>
  <r>
    <x v="455"/>
    <s v="BRW-0379"/>
    <d v="2024-12-24T00:00:00"/>
    <s v="Debt Consolidation"/>
    <n v="17800"/>
    <n v="36"/>
    <n v="11.5"/>
    <n v="586.97"/>
    <n v="42.5"/>
    <s v="Current"/>
    <n v="0"/>
    <n v="0"/>
    <n v="542"/>
    <x v="0"/>
  </r>
  <r>
    <x v="456"/>
    <s v="BRW-0380"/>
    <d v="2025-05-14T00:00:00"/>
    <s v="Vacation"/>
    <n v="14100"/>
    <n v="24"/>
    <n v="7.99"/>
    <n v="637.64"/>
    <n v="45.4"/>
    <s v="Default"/>
    <n v="94"/>
    <n v="1"/>
    <n v="844"/>
    <x v="3"/>
  </r>
  <r>
    <x v="457"/>
    <s v="BRW-0381"/>
    <d v="2024-10-02T00:00:00"/>
    <s v="Major Purchase"/>
    <n v="11000"/>
    <n v="24"/>
    <n v="13.82"/>
    <n v="527.21"/>
    <n v="56.6"/>
    <s v="Default"/>
    <n v="142"/>
    <n v="1"/>
    <n v="532"/>
    <x v="0"/>
  </r>
  <r>
    <x v="458"/>
    <s v="BRW-0382"/>
    <d v="2024-07-22T00:00:00"/>
    <s v="Vacation"/>
    <n v="19000"/>
    <n v="48"/>
    <n v="8.2100000000000009"/>
    <n v="465.72"/>
    <n v="17.600000000000001"/>
    <s v="Current"/>
    <n v="0"/>
    <n v="0"/>
    <n v="709"/>
    <x v="2"/>
  </r>
  <r>
    <x v="459"/>
    <s v="BRW-0383"/>
    <d v="2024-09-29T00:00:00"/>
    <s v="Education"/>
    <n v="9700"/>
    <n v="24"/>
    <n v="10.74"/>
    <n v="450.93"/>
    <n v="20.3"/>
    <s v="Current"/>
    <n v="0"/>
    <n v="0"/>
    <n v="840"/>
    <x v="3"/>
  </r>
  <r>
    <x v="460"/>
    <s v="BRW-0384"/>
    <d v="2025-02-02T00:00:00"/>
    <s v="Medical Expenses"/>
    <n v="38700"/>
    <n v="48"/>
    <n v="9.99"/>
    <n v="981.35"/>
    <n v="27.2"/>
    <s v="Late"/>
    <n v="30"/>
    <n v="0"/>
    <n v="751"/>
    <x v="3"/>
  </r>
  <r>
    <x v="461"/>
    <s v="BRW-0385"/>
    <d v="2024-12-16T00:00:00"/>
    <s v="Education"/>
    <n v="38800"/>
    <n v="24"/>
    <n v="11.03"/>
    <n v="1808.92"/>
    <n v="70.099999999999994"/>
    <s v="Default"/>
    <n v="32"/>
    <n v="1"/>
    <n v="554"/>
    <x v="0"/>
  </r>
  <r>
    <x v="462"/>
    <s v="BRW-0386"/>
    <d v="2024-06-05T00:00:00"/>
    <s v="Auto Loan"/>
    <n v="6000"/>
    <n v="48"/>
    <n v="11.91"/>
    <n v="157.74"/>
    <n v="12.6"/>
    <s v="Current"/>
    <n v="0"/>
    <n v="0"/>
    <n v="560"/>
    <x v="0"/>
  </r>
  <r>
    <x v="463"/>
    <s v="BRW-0387"/>
    <d v="2024-04-15T00:00:00"/>
    <s v="Auto Loan"/>
    <n v="13900"/>
    <n v="48"/>
    <n v="6.83"/>
    <n v="331.76"/>
    <n v="35.700000000000003"/>
    <s v="Current"/>
    <n v="0"/>
    <n v="0"/>
    <n v="850"/>
    <x v="3"/>
  </r>
  <r>
    <x v="464"/>
    <s v="BRW-0388"/>
    <d v="2024-02-09T00:00:00"/>
    <s v="Wedding"/>
    <n v="9100"/>
    <n v="12"/>
    <n v="10.78"/>
    <n v="803.34"/>
    <n v="54.5"/>
    <s v="Default"/>
    <n v="79"/>
    <n v="1"/>
    <n v="593"/>
    <x v="0"/>
  </r>
  <r>
    <x v="465"/>
    <s v="BRW-0388"/>
    <d v="2025-01-24T00:00:00"/>
    <s v="Medical Expenses"/>
    <n v="31600"/>
    <n v="12"/>
    <n v="14.44"/>
    <n v="2843.82"/>
    <n v="80.7"/>
    <s v="Default"/>
    <n v="108"/>
    <n v="1"/>
    <n v="593"/>
    <x v="0"/>
  </r>
  <r>
    <x v="466"/>
    <s v="BRW-0389"/>
    <d v="2024-02-22T00:00:00"/>
    <s v="Business Loan"/>
    <n v="8800"/>
    <n v="12"/>
    <n v="9.35"/>
    <n v="771"/>
    <n v="36.200000000000003"/>
    <s v="Current"/>
    <n v="0"/>
    <n v="0"/>
    <n v="792"/>
    <x v="3"/>
  </r>
  <r>
    <x v="467"/>
    <s v="BRW-0390"/>
    <d v="2024-02-23T00:00:00"/>
    <s v="Major Purchase"/>
    <n v="45000"/>
    <n v="24"/>
    <n v="9.1999999999999993"/>
    <n v="2059.9499999999998"/>
    <n v="72.5"/>
    <s v="Current"/>
    <n v="0"/>
    <n v="0"/>
    <n v="660"/>
    <x v="4"/>
  </r>
  <r>
    <x v="468"/>
    <s v="BRW-0391"/>
    <d v="2024-11-07T00:00:00"/>
    <s v="Wedding"/>
    <n v="5800"/>
    <n v="48"/>
    <n v="12.35"/>
    <n v="153.72999999999999"/>
    <n v="57.8"/>
    <s v="Default"/>
    <n v="33"/>
    <n v="1"/>
    <n v="568"/>
    <x v="0"/>
  </r>
  <r>
    <x v="469"/>
    <s v="BRW-0392"/>
    <d v="2025-06-25T00:00:00"/>
    <s v="Medical Expenses"/>
    <n v="35100"/>
    <n v="36"/>
    <n v="14.46"/>
    <n v="1207.49"/>
    <n v="63.5"/>
    <s v="Current"/>
    <n v="0"/>
    <n v="0"/>
    <n v="555"/>
    <x v="0"/>
  </r>
  <r>
    <x v="470"/>
    <s v="BRW-0393"/>
    <d v="2024-07-14T00:00:00"/>
    <s v="Home Improvement"/>
    <n v="8300"/>
    <n v="60"/>
    <n v="10.6"/>
    <n v="178.81"/>
    <n v="40"/>
    <s v="Default"/>
    <n v="144"/>
    <n v="1"/>
    <n v="600"/>
    <x v="1"/>
  </r>
  <r>
    <x v="471"/>
    <s v="BRW-0394"/>
    <d v="2024-07-25T00:00:00"/>
    <s v="Home Improvement"/>
    <n v="26300"/>
    <n v="36"/>
    <n v="11.46"/>
    <n v="866.77"/>
    <n v="75.599999999999994"/>
    <s v="Current"/>
    <n v="0"/>
    <n v="0"/>
    <n v="730"/>
    <x v="2"/>
  </r>
  <r>
    <x v="472"/>
    <s v="BRW-0394"/>
    <d v="2025-01-09T00:00:00"/>
    <s v="Major Purchase"/>
    <n v="8500"/>
    <n v="60"/>
    <n v="12.71"/>
    <n v="192.14"/>
    <n v="47.5"/>
    <s v="Paid Off"/>
    <n v="0"/>
    <n v="0"/>
    <n v="730"/>
    <x v="2"/>
  </r>
  <r>
    <x v="473"/>
    <s v="BRW-0395"/>
    <d v="2024-10-07T00:00:00"/>
    <s v="Major Purchase"/>
    <n v="47700"/>
    <n v="12"/>
    <n v="10.97"/>
    <n v="4215.1400000000003"/>
    <n v="122"/>
    <s v="Current"/>
    <n v="0"/>
    <n v="0"/>
    <n v="592"/>
    <x v="0"/>
  </r>
  <r>
    <x v="474"/>
    <s v="BRW-0396"/>
    <d v="2024-03-17T00:00:00"/>
    <s v="Business Loan"/>
    <n v="21100"/>
    <n v="60"/>
    <n v="11.78"/>
    <n v="467.02"/>
    <n v="17.5"/>
    <s v="Current"/>
    <n v="0"/>
    <n v="0"/>
    <n v="754"/>
    <x v="3"/>
  </r>
  <r>
    <x v="475"/>
    <s v="BRW-0397"/>
    <d v="2024-08-11T00:00:00"/>
    <s v="Major Purchase"/>
    <n v="11900"/>
    <n v="12"/>
    <n v="7.52"/>
    <n v="1032.52"/>
    <n v="17.600000000000001"/>
    <s v="Paid Off"/>
    <n v="0"/>
    <n v="0"/>
    <n v="797"/>
    <x v="3"/>
  </r>
  <r>
    <x v="476"/>
    <s v="BRW-0398"/>
    <d v="2024-10-30T00:00:00"/>
    <s v="Moving"/>
    <n v="27200"/>
    <n v="36"/>
    <n v="10.43"/>
    <n v="883.17"/>
    <n v="48.4"/>
    <s v="Current"/>
    <n v="0"/>
    <n v="0"/>
    <n v="830"/>
    <x v="3"/>
  </r>
  <r>
    <x v="477"/>
    <s v="BRW-0399"/>
    <d v="2024-10-03T00:00:00"/>
    <s v="Business Loan"/>
    <n v="32700"/>
    <n v="36"/>
    <n v="13.44"/>
    <n v="1108.74"/>
    <n v="24.4"/>
    <s v="Paid Off"/>
    <n v="0"/>
    <n v="0"/>
    <n v="672"/>
    <x v="4"/>
  </r>
  <r>
    <x v="478"/>
    <s v="BRW-0400"/>
    <d v="2025-01-12T00:00:00"/>
    <s v="Business Loan"/>
    <n v="2000"/>
    <n v="36"/>
    <n v="13.08"/>
    <n v="67.459999999999994"/>
    <n v="15.9"/>
    <s v="Late"/>
    <n v="15"/>
    <n v="0"/>
    <n v="605"/>
    <x v="1"/>
  </r>
  <r>
    <x v="479"/>
    <s v="BRW-0400"/>
    <d v="2024-02-28T00:00:00"/>
    <s v="Auto Loan"/>
    <n v="15700"/>
    <n v="60"/>
    <n v="11.39"/>
    <n v="344.42"/>
    <n v="26.8"/>
    <s v="Current"/>
    <n v="0"/>
    <n v="0"/>
    <n v="605"/>
    <x v="1"/>
  </r>
  <r>
    <x v="480"/>
    <s v="BRW-0401"/>
    <d v="2024-04-18T00:00:00"/>
    <s v="Auto Loan"/>
    <n v="21100"/>
    <n v="60"/>
    <n v="10.14"/>
    <n v="449.77"/>
    <n v="29.5"/>
    <s v="Paid Off"/>
    <n v="0"/>
    <n v="0"/>
    <n v="789"/>
    <x v="3"/>
  </r>
  <r>
    <x v="481"/>
    <s v="BRW-0402"/>
    <d v="2024-07-27T00:00:00"/>
    <s v="Wedding"/>
    <n v="20300"/>
    <n v="24"/>
    <n v="8.6199999999999992"/>
    <n v="923.86"/>
    <n v="49.5"/>
    <s v="Paid Off"/>
    <n v="0"/>
    <n v="0"/>
    <n v="780"/>
    <x v="3"/>
  </r>
  <r>
    <x v="482"/>
    <s v="BRW-0403"/>
    <d v="2024-04-05T00:00:00"/>
    <s v="Business Loan"/>
    <n v="12500"/>
    <n v="24"/>
    <n v="14.99"/>
    <n v="606.02"/>
    <n v="82"/>
    <s v="Default"/>
    <n v="147"/>
    <n v="1"/>
    <n v="571"/>
    <x v="0"/>
  </r>
  <r>
    <x v="483"/>
    <s v="BRW-0404"/>
    <d v="2024-01-22T00:00:00"/>
    <s v="Medical Expenses"/>
    <n v="20000"/>
    <n v="24"/>
    <n v="11.22"/>
    <n v="934.2"/>
    <n v="48.3"/>
    <s v="Late"/>
    <n v="15"/>
    <n v="0"/>
    <n v="721"/>
    <x v="2"/>
  </r>
  <r>
    <x v="484"/>
    <s v="BRW-0405"/>
    <d v="2025-02-16T00:00:00"/>
    <s v="Business Loan"/>
    <n v="3600"/>
    <n v="24"/>
    <n v="9.51"/>
    <n v="165.31"/>
    <n v="25.2"/>
    <s v="Paid Off"/>
    <n v="0"/>
    <n v="0"/>
    <n v="766"/>
    <x v="3"/>
  </r>
  <r>
    <x v="485"/>
    <s v="BRW-0406"/>
    <d v="2024-02-14T00:00:00"/>
    <s v="Wedding"/>
    <n v="20400"/>
    <n v="12"/>
    <n v="14.07"/>
    <n v="1832.33"/>
    <n v="59"/>
    <s v="Default"/>
    <n v="51"/>
    <n v="1"/>
    <n v="604"/>
    <x v="1"/>
  </r>
  <r>
    <x v="486"/>
    <s v="BRW-0406"/>
    <d v="2024-01-10T00:00:00"/>
    <s v="Auto Loan"/>
    <n v="32100"/>
    <n v="12"/>
    <n v="13.9"/>
    <n v="2880.66"/>
    <n v="69.400000000000006"/>
    <s v="Paid Off"/>
    <n v="0"/>
    <n v="0"/>
    <n v="604"/>
    <x v="1"/>
  </r>
  <r>
    <x v="487"/>
    <s v="BRW-0407"/>
    <d v="2024-06-16T00:00:00"/>
    <s v="Home Improvement"/>
    <n v="14900"/>
    <n v="60"/>
    <n v="14.61"/>
    <n v="351.43"/>
    <n v="48.8"/>
    <s v="Default"/>
    <n v="152"/>
    <n v="1"/>
    <n v="591"/>
    <x v="0"/>
  </r>
  <r>
    <x v="488"/>
    <s v="BRW-0408"/>
    <d v="2024-02-15T00:00:00"/>
    <s v="Debt Consolidation"/>
    <n v="14800"/>
    <n v="60"/>
    <n v="6.52"/>
    <n v="289.72000000000003"/>
    <n v="37.6"/>
    <s v="Default"/>
    <n v="105"/>
    <n v="1"/>
    <n v="846"/>
    <x v="3"/>
  </r>
  <r>
    <x v="489"/>
    <s v="BRW-0409"/>
    <d v="2025-01-29T00:00:00"/>
    <s v="Major Purchase"/>
    <n v="17800"/>
    <n v="12"/>
    <n v="11.9"/>
    <n v="1580.68"/>
    <n v="90.2"/>
    <s v="Default"/>
    <n v="103"/>
    <n v="1"/>
    <n v="554"/>
    <x v="0"/>
  </r>
  <r>
    <x v="490"/>
    <s v="BRW-0410"/>
    <d v="2024-04-22T00:00:00"/>
    <s v="Major Purchase"/>
    <n v="36300"/>
    <n v="12"/>
    <n v="12.58"/>
    <n v="3235.07"/>
    <n v="72.099999999999994"/>
    <s v="Default"/>
    <n v="102"/>
    <n v="1"/>
    <n v="593"/>
    <x v="0"/>
  </r>
  <r>
    <x v="491"/>
    <s v="BRW-0411"/>
    <d v="2024-06-03T00:00:00"/>
    <s v="Wedding"/>
    <n v="13100"/>
    <n v="12"/>
    <n v="13.53"/>
    <n v="1173.32"/>
    <n v="57.8"/>
    <s v="Default"/>
    <n v="165"/>
    <n v="1"/>
    <n v="657"/>
    <x v="4"/>
  </r>
  <r>
    <x v="492"/>
    <s v="BRW-0412"/>
    <d v="2024-10-20T00:00:00"/>
    <s v="Medical Expenses"/>
    <n v="6600"/>
    <n v="36"/>
    <n v="10.01"/>
    <n v="212.99"/>
    <n v="49.3"/>
    <s v="Paid Off"/>
    <n v="0"/>
    <n v="0"/>
    <n v="787"/>
    <x v="3"/>
  </r>
  <r>
    <x v="493"/>
    <s v="BRW-0413"/>
    <d v="2024-06-01T00:00:00"/>
    <s v="Auto Loan"/>
    <n v="36100"/>
    <n v="12"/>
    <n v="12.48"/>
    <n v="3215.55"/>
    <n v="85.5"/>
    <s v="Current"/>
    <n v="0"/>
    <n v="0"/>
    <n v="688"/>
    <x v="4"/>
  </r>
  <r>
    <x v="494"/>
    <s v="BRW-0414"/>
    <d v="2024-10-12T00:00:00"/>
    <s v="Vacation"/>
    <n v="7400"/>
    <n v="48"/>
    <n v="14.9"/>
    <n v="205.57"/>
    <n v="56.2"/>
    <s v="Default"/>
    <n v="112"/>
    <n v="1"/>
    <n v="594"/>
    <x v="0"/>
  </r>
  <r>
    <x v="495"/>
    <s v="BRW-0415"/>
    <d v="2025-02-27T00:00:00"/>
    <s v="Medical Expenses"/>
    <n v="18900"/>
    <n v="48"/>
    <n v="10.69"/>
    <n v="485.64"/>
    <n v="30.2"/>
    <s v="Current"/>
    <n v="0"/>
    <n v="0"/>
    <n v="686"/>
    <x v="4"/>
  </r>
  <r>
    <x v="496"/>
    <s v="BRW-0415"/>
    <d v="2025-06-29T00:00:00"/>
    <s v="Business Loan"/>
    <n v="28400"/>
    <n v="60"/>
    <n v="11.24"/>
    <n v="620.89"/>
    <n v="31.9"/>
    <s v="Current"/>
    <n v="0"/>
    <n v="0"/>
    <n v="686"/>
    <x v="4"/>
  </r>
  <r>
    <x v="497"/>
    <s v="BRW-0416"/>
    <d v="2024-08-28T00:00:00"/>
    <s v="Moving"/>
    <n v="35300"/>
    <n v="24"/>
    <n v="13.15"/>
    <n v="1680.71"/>
    <n v="62.3"/>
    <s v="Paid Off"/>
    <n v="0"/>
    <n v="0"/>
    <n v="622"/>
    <x v="1"/>
  </r>
  <r>
    <x v="498"/>
    <s v="BRW-0417"/>
    <d v="2025-01-04T00:00:00"/>
    <s v="Vacation"/>
    <n v="46200"/>
    <n v="12"/>
    <n v="11.87"/>
    <n v="4102"/>
    <n v="155.30000000000001"/>
    <s v="Late"/>
    <n v="15"/>
    <n v="0"/>
    <n v="761"/>
    <x v="3"/>
  </r>
  <r>
    <x v="499"/>
    <s v="BRW-0418"/>
    <d v="2024-08-17T00:00:00"/>
    <s v="Medical Expenses"/>
    <n v="28500"/>
    <n v="48"/>
    <n v="9.76"/>
    <n v="719.55"/>
    <n v="53.9"/>
    <s v="Default"/>
    <n v="65"/>
    <n v="1"/>
    <n v="687"/>
    <x v="4"/>
  </r>
  <r>
    <x v="500"/>
    <s v="BRW-0419"/>
    <d v="2024-04-18T00:00:00"/>
    <s v="Medical Expenses"/>
    <n v="2300"/>
    <n v="48"/>
    <n v="11.06"/>
    <n v="59.51"/>
    <n v="31.5"/>
    <s v="Paid Off"/>
    <n v="0"/>
    <n v="0"/>
    <n v="648"/>
    <x v="1"/>
  </r>
  <r>
    <x v="501"/>
    <s v="BRW-0420"/>
    <d v="2025-03-02T00:00:00"/>
    <s v="Debt Consolidation"/>
    <n v="8800"/>
    <n v="24"/>
    <n v="6.29"/>
    <n v="391.17"/>
    <n v="18.100000000000001"/>
    <s v="Paid Off"/>
    <n v="0"/>
    <n v="0"/>
    <n v="846"/>
    <x v="3"/>
  </r>
  <r>
    <x v="502"/>
    <s v="BRW-0420"/>
    <d v="2025-03-30T00:00:00"/>
    <s v="Moving"/>
    <n v="16400"/>
    <n v="48"/>
    <n v="9.51"/>
    <n v="412.1"/>
    <n v="18.399999999999999"/>
    <s v="Current"/>
    <n v="0"/>
    <n v="0"/>
    <n v="846"/>
    <x v="3"/>
  </r>
  <r>
    <x v="503"/>
    <s v="BRW-0421"/>
    <d v="2025-03-09T00:00:00"/>
    <s v="Debt Consolidation"/>
    <n v="6800"/>
    <n v="24"/>
    <n v="10.29"/>
    <n v="314.7"/>
    <n v="24.5"/>
    <s v="Late"/>
    <n v="15"/>
    <n v="0"/>
    <n v="586"/>
    <x v="0"/>
  </r>
  <r>
    <x v="504"/>
    <s v="BRW-0422"/>
    <d v="2024-10-05T00:00:00"/>
    <s v="Wedding"/>
    <n v="36000"/>
    <n v="48"/>
    <n v="14.34"/>
    <n v="989.9"/>
    <n v="56.2"/>
    <s v="Paid Off"/>
    <n v="0"/>
    <n v="0"/>
    <n v="619"/>
    <x v="1"/>
  </r>
  <r>
    <x v="505"/>
    <s v="BRW-0422"/>
    <d v="2024-07-07T00:00:00"/>
    <s v="Medical Expenses"/>
    <n v="21200"/>
    <n v="12"/>
    <n v="10.78"/>
    <n v="1871.52"/>
    <n v="67.400000000000006"/>
    <s v="Late"/>
    <n v="30"/>
    <n v="0"/>
    <n v="619"/>
    <x v="1"/>
  </r>
  <r>
    <x v="506"/>
    <s v="BRW-0423"/>
    <d v="2024-06-17T00:00:00"/>
    <s v="Vacation"/>
    <n v="33300"/>
    <n v="48"/>
    <n v="10.34"/>
    <n v="850.02"/>
    <n v="45.4"/>
    <s v="Default"/>
    <n v="125"/>
    <n v="1"/>
    <n v="828"/>
    <x v="3"/>
  </r>
  <r>
    <x v="507"/>
    <s v="BRW-0424"/>
    <d v="2024-12-09T00:00:00"/>
    <s v="Business Loan"/>
    <n v="5100"/>
    <n v="36"/>
    <n v="9.5500000000000007"/>
    <n v="163.49"/>
    <n v="19.5"/>
    <s v="Default"/>
    <n v="102"/>
    <n v="1"/>
    <n v="808"/>
    <x v="3"/>
  </r>
  <r>
    <x v="508"/>
    <s v="BRW-0425"/>
    <d v="2024-07-25T00:00:00"/>
    <s v="Home Improvement"/>
    <n v="17400"/>
    <n v="36"/>
    <n v="6.77"/>
    <n v="535.42999999999995"/>
    <n v="62.8"/>
    <s v="Current"/>
    <n v="0"/>
    <n v="0"/>
    <n v="850"/>
    <x v="3"/>
  </r>
  <r>
    <x v="509"/>
    <s v="BRW-0426"/>
    <d v="2024-11-18T00:00:00"/>
    <s v="Wedding"/>
    <n v="10800"/>
    <n v="48"/>
    <n v="6.06"/>
    <n v="253.94"/>
    <n v="49"/>
    <s v="Default"/>
    <n v="109"/>
    <n v="1"/>
    <n v="850"/>
    <x v="3"/>
  </r>
  <r>
    <x v="510"/>
    <s v="BRW-0426"/>
    <d v="2024-11-18T00:00:00"/>
    <s v="Debt Consolidation"/>
    <n v="34800"/>
    <n v="48"/>
    <n v="8.33"/>
    <n v="854.97"/>
    <n v="72.400000000000006"/>
    <s v="Paid Off"/>
    <n v="0"/>
    <n v="0"/>
    <n v="850"/>
    <x v="3"/>
  </r>
  <r>
    <x v="511"/>
    <s v="BRW-0427"/>
    <d v="2024-06-02T00:00:00"/>
    <s v="Home Improvement"/>
    <n v="30100"/>
    <n v="60"/>
    <n v="9.49"/>
    <n v="632.01"/>
    <n v="61.9"/>
    <s v="Default"/>
    <n v="127"/>
    <n v="1"/>
    <n v="661"/>
    <x v="4"/>
  </r>
  <r>
    <x v="512"/>
    <s v="BRW-0428"/>
    <d v="2024-04-05T00:00:00"/>
    <s v="Debt Consolidation"/>
    <n v="8700"/>
    <n v="48"/>
    <n v="8.9600000000000009"/>
    <n v="216.33"/>
    <n v="13.4"/>
    <s v="Current"/>
    <n v="0"/>
    <n v="0"/>
    <n v="686"/>
    <x v="4"/>
  </r>
  <r>
    <x v="513"/>
    <s v="BRW-0429"/>
    <d v="2025-06-19T00:00:00"/>
    <s v="Medical Expenses"/>
    <n v="7500"/>
    <n v="60"/>
    <n v="8.4600000000000009"/>
    <n v="153.72999999999999"/>
    <n v="21.5"/>
    <s v="Paid Off"/>
    <n v="0"/>
    <n v="0"/>
    <n v="847"/>
    <x v="3"/>
  </r>
  <r>
    <x v="514"/>
    <s v="BRW-0430"/>
    <d v="2025-01-31T00:00:00"/>
    <s v="Education"/>
    <n v="47100"/>
    <n v="12"/>
    <n v="14.85"/>
    <n v="4247.83"/>
    <n v="64.8"/>
    <s v="Default"/>
    <n v="49"/>
    <n v="1"/>
    <n v="576"/>
    <x v="0"/>
  </r>
  <r>
    <x v="515"/>
    <s v="BRW-0431"/>
    <d v="2024-11-12T00:00:00"/>
    <s v="Wedding"/>
    <n v="14000"/>
    <n v="12"/>
    <n v="10.029999999999999"/>
    <n v="1231.02"/>
    <n v="86"/>
    <s v="Late"/>
    <n v="30"/>
    <n v="0"/>
    <n v="641"/>
    <x v="1"/>
  </r>
  <r>
    <x v="516"/>
    <s v="BRW-0431"/>
    <d v="2024-06-14T00:00:00"/>
    <s v="Home Improvement"/>
    <n v="11300"/>
    <n v="24"/>
    <n v="13.99"/>
    <n v="542.49"/>
    <n v="52.8"/>
    <s v="Default"/>
    <n v="177"/>
    <n v="1"/>
    <n v="641"/>
    <x v="1"/>
  </r>
  <r>
    <x v="517"/>
    <s v="BRW-0432"/>
    <d v="2025-04-29T00:00:00"/>
    <s v="Home Improvement"/>
    <n v="11800"/>
    <n v="48"/>
    <n v="7.19"/>
    <n v="283.61"/>
    <n v="55.7"/>
    <s v="Current"/>
    <n v="0"/>
    <n v="0"/>
    <n v="846"/>
    <x v="3"/>
  </r>
  <r>
    <x v="518"/>
    <s v="BRW-0433"/>
    <d v="2025-02-14T00:00:00"/>
    <s v="Home Improvement"/>
    <n v="25400"/>
    <n v="36"/>
    <n v="12.56"/>
    <n v="850.45"/>
    <n v="32.4"/>
    <s v="Late"/>
    <n v="0"/>
    <n v="0"/>
    <n v="704"/>
    <x v="2"/>
  </r>
  <r>
    <x v="519"/>
    <s v="BRW-0433"/>
    <d v="2025-02-27T00:00:00"/>
    <s v="Vacation"/>
    <n v="42600"/>
    <n v="36"/>
    <n v="10.14"/>
    <n v="1377.38"/>
    <n v="37.6"/>
    <s v="Paid Off"/>
    <n v="0"/>
    <n v="0"/>
    <n v="704"/>
    <x v="2"/>
  </r>
  <r>
    <x v="520"/>
    <s v="BRW-0434"/>
    <d v="2024-01-09T00:00:00"/>
    <s v="Wedding"/>
    <n v="4400"/>
    <n v="24"/>
    <n v="11.42"/>
    <n v="205.93"/>
    <n v="47.1"/>
    <s v="Current"/>
    <n v="0"/>
    <n v="0"/>
    <n v="725"/>
    <x v="2"/>
  </r>
  <r>
    <x v="521"/>
    <s v="BRW-0435"/>
    <d v="2025-04-24T00:00:00"/>
    <s v="Home Improvement"/>
    <n v="12600"/>
    <n v="12"/>
    <n v="8.26"/>
    <n v="1097.57"/>
    <n v="77.8"/>
    <s v="Late"/>
    <n v="15"/>
    <n v="0"/>
    <n v="809"/>
    <x v="3"/>
  </r>
  <r>
    <x v="522"/>
    <s v="BRW-0436"/>
    <d v="2024-12-02T00:00:00"/>
    <s v="Home Improvement"/>
    <n v="46300"/>
    <n v="48"/>
    <n v="8.98"/>
    <n v="1151.74"/>
    <n v="23.8"/>
    <s v="Late"/>
    <n v="0"/>
    <n v="0"/>
    <n v="721"/>
    <x v="2"/>
  </r>
  <r>
    <x v="523"/>
    <s v="BRW-0437"/>
    <d v="2025-04-26T00:00:00"/>
    <s v="Vacation"/>
    <n v="8700"/>
    <n v="60"/>
    <n v="10.5"/>
    <n v="187"/>
    <n v="48.4"/>
    <s v="Default"/>
    <n v="84"/>
    <n v="1"/>
    <n v="617"/>
    <x v="1"/>
  </r>
  <r>
    <x v="524"/>
    <s v="BRW-0438"/>
    <d v="2025-01-05T00:00:00"/>
    <s v="Debt Consolidation"/>
    <n v="39200"/>
    <n v="12"/>
    <n v="15.28"/>
    <n v="3543.31"/>
    <n v="124.5"/>
    <s v="Late"/>
    <n v="30"/>
    <n v="0"/>
    <n v="564"/>
    <x v="0"/>
  </r>
  <r>
    <x v="525"/>
    <s v="BRW-0439"/>
    <d v="2024-06-29T00:00:00"/>
    <s v="Debt Consolidation"/>
    <n v="26200"/>
    <n v="36"/>
    <n v="7.23"/>
    <n v="811.74"/>
    <n v="59"/>
    <s v="Default"/>
    <n v="47"/>
    <n v="1"/>
    <n v="842"/>
    <x v="3"/>
  </r>
  <r>
    <x v="526"/>
    <s v="BRW-0440"/>
    <d v="2024-09-22T00:00:00"/>
    <s v="Home Improvement"/>
    <n v="14900"/>
    <n v="48"/>
    <n v="10.77"/>
    <n v="383.44"/>
    <n v="32.4"/>
    <s v="Paid Off"/>
    <n v="0"/>
    <n v="0"/>
    <n v="711"/>
    <x v="2"/>
  </r>
  <r>
    <x v="527"/>
    <s v="BRW-0441"/>
    <d v="2024-06-13T00:00:00"/>
    <s v="Auto Loan"/>
    <n v="8800"/>
    <n v="48"/>
    <n v="10.51"/>
    <n v="225.35"/>
    <n v="34.4"/>
    <s v="Paid Off"/>
    <n v="0"/>
    <n v="0"/>
    <n v="714"/>
    <x v="2"/>
  </r>
  <r>
    <x v="528"/>
    <s v="BRW-0442"/>
    <d v="2024-05-28T00:00:00"/>
    <s v="Debt Consolidation"/>
    <n v="44900"/>
    <n v="24"/>
    <n v="6.22"/>
    <n v="1994.45"/>
    <n v="49.4"/>
    <s v="Late"/>
    <n v="30"/>
    <n v="0"/>
    <n v="850"/>
    <x v="3"/>
  </r>
  <r>
    <x v="529"/>
    <s v="BRW-0443"/>
    <d v="2024-11-20T00:00:00"/>
    <s v="Education"/>
    <n v="12800"/>
    <n v="24"/>
    <n v="13.03"/>
    <n v="608.72"/>
    <n v="50.5"/>
    <s v="Default"/>
    <n v="134"/>
    <n v="1"/>
    <n v="568"/>
    <x v="0"/>
  </r>
  <r>
    <x v="530"/>
    <s v="BRW-0444"/>
    <d v="2024-04-09T00:00:00"/>
    <s v="Debt Consolidation"/>
    <n v="47300"/>
    <n v="24"/>
    <n v="12.12"/>
    <n v="2229.23"/>
    <n v="90.1"/>
    <s v="Default"/>
    <n v="78"/>
    <n v="1"/>
    <n v="663"/>
    <x v="4"/>
  </r>
  <r>
    <x v="531"/>
    <s v="BRW-0445"/>
    <d v="2024-07-14T00:00:00"/>
    <s v="Moving"/>
    <n v="30800"/>
    <n v="24"/>
    <n v="10.36"/>
    <n v="1426.39"/>
    <n v="45.1"/>
    <s v="Current"/>
    <n v="0"/>
    <n v="0"/>
    <n v="683"/>
    <x v="4"/>
  </r>
  <r>
    <x v="532"/>
    <s v="BRW-0446"/>
    <d v="2025-04-11T00:00:00"/>
    <s v="Debt Consolidation"/>
    <n v="16700"/>
    <n v="12"/>
    <n v="9.33"/>
    <n v="1463"/>
    <n v="32"/>
    <s v="Paid Off"/>
    <n v="0"/>
    <n v="0"/>
    <n v="850"/>
    <x v="3"/>
  </r>
  <r>
    <x v="533"/>
    <s v="BRW-0446"/>
    <d v="2025-04-14T00:00:00"/>
    <s v="Major Purchase"/>
    <n v="38700"/>
    <n v="12"/>
    <n v="10.47"/>
    <n v="3410.81"/>
    <n v="57.4"/>
    <s v="Current"/>
    <n v="0"/>
    <n v="0"/>
    <n v="850"/>
    <x v="3"/>
  </r>
  <r>
    <x v="534"/>
    <s v="BRW-0447"/>
    <d v="2024-04-11T00:00:00"/>
    <s v="Major Purchase"/>
    <n v="33700"/>
    <n v="48"/>
    <n v="9.89"/>
    <n v="852.94"/>
    <n v="15.6"/>
    <s v="Current"/>
    <n v="0"/>
    <n v="0"/>
    <n v="797"/>
    <x v="3"/>
  </r>
  <r>
    <x v="535"/>
    <s v="BRW-0448"/>
    <d v="2024-04-12T00:00:00"/>
    <s v="Wedding"/>
    <n v="7000"/>
    <n v="60"/>
    <n v="12.74"/>
    <n v="158.34"/>
    <n v="10.5"/>
    <s v="Paid Off"/>
    <n v="0"/>
    <n v="0"/>
    <n v="714"/>
    <x v="2"/>
  </r>
  <r>
    <x v="536"/>
    <s v="BRW-0449"/>
    <d v="2024-07-19T00:00:00"/>
    <s v="Major Purchase"/>
    <n v="23500"/>
    <n v="60"/>
    <n v="10.74"/>
    <n v="507.91"/>
    <n v="49.1"/>
    <s v="Late"/>
    <n v="30"/>
    <n v="0"/>
    <n v="670"/>
    <x v="4"/>
  </r>
  <r>
    <x v="537"/>
    <s v="BRW-0450"/>
    <d v="2025-01-18T00:00:00"/>
    <s v="Vacation"/>
    <n v="30100"/>
    <n v="48"/>
    <n v="9.07"/>
    <n v="750.04"/>
    <n v="42.4"/>
    <s v="Current"/>
    <n v="0"/>
    <n v="0"/>
    <n v="658"/>
    <x v="4"/>
  </r>
  <r>
    <x v="538"/>
    <s v="BRW-0451"/>
    <d v="2024-01-05T00:00:00"/>
    <s v="Auto Loan"/>
    <n v="40200"/>
    <n v="48"/>
    <n v="10.18"/>
    <n v="1023.05"/>
    <n v="52.7"/>
    <s v="Current"/>
    <n v="0"/>
    <n v="0"/>
    <n v="791"/>
    <x v="3"/>
  </r>
  <r>
    <x v="539"/>
    <s v="BRW-0452"/>
    <d v="2024-06-23T00:00:00"/>
    <s v="Education"/>
    <n v="26900"/>
    <n v="60"/>
    <n v="11.75"/>
    <n v="594.98"/>
    <n v="45.4"/>
    <s v="Late"/>
    <n v="30"/>
    <n v="0"/>
    <n v="590"/>
    <x v="0"/>
  </r>
  <r>
    <x v="540"/>
    <s v="BRW-0453"/>
    <d v="2025-03-15T00:00:00"/>
    <s v="Business Loan"/>
    <n v="19600"/>
    <n v="12"/>
    <n v="11.67"/>
    <n v="1738.41"/>
    <n v="59.4"/>
    <s v="Default"/>
    <n v="129"/>
    <n v="1"/>
    <n v="740"/>
    <x v="2"/>
  </r>
  <r>
    <x v="541"/>
    <s v="BRW-0453"/>
    <d v="2024-04-11T00:00:00"/>
    <s v="Medical Expenses"/>
    <n v="12600"/>
    <n v="24"/>
    <n v="9.85"/>
    <n v="580.54999999999995"/>
    <n v="28.5"/>
    <s v="Current"/>
    <n v="0"/>
    <n v="0"/>
    <n v="740"/>
    <x v="2"/>
  </r>
  <r>
    <x v="542"/>
    <s v="BRW-0454"/>
    <d v="2024-06-11T00:00:00"/>
    <s v="Major Purchase"/>
    <n v="32100"/>
    <n v="36"/>
    <n v="13.94"/>
    <n v="1096.17"/>
    <n v="61.3"/>
    <s v="Current"/>
    <n v="0"/>
    <n v="0"/>
    <n v="615"/>
    <x v="1"/>
  </r>
  <r>
    <x v="543"/>
    <s v="BRW-0455"/>
    <d v="2024-03-21T00:00:00"/>
    <s v="Wedding"/>
    <n v="26800"/>
    <n v="60"/>
    <n v="13.19"/>
    <n v="612.39"/>
    <n v="56.8"/>
    <s v="Paid Off"/>
    <n v="0"/>
    <n v="0"/>
    <n v="685"/>
    <x v="4"/>
  </r>
  <r>
    <x v="544"/>
    <s v="BRW-0456"/>
    <d v="2024-09-08T00:00:00"/>
    <s v="Education"/>
    <n v="13000"/>
    <n v="24"/>
    <n v="7.77"/>
    <n v="586.59"/>
    <n v="32.9"/>
    <s v="Current"/>
    <n v="0"/>
    <n v="0"/>
    <n v="823"/>
    <x v="3"/>
  </r>
  <r>
    <x v="545"/>
    <s v="BRW-0456"/>
    <d v="2024-04-15T00:00:00"/>
    <s v="Auto Loan"/>
    <n v="12200"/>
    <n v="24"/>
    <n v="9.42"/>
    <n v="559.71"/>
    <n v="32"/>
    <s v="Late"/>
    <n v="15"/>
    <n v="0"/>
    <n v="823"/>
    <x v="3"/>
  </r>
  <r>
    <x v="546"/>
    <s v="BRW-0457"/>
    <d v="2024-07-31T00:00:00"/>
    <s v="Auto Loan"/>
    <n v="6500"/>
    <n v="48"/>
    <n v="13.44"/>
    <n v="175.8"/>
    <n v="34.799999999999997"/>
    <s v="Current"/>
    <n v="0"/>
    <n v="0"/>
    <n v="647"/>
    <x v="1"/>
  </r>
  <r>
    <x v="547"/>
    <s v="BRW-0458"/>
    <d v="2025-04-06T00:00:00"/>
    <s v="Home Improvement"/>
    <n v="19500"/>
    <n v="36"/>
    <n v="12.75"/>
    <n v="654.69000000000005"/>
    <n v="54.1"/>
    <s v="Current"/>
    <n v="0"/>
    <n v="0"/>
    <n v="625"/>
    <x v="1"/>
  </r>
  <r>
    <x v="548"/>
    <s v="BRW-0459"/>
    <d v="2024-12-21T00:00:00"/>
    <s v="Wedding"/>
    <n v="43000"/>
    <n v="12"/>
    <n v="10.71"/>
    <n v="3794.6"/>
    <n v="79.900000000000006"/>
    <s v="Current"/>
    <n v="0"/>
    <n v="0"/>
    <n v="850"/>
    <x v="3"/>
  </r>
  <r>
    <x v="549"/>
    <s v="BRW-0460"/>
    <d v="2025-06-14T00:00:00"/>
    <s v="Auto Loan"/>
    <n v="11300"/>
    <n v="12"/>
    <n v="9.33"/>
    <n v="989.93"/>
    <n v="70.8"/>
    <s v="Paid Off"/>
    <n v="0"/>
    <n v="0"/>
    <n v="801"/>
    <x v="3"/>
  </r>
  <r>
    <x v="550"/>
    <s v="BRW-0461"/>
    <d v="2024-05-09T00:00:00"/>
    <s v="Business Loan"/>
    <n v="5900"/>
    <n v="12"/>
    <n v="9.74"/>
    <n v="517.99"/>
    <n v="23.6"/>
    <s v="Paid Off"/>
    <n v="0"/>
    <n v="0"/>
    <n v="834"/>
    <x v="3"/>
  </r>
  <r>
    <x v="551"/>
    <s v="BRW-0462"/>
    <d v="2025-02-13T00:00:00"/>
    <s v="Moving"/>
    <n v="24400"/>
    <n v="48"/>
    <n v="11.75"/>
    <n v="639.54999999999995"/>
    <n v="47"/>
    <s v="Current"/>
    <n v="0"/>
    <n v="0"/>
    <n v="626"/>
    <x v="1"/>
  </r>
  <r>
    <x v="552"/>
    <s v="BRW-0463"/>
    <d v="2024-07-29T00:00:00"/>
    <s v="Auto Loan"/>
    <n v="6900"/>
    <n v="60"/>
    <n v="10.039999999999999"/>
    <n v="146.74"/>
    <n v="38"/>
    <s v="Paid Off"/>
    <n v="0"/>
    <n v="0"/>
    <n v="691"/>
    <x v="4"/>
  </r>
  <r>
    <x v="553"/>
    <s v="BRW-0463"/>
    <d v="2025-01-27T00:00:00"/>
    <s v="Major Purchase"/>
    <n v="14300"/>
    <n v="36"/>
    <n v="11.6"/>
    <n v="472.24"/>
    <n v="46.4"/>
    <s v="Current"/>
    <n v="0"/>
    <n v="0"/>
    <n v="691"/>
    <x v="4"/>
  </r>
  <r>
    <x v="554"/>
    <s v="BRW-0464"/>
    <d v="2025-02-23T00:00:00"/>
    <s v="Home Improvement"/>
    <n v="44700"/>
    <n v="60"/>
    <n v="9.92"/>
    <n v="947.98"/>
    <n v="46.1"/>
    <s v="Late"/>
    <n v="0"/>
    <n v="0"/>
    <n v="681"/>
    <x v="4"/>
  </r>
  <r>
    <x v="555"/>
    <s v="BRW-0465"/>
    <d v="2024-07-09T00:00:00"/>
    <s v="Education"/>
    <n v="4600"/>
    <n v="36"/>
    <n v="10.78"/>
    <n v="150.12"/>
    <n v="17.600000000000001"/>
    <s v="Late"/>
    <n v="0"/>
    <n v="0"/>
    <n v="682"/>
    <x v="4"/>
  </r>
  <r>
    <x v="556"/>
    <s v="BRW-0465"/>
    <d v="2024-01-12T00:00:00"/>
    <s v="Education"/>
    <n v="6000"/>
    <n v="12"/>
    <n v="10.23"/>
    <n v="528.14"/>
    <n v="32.200000000000003"/>
    <s v="Current"/>
    <n v="0"/>
    <n v="0"/>
    <n v="682"/>
    <x v="4"/>
  </r>
  <r>
    <x v="557"/>
    <s v="BRW-0466"/>
    <d v="2024-08-10T00:00:00"/>
    <s v="Business Loan"/>
    <n v="20000"/>
    <n v="60"/>
    <n v="10.86"/>
    <n v="433.45"/>
    <n v="55.4"/>
    <s v="Default"/>
    <n v="101"/>
    <n v="1"/>
    <n v="612"/>
    <x v="1"/>
  </r>
  <r>
    <x v="558"/>
    <s v="BRW-0467"/>
    <d v="2024-11-23T00:00:00"/>
    <s v="Home Improvement"/>
    <n v="33000"/>
    <n v="48"/>
    <n v="7.42"/>
    <n v="796.67"/>
    <n v="70.099999999999994"/>
    <s v="Default"/>
    <n v="42"/>
    <n v="1"/>
    <n v="850"/>
    <x v="3"/>
  </r>
  <r>
    <x v="559"/>
    <s v="BRW-0468"/>
    <d v="2024-06-24T00:00:00"/>
    <s v="Vacation"/>
    <n v="4900"/>
    <n v="12"/>
    <n v="6.69"/>
    <n v="423.28"/>
    <n v="50"/>
    <s v="Current"/>
    <n v="0"/>
    <n v="0"/>
    <n v="836"/>
    <x v="3"/>
  </r>
  <r>
    <x v="560"/>
    <s v="BRW-0468"/>
    <d v="2025-04-17T00:00:00"/>
    <s v="Debt Consolidation"/>
    <n v="15400"/>
    <n v="60"/>
    <n v="11.01"/>
    <n v="334.91"/>
    <n v="47"/>
    <s v="Current"/>
    <n v="0"/>
    <n v="0"/>
    <n v="836"/>
    <x v="3"/>
  </r>
  <r>
    <x v="561"/>
    <s v="BRW-0469"/>
    <d v="2025-03-01T00:00:00"/>
    <s v="Moving"/>
    <n v="5000"/>
    <n v="12"/>
    <n v="12.2"/>
    <n v="444.71"/>
    <n v="79.2"/>
    <s v="Paid Off"/>
    <n v="0"/>
    <n v="0"/>
    <n v="609"/>
    <x v="1"/>
  </r>
  <r>
    <x v="562"/>
    <s v="BRW-0469"/>
    <d v="2025-02-06T00:00:00"/>
    <s v="Major Purchase"/>
    <n v="6300"/>
    <n v="48"/>
    <n v="12.91"/>
    <n v="168.73"/>
    <n v="62"/>
    <s v="Default"/>
    <n v="146"/>
    <n v="1"/>
    <n v="609"/>
    <x v="1"/>
  </r>
  <r>
    <x v="563"/>
    <s v="BRW-0470"/>
    <d v="2024-02-18T00:00:00"/>
    <s v="Home Improvement"/>
    <n v="47000"/>
    <n v="12"/>
    <n v="6.91"/>
    <n v="4064.81"/>
    <n v="102.4"/>
    <s v="Paid Off"/>
    <n v="0"/>
    <n v="0"/>
    <n v="794"/>
    <x v="3"/>
  </r>
  <r>
    <x v="564"/>
    <s v="BRW-0471"/>
    <d v="2024-01-06T00:00:00"/>
    <s v="Major Purchase"/>
    <n v="6200"/>
    <n v="36"/>
    <n v="11.68"/>
    <n v="204.98"/>
    <n v="33.5"/>
    <s v="Late"/>
    <n v="15"/>
    <n v="0"/>
    <n v="744"/>
    <x v="2"/>
  </r>
  <r>
    <x v="565"/>
    <s v="BRW-0471"/>
    <d v="2025-01-23T00:00:00"/>
    <s v="Debt Consolidation"/>
    <n v="39200"/>
    <n v="12"/>
    <n v="8.92"/>
    <n v="3426.64"/>
    <n v="74"/>
    <s v="Default"/>
    <n v="73"/>
    <n v="1"/>
    <n v="744"/>
    <x v="2"/>
  </r>
  <r>
    <x v="566"/>
    <s v="BRW-0472"/>
    <d v="2025-02-27T00:00:00"/>
    <s v="Wedding"/>
    <n v="5200"/>
    <n v="24"/>
    <n v="10.25"/>
    <n v="240.55"/>
    <n v="44.2"/>
    <s v="Current"/>
    <n v="0"/>
    <n v="0"/>
    <n v="811"/>
    <x v="3"/>
  </r>
  <r>
    <x v="567"/>
    <s v="BRW-0472"/>
    <d v="2025-05-09T00:00:00"/>
    <s v="Business Loan"/>
    <n v="22000"/>
    <n v="36"/>
    <n v="8.09"/>
    <n v="690.31"/>
    <n v="60.9"/>
    <s v="Current"/>
    <n v="0"/>
    <n v="0"/>
    <n v="811"/>
    <x v="3"/>
  </r>
  <r>
    <x v="568"/>
    <s v="BRW-0473"/>
    <d v="2024-03-17T00:00:00"/>
    <s v="Moving"/>
    <n v="13600"/>
    <n v="24"/>
    <n v="13.16"/>
    <n v="647.59"/>
    <n v="38.700000000000003"/>
    <s v="Current"/>
    <n v="0"/>
    <n v="0"/>
    <n v="619"/>
    <x v="1"/>
  </r>
  <r>
    <x v="569"/>
    <s v="BRW-0474"/>
    <d v="2025-06-24T00:00:00"/>
    <s v="Major Purchase"/>
    <n v="6100"/>
    <n v="24"/>
    <n v="10.25"/>
    <n v="282.19"/>
    <n v="47.8"/>
    <s v="Paid Off"/>
    <n v="0"/>
    <n v="0"/>
    <n v="829"/>
    <x v="3"/>
  </r>
  <r>
    <x v="570"/>
    <s v="BRW-0475"/>
    <d v="2025-01-07T00:00:00"/>
    <s v="Medical Expenses"/>
    <n v="7100"/>
    <n v="24"/>
    <n v="7.01"/>
    <n v="317.92"/>
    <n v="40"/>
    <s v="Late"/>
    <n v="0"/>
    <n v="0"/>
    <n v="845"/>
    <x v="3"/>
  </r>
  <r>
    <x v="571"/>
    <s v="BRW-0476"/>
    <d v="2024-04-14T00:00:00"/>
    <s v="Major Purchase"/>
    <n v="10300"/>
    <n v="24"/>
    <n v="11.51"/>
    <n v="482.5"/>
    <n v="26.9"/>
    <s v="Late"/>
    <n v="15"/>
    <n v="0"/>
    <n v="715"/>
    <x v="2"/>
  </r>
  <r>
    <x v="572"/>
    <s v="BRW-0477"/>
    <d v="2024-09-28T00:00:00"/>
    <s v="Vacation"/>
    <n v="2900"/>
    <n v="60"/>
    <n v="8.6300000000000008"/>
    <n v="59.68"/>
    <n v="34.799999999999997"/>
    <s v="Current"/>
    <n v="0"/>
    <n v="0"/>
    <n v="818"/>
    <x v="3"/>
  </r>
  <r>
    <x v="573"/>
    <s v="BRW-0478"/>
    <d v="2025-01-13T00:00:00"/>
    <s v="Major Purchase"/>
    <n v="26400"/>
    <n v="12"/>
    <n v="8.7899999999999991"/>
    <n v="2306.15"/>
    <n v="39.1"/>
    <s v="Paid Off"/>
    <n v="0"/>
    <n v="0"/>
    <n v="805"/>
    <x v="3"/>
  </r>
  <r>
    <x v="574"/>
    <s v="BRW-0479"/>
    <d v="2025-05-20T00:00:00"/>
    <s v="Auto Loan"/>
    <n v="7000"/>
    <n v="36"/>
    <n v="12.5"/>
    <n v="234.18"/>
    <n v="43"/>
    <s v="Current"/>
    <n v="0"/>
    <n v="0"/>
    <n v="609"/>
    <x v="1"/>
  </r>
  <r>
    <x v="575"/>
    <s v="BRW-0480"/>
    <d v="2024-09-01T00:00:00"/>
    <s v="Home Improvement"/>
    <n v="3600"/>
    <n v="12"/>
    <n v="9.94"/>
    <n v="316.39999999999998"/>
    <n v="55.8"/>
    <s v="Default"/>
    <n v="55"/>
    <n v="1"/>
    <n v="776"/>
    <x v="3"/>
  </r>
  <r>
    <x v="576"/>
    <s v="BRW-0481"/>
    <d v="2024-10-01T00:00:00"/>
    <s v="Wedding"/>
    <n v="21400"/>
    <n v="48"/>
    <n v="6.99"/>
    <n v="512.35"/>
    <n v="12.1"/>
    <s v="Current"/>
    <n v="0"/>
    <n v="0"/>
    <n v="811"/>
    <x v="3"/>
  </r>
  <r>
    <x v="577"/>
    <s v="BRW-0482"/>
    <d v="2025-05-03T00:00:00"/>
    <s v="Wedding"/>
    <n v="2100"/>
    <n v="24"/>
    <n v="10.25"/>
    <n v="97.15"/>
    <n v="12.6"/>
    <s v="Late"/>
    <n v="15"/>
    <n v="0"/>
    <n v="736"/>
    <x v="2"/>
  </r>
  <r>
    <x v="578"/>
    <s v="BRW-0483"/>
    <d v="2024-01-14T00:00:00"/>
    <s v="Home Improvement"/>
    <n v="8200"/>
    <n v="48"/>
    <n v="10.09"/>
    <n v="208.33"/>
    <n v="54.1"/>
    <s v="Current"/>
    <n v="0"/>
    <n v="0"/>
    <n v="637"/>
    <x v="1"/>
  </r>
  <r>
    <x v="579"/>
    <s v="BRW-0484"/>
    <d v="2025-04-30T00:00:00"/>
    <s v="Home Improvement"/>
    <n v="27600"/>
    <n v="12"/>
    <n v="8.84"/>
    <n v="2411.61"/>
    <n v="66.900000000000006"/>
    <s v="Current"/>
    <n v="0"/>
    <n v="0"/>
    <n v="848"/>
    <x v="3"/>
  </r>
  <r>
    <x v="580"/>
    <s v="BRW-0484"/>
    <d v="2025-06-21T00:00:00"/>
    <s v="Home Improvement"/>
    <n v="2400"/>
    <n v="36"/>
    <n v="10.039999999999999"/>
    <n v="77.489999999999995"/>
    <n v="27.3"/>
    <s v="Paid Off"/>
    <n v="0"/>
    <n v="0"/>
    <n v="848"/>
    <x v="3"/>
  </r>
  <r>
    <x v="581"/>
    <s v="BRW-0485"/>
    <d v="2025-05-13T00:00:00"/>
    <s v="Education"/>
    <n v="37300"/>
    <n v="60"/>
    <n v="7.5"/>
    <n v="747.42"/>
    <n v="22.9"/>
    <s v="Paid Off"/>
    <n v="0"/>
    <n v="0"/>
    <n v="827"/>
    <x v="3"/>
  </r>
  <r>
    <x v="582"/>
    <s v="BRW-0486"/>
    <d v="2024-10-03T00:00:00"/>
    <s v="Education"/>
    <n v="39200"/>
    <n v="60"/>
    <n v="11.84"/>
    <n v="868.82"/>
    <n v="60.1"/>
    <s v="Current"/>
    <n v="0"/>
    <n v="0"/>
    <n v="635"/>
    <x v="1"/>
  </r>
  <r>
    <x v="583"/>
    <s v="BRW-0487"/>
    <d v="2025-03-17T00:00:00"/>
    <s v="Business Loan"/>
    <n v="8800"/>
    <n v="48"/>
    <n v="5.99"/>
    <n v="206.63"/>
    <n v="22.5"/>
    <s v="Current"/>
    <n v="0"/>
    <n v="0"/>
    <n v="850"/>
    <x v="3"/>
  </r>
  <r>
    <x v="584"/>
    <s v="BRW-0487"/>
    <d v="2025-04-05T00:00:00"/>
    <s v="Major Purchase"/>
    <n v="48300"/>
    <n v="60"/>
    <n v="10.33"/>
    <n v="1034.0899999999999"/>
    <n v="32.700000000000003"/>
    <s v="Late"/>
    <n v="15"/>
    <n v="0"/>
    <n v="850"/>
    <x v="3"/>
  </r>
  <r>
    <x v="585"/>
    <s v="BRW-0488"/>
    <d v="2024-10-09T00:00:00"/>
    <s v="Education"/>
    <n v="20800"/>
    <n v="48"/>
    <n v="14.43"/>
    <n v="572.89"/>
    <n v="47.4"/>
    <s v="Current"/>
    <n v="0"/>
    <n v="0"/>
    <n v="618"/>
    <x v="1"/>
  </r>
  <r>
    <x v="586"/>
    <s v="BRW-0488"/>
    <d v="2024-12-21T00:00:00"/>
    <s v="Education"/>
    <n v="7900"/>
    <n v="48"/>
    <n v="12.53"/>
    <n v="210.1"/>
    <n v="40.5"/>
    <s v="Late"/>
    <n v="30"/>
    <n v="0"/>
    <n v="618"/>
    <x v="1"/>
  </r>
  <r>
    <x v="587"/>
    <s v="BRW-0489"/>
    <d v="2024-06-15T00:00:00"/>
    <s v="Vacation"/>
    <n v="27100"/>
    <n v="36"/>
    <n v="9.3699999999999992"/>
    <n v="866.45"/>
    <n v="23.2"/>
    <s v="Paid Off"/>
    <n v="0"/>
    <n v="0"/>
    <n v="825"/>
    <x v="3"/>
  </r>
  <r>
    <x v="588"/>
    <s v="BRW-0490"/>
    <d v="2024-11-09T00:00:00"/>
    <s v="Debt Consolidation"/>
    <n v="41600"/>
    <n v="12"/>
    <n v="6.52"/>
    <n v="3590.31"/>
    <n v="72.7"/>
    <s v="Default"/>
    <n v="120"/>
    <n v="1"/>
    <n v="825"/>
    <x v="3"/>
  </r>
  <r>
    <x v="589"/>
    <s v="BRW-0491"/>
    <d v="2025-05-29T00:00:00"/>
    <s v="Debt Consolidation"/>
    <n v="4800"/>
    <n v="36"/>
    <n v="9.7799999999999994"/>
    <n v="154.38999999999999"/>
    <n v="40"/>
    <s v="Current"/>
    <n v="0"/>
    <n v="0"/>
    <n v="849"/>
    <x v="3"/>
  </r>
  <r>
    <x v="590"/>
    <s v="BRW-0492"/>
    <d v="2024-03-23T00:00:00"/>
    <s v="Auto Loan"/>
    <n v="13200"/>
    <n v="48"/>
    <n v="13.58"/>
    <n v="357.93"/>
    <n v="49.4"/>
    <s v="Default"/>
    <n v="38"/>
    <n v="1"/>
    <n v="561"/>
    <x v="0"/>
  </r>
  <r>
    <x v="591"/>
    <s v="BRW-0493"/>
    <d v="2024-04-10T00:00:00"/>
    <s v="Education"/>
    <n v="10000"/>
    <n v="48"/>
    <n v="9.58"/>
    <n v="251.61"/>
    <n v="38.700000000000003"/>
    <s v="Late"/>
    <n v="15"/>
    <n v="0"/>
    <n v="752"/>
    <x v="3"/>
  </r>
  <r>
    <x v="592"/>
    <s v="BRW-0494"/>
    <d v="2024-07-23T00:00:00"/>
    <s v="Major Purchase"/>
    <n v="17500"/>
    <n v="60"/>
    <n v="9.65"/>
    <n v="368.82"/>
    <n v="30.8"/>
    <s v="Current"/>
    <n v="0"/>
    <n v="0"/>
    <n v="663"/>
    <x v="4"/>
  </r>
  <r>
    <x v="593"/>
    <s v="BRW-0495"/>
    <d v="2025-03-23T00:00:00"/>
    <s v="Auto Loan"/>
    <n v="26400"/>
    <n v="60"/>
    <n v="11.87"/>
    <n v="585.52"/>
    <n v="52.7"/>
    <s v="Default"/>
    <n v="164"/>
    <n v="1"/>
    <n v="543"/>
    <x v="0"/>
  </r>
  <r>
    <x v="594"/>
    <s v="BRW-0496"/>
    <d v="2025-03-13T00:00:00"/>
    <s v="Education"/>
    <n v="34900"/>
    <n v="36"/>
    <n v="11.33"/>
    <n v="1148.04"/>
    <n v="69.7"/>
    <s v="Late"/>
    <n v="30"/>
    <n v="0"/>
    <n v="661"/>
    <x v="4"/>
  </r>
  <r>
    <x v="595"/>
    <s v="BRW-0497"/>
    <d v="2024-11-05T00:00:00"/>
    <s v="Debt Consolidation"/>
    <n v="22200"/>
    <n v="24"/>
    <n v="10.19"/>
    <n v="1026.3699999999999"/>
    <n v="55"/>
    <s v="Current"/>
    <n v="0"/>
    <n v="0"/>
    <n v="773"/>
    <x v="3"/>
  </r>
  <r>
    <x v="596"/>
    <s v="BRW-0497"/>
    <d v="2025-02-06T00:00:00"/>
    <s v="Wedding"/>
    <n v="29100"/>
    <n v="36"/>
    <n v="7.38"/>
    <n v="903.59"/>
    <n v="52.3"/>
    <s v="Default"/>
    <n v="31"/>
    <n v="1"/>
    <n v="773"/>
    <x v="3"/>
  </r>
  <r>
    <x v="597"/>
    <s v="BRW-0498"/>
    <d v="2024-04-19T00:00:00"/>
    <s v="Moving"/>
    <n v="4600"/>
    <n v="12"/>
    <n v="7.27"/>
    <n v="398.6"/>
    <n v="32.4"/>
    <s v="Current"/>
    <n v="0"/>
    <n v="0"/>
    <n v="845"/>
    <x v="3"/>
  </r>
  <r>
    <x v="598"/>
    <s v="BRW-0499"/>
    <d v="2024-02-24T00:00:00"/>
    <s v="Education"/>
    <n v="7800"/>
    <n v="60"/>
    <n v="9.86"/>
    <n v="165.19"/>
    <n v="28.8"/>
    <s v="Current"/>
    <n v="0"/>
    <n v="0"/>
    <n v="811"/>
    <x v="3"/>
  </r>
  <r>
    <x v="599"/>
    <s v="BRW-0500"/>
    <d v="2024-11-14T00:00:00"/>
    <s v="Medical Expenses"/>
    <n v="26400"/>
    <n v="24"/>
    <n v="11.44"/>
    <n v="1235.8499999999999"/>
    <n v="73.2"/>
    <s v="Late"/>
    <n v="15"/>
    <n v="0"/>
    <n v="604"/>
    <x v="1"/>
  </r>
  <r>
    <x v="600"/>
    <s v="BRW-0500"/>
    <d v="2024-05-03T00:00:00"/>
    <s v="Wedding"/>
    <n v="7500"/>
    <n v="12"/>
    <n v="10.7"/>
    <n v="661.81"/>
    <n v="62.9"/>
    <s v="Current"/>
    <n v="0"/>
    <n v="0"/>
    <n v="60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s v="BRW-0001"/>
    <d v="2024-01-08T00:00:00"/>
    <x v="0"/>
    <n v="16100"/>
    <n v="36"/>
    <n v="13.05"/>
    <n v="542.86"/>
    <n v="55.5"/>
    <s v="Paid Off"/>
    <n v="0"/>
    <x v="0"/>
  </r>
  <r>
    <x v="1"/>
    <s v="BRW-0001"/>
    <d v="2024-08-13T00:00:00"/>
    <x v="1"/>
    <n v="5600"/>
    <n v="48"/>
    <n v="14.21"/>
    <n v="153.62"/>
    <n v="40.4"/>
    <s v="Default"/>
    <n v="138"/>
    <x v="1"/>
  </r>
  <r>
    <x v="2"/>
    <s v="BRW-0002"/>
    <d v="2025-06-28T00:00:00"/>
    <x v="2"/>
    <n v="44700"/>
    <n v="36"/>
    <n v="12.37"/>
    <n v="1492.59"/>
    <n v="70.5"/>
    <s v="Paid Off"/>
    <n v="0"/>
    <x v="0"/>
  </r>
  <r>
    <x v="3"/>
    <s v="BRW-0003"/>
    <d v="2025-05-18T00:00:00"/>
    <x v="3"/>
    <n v="9200"/>
    <n v="48"/>
    <n v="11.18"/>
    <n v="238.58"/>
    <n v="59.8"/>
    <s v="Default"/>
    <n v="34"/>
    <x v="1"/>
  </r>
  <r>
    <x v="4"/>
    <s v="BRW-0004"/>
    <d v="2025-03-24T00:00:00"/>
    <x v="2"/>
    <n v="11200"/>
    <n v="36"/>
    <n v="9.66"/>
    <n v="359.61"/>
    <n v="44.1"/>
    <s v="Current"/>
    <n v="0"/>
    <x v="0"/>
  </r>
  <r>
    <x v="5"/>
    <s v="BRW-0005"/>
    <d v="2025-04-19T00:00:00"/>
    <x v="4"/>
    <n v="28600"/>
    <n v="48"/>
    <n v="13.07"/>
    <n v="768.26"/>
    <n v="37.1"/>
    <s v="Current"/>
    <n v="0"/>
    <x v="0"/>
  </r>
  <r>
    <x v="6"/>
    <s v="BRW-0006"/>
    <d v="2024-07-04T00:00:00"/>
    <x v="5"/>
    <n v="39200"/>
    <n v="12"/>
    <n v="10.23"/>
    <n v="3450.5"/>
    <n v="49.9"/>
    <s v="Paid Off"/>
    <n v="0"/>
    <x v="0"/>
  </r>
  <r>
    <x v="7"/>
    <s v="BRW-0007"/>
    <d v="2025-03-29T00:00:00"/>
    <x v="6"/>
    <n v="36300"/>
    <n v="48"/>
    <n v="14.26"/>
    <n v="996.69"/>
    <n v="38.200000000000003"/>
    <s v="Default"/>
    <n v="38"/>
    <x v="1"/>
  </r>
  <r>
    <x v="8"/>
    <s v="BRW-0007"/>
    <d v="2024-08-01T00:00:00"/>
    <x v="7"/>
    <n v="39000"/>
    <n v="60"/>
    <n v="13.73"/>
    <n v="902.01"/>
    <n v="36.799999999999997"/>
    <s v="Current"/>
    <n v="0"/>
    <x v="0"/>
  </r>
  <r>
    <x v="9"/>
    <s v="BRW-0008"/>
    <d v="2024-11-01T00:00:00"/>
    <x v="8"/>
    <n v="28400"/>
    <n v="12"/>
    <n v="11.88"/>
    <n v="2521.71"/>
    <n v="67.8"/>
    <s v="Default"/>
    <n v="43"/>
    <x v="1"/>
  </r>
  <r>
    <x v="10"/>
    <s v="BRW-0009"/>
    <d v="2024-06-20T00:00:00"/>
    <x v="7"/>
    <n v="13300"/>
    <n v="48"/>
    <n v="10.91"/>
    <n v="343.16"/>
    <n v="18.600000000000001"/>
    <s v="Current"/>
    <n v="0"/>
    <x v="0"/>
  </r>
  <r>
    <x v="11"/>
    <s v="BRW-0009"/>
    <d v="2024-06-07T00:00:00"/>
    <x v="7"/>
    <n v="2700"/>
    <n v="48"/>
    <n v="12.73"/>
    <n v="72.069999999999993"/>
    <n v="13.5"/>
    <s v="Current"/>
    <n v="0"/>
    <x v="0"/>
  </r>
  <r>
    <x v="12"/>
    <s v="BRW-0010"/>
    <d v="2024-06-06T00:00:00"/>
    <x v="9"/>
    <n v="15700"/>
    <n v="12"/>
    <n v="6.57"/>
    <n v="1355.36"/>
    <n v="126"/>
    <s v="Current"/>
    <n v="0"/>
    <x v="0"/>
  </r>
  <r>
    <x v="13"/>
    <s v="BRW-0011"/>
    <d v="2024-01-22T00:00:00"/>
    <x v="2"/>
    <n v="38300"/>
    <n v="48"/>
    <n v="13.9"/>
    <n v="1044.68"/>
    <n v="63.6"/>
    <s v="Current"/>
    <n v="0"/>
    <x v="0"/>
  </r>
  <r>
    <x v="14"/>
    <s v="BRW-0012"/>
    <d v="2024-07-13T00:00:00"/>
    <x v="0"/>
    <n v="28800"/>
    <n v="60"/>
    <n v="9.94"/>
    <n v="611.05999999999995"/>
    <n v="48.3"/>
    <s v="Current"/>
    <n v="0"/>
    <x v="0"/>
  </r>
  <r>
    <x v="15"/>
    <s v="BRW-0012"/>
    <d v="2025-06-27T00:00:00"/>
    <x v="0"/>
    <n v="23700"/>
    <n v="60"/>
    <n v="7.25"/>
    <n v="472.09"/>
    <n v="44.5"/>
    <s v="Default"/>
    <n v="105"/>
    <x v="1"/>
  </r>
  <r>
    <x v="16"/>
    <s v="BRW-0013"/>
    <d v="2024-07-08T00:00:00"/>
    <x v="2"/>
    <n v="2000"/>
    <n v="60"/>
    <n v="11.65"/>
    <n v="44.14"/>
    <n v="18.8"/>
    <s v="Current"/>
    <n v="0"/>
    <x v="0"/>
  </r>
  <r>
    <x v="17"/>
    <s v="BRW-0013"/>
    <d v="2024-07-13T00:00:00"/>
    <x v="9"/>
    <n v="34300"/>
    <n v="60"/>
    <n v="13.85"/>
    <n v="795.44"/>
    <n v="30.1"/>
    <s v="Current"/>
    <n v="0"/>
    <x v="0"/>
  </r>
  <r>
    <x v="18"/>
    <s v="BRW-0014"/>
    <d v="2024-03-09T00:00:00"/>
    <x v="4"/>
    <n v="17500"/>
    <n v="12"/>
    <n v="8.4499999999999993"/>
    <n v="1525.94"/>
    <n v="41.4"/>
    <s v="Default"/>
    <n v="63"/>
    <x v="1"/>
  </r>
  <r>
    <x v="19"/>
    <s v="BRW-0015"/>
    <d v="2025-02-01T00:00:00"/>
    <x v="8"/>
    <n v="20600"/>
    <n v="12"/>
    <n v="11.24"/>
    <n v="1822.97"/>
    <n v="52.5"/>
    <s v="Paid Off"/>
    <n v="0"/>
    <x v="0"/>
  </r>
  <r>
    <x v="20"/>
    <s v="BRW-0016"/>
    <d v="2024-08-01T00:00:00"/>
    <x v="4"/>
    <n v="23100"/>
    <n v="12"/>
    <n v="15.15"/>
    <n v="2086.6"/>
    <n v="88.1"/>
    <s v="Late"/>
    <n v="15"/>
    <x v="0"/>
  </r>
  <r>
    <x v="21"/>
    <s v="BRW-0017"/>
    <d v="2024-02-29T00:00:00"/>
    <x v="8"/>
    <n v="23300"/>
    <n v="48"/>
    <n v="13.03"/>
    <n v="625.42999999999995"/>
    <n v="69.400000000000006"/>
    <s v="Current"/>
    <n v="0"/>
    <x v="0"/>
  </r>
  <r>
    <x v="22"/>
    <s v="BRW-0018"/>
    <d v="2024-08-24T00:00:00"/>
    <x v="3"/>
    <n v="7200"/>
    <n v="60"/>
    <n v="8.39"/>
    <n v="147.34"/>
    <n v="18.899999999999999"/>
    <s v="Current"/>
    <n v="0"/>
    <x v="0"/>
  </r>
  <r>
    <x v="23"/>
    <s v="BRW-0019"/>
    <d v="2025-01-01T00:00:00"/>
    <x v="5"/>
    <n v="13700"/>
    <n v="12"/>
    <n v="15.03"/>
    <n v="1236.73"/>
    <n v="112.8"/>
    <s v="Current"/>
    <n v="0"/>
    <x v="0"/>
  </r>
  <r>
    <x v="24"/>
    <s v="BRW-0020"/>
    <d v="2025-03-29T00:00:00"/>
    <x v="5"/>
    <n v="23300"/>
    <n v="24"/>
    <n v="12.02"/>
    <n v="1097.03"/>
    <n v="62.4"/>
    <s v="Late"/>
    <n v="15"/>
    <x v="0"/>
  </r>
  <r>
    <x v="25"/>
    <s v="BRW-0021"/>
    <d v="2024-08-07T00:00:00"/>
    <x v="4"/>
    <n v="32400"/>
    <n v="36"/>
    <n v="13.31"/>
    <n v="1096.53"/>
    <n v="60"/>
    <s v="Default"/>
    <n v="170"/>
    <x v="1"/>
  </r>
  <r>
    <x v="26"/>
    <s v="BRW-0021"/>
    <d v="2024-02-05T00:00:00"/>
    <x v="3"/>
    <n v="23700"/>
    <n v="48"/>
    <n v="10.27"/>
    <n v="604.16999999999996"/>
    <n v="51.7"/>
    <s v="Current"/>
    <n v="0"/>
    <x v="0"/>
  </r>
  <r>
    <x v="27"/>
    <s v="BRW-0022"/>
    <d v="2024-01-23T00:00:00"/>
    <x v="3"/>
    <n v="7400"/>
    <n v="24"/>
    <n v="12.65"/>
    <n v="350.59"/>
    <n v="29.2"/>
    <s v="Late"/>
    <n v="15"/>
    <x v="0"/>
  </r>
  <r>
    <x v="28"/>
    <s v="BRW-0022"/>
    <d v="2024-02-08T00:00:00"/>
    <x v="2"/>
    <n v="13600"/>
    <n v="60"/>
    <n v="9.14"/>
    <n v="283.24"/>
    <n v="25.9"/>
    <s v="Current"/>
    <n v="0"/>
    <x v="0"/>
  </r>
  <r>
    <x v="29"/>
    <s v="BRW-0023"/>
    <d v="2024-08-10T00:00:00"/>
    <x v="7"/>
    <n v="34200"/>
    <n v="12"/>
    <n v="10.17"/>
    <n v="3009.43"/>
    <n v="87.7"/>
    <s v="Paid Off"/>
    <n v="0"/>
    <x v="0"/>
  </r>
  <r>
    <x v="30"/>
    <s v="BRW-0023"/>
    <d v="2024-04-07T00:00:00"/>
    <x v="5"/>
    <n v="45200"/>
    <n v="60"/>
    <n v="11.41"/>
    <n v="992.02"/>
    <n v="54.1"/>
    <s v="Paid Off"/>
    <n v="0"/>
    <x v="0"/>
  </r>
  <r>
    <x v="31"/>
    <s v="BRW-0024"/>
    <d v="2025-03-20T00:00:00"/>
    <x v="6"/>
    <n v="46200"/>
    <n v="36"/>
    <n v="10.72"/>
    <n v="1506.41"/>
    <n v="47.5"/>
    <s v="Late"/>
    <n v="15"/>
    <x v="0"/>
  </r>
  <r>
    <x v="32"/>
    <s v="BRW-0025"/>
    <d v="2025-06-20T00:00:00"/>
    <x v="9"/>
    <n v="32400"/>
    <n v="48"/>
    <n v="7.65"/>
    <n v="785.67"/>
    <n v="58.9"/>
    <s v="Default"/>
    <n v="168"/>
    <x v="1"/>
  </r>
  <r>
    <x v="33"/>
    <s v="BRW-0026"/>
    <d v="2025-02-06T00:00:00"/>
    <x v="4"/>
    <n v="12400"/>
    <n v="12"/>
    <n v="14.05"/>
    <n v="1113.6500000000001"/>
    <n v="58.7"/>
    <s v="Current"/>
    <n v="0"/>
    <x v="0"/>
  </r>
  <r>
    <x v="34"/>
    <s v="BRW-0027"/>
    <d v="2025-05-02T00:00:00"/>
    <x v="1"/>
    <n v="16400"/>
    <n v="24"/>
    <n v="8.51"/>
    <n v="745.55"/>
    <n v="53.8"/>
    <s v="Current"/>
    <n v="0"/>
    <x v="0"/>
  </r>
  <r>
    <x v="35"/>
    <s v="BRW-0028"/>
    <d v="2024-07-21T00:00:00"/>
    <x v="2"/>
    <n v="27100"/>
    <n v="24"/>
    <n v="8.64"/>
    <n v="1233.5899999999999"/>
    <n v="65.3"/>
    <s v="Current"/>
    <n v="0"/>
    <x v="0"/>
  </r>
  <r>
    <x v="36"/>
    <s v="BRW-0029"/>
    <d v="2024-04-01T00:00:00"/>
    <x v="2"/>
    <n v="5400"/>
    <n v="48"/>
    <n v="10.5"/>
    <n v="138.26"/>
    <n v="29.3"/>
    <s v="Default"/>
    <n v="135"/>
    <x v="1"/>
  </r>
  <r>
    <x v="37"/>
    <s v="BRW-0030"/>
    <d v="2024-06-22T00:00:00"/>
    <x v="4"/>
    <n v="5500"/>
    <n v="12"/>
    <n v="14.25"/>
    <n v="494.48"/>
    <n v="77.2"/>
    <s v="Paid Off"/>
    <n v="0"/>
    <x v="0"/>
  </r>
  <r>
    <x v="38"/>
    <s v="BRW-0031"/>
    <d v="2025-01-17T00:00:00"/>
    <x v="5"/>
    <n v="46400"/>
    <n v="24"/>
    <n v="7.45"/>
    <n v="2086.9299999999998"/>
    <n v="42.1"/>
    <s v="Current"/>
    <n v="0"/>
    <x v="0"/>
  </r>
  <r>
    <x v="39"/>
    <s v="BRW-0032"/>
    <d v="2024-04-23T00:00:00"/>
    <x v="7"/>
    <n v="46500"/>
    <n v="36"/>
    <n v="10.02"/>
    <n v="1500.86"/>
    <n v="37.5"/>
    <s v="Current"/>
    <n v="0"/>
    <x v="0"/>
  </r>
  <r>
    <x v="40"/>
    <s v="BRW-0033"/>
    <d v="2024-05-24T00:00:00"/>
    <x v="7"/>
    <n v="16200"/>
    <n v="36"/>
    <n v="8.58"/>
    <n v="511.99"/>
    <n v="58.8"/>
    <s v="Current"/>
    <n v="0"/>
    <x v="0"/>
  </r>
  <r>
    <x v="41"/>
    <s v="BRW-0034"/>
    <d v="2024-10-04T00:00:00"/>
    <x v="2"/>
    <n v="4300"/>
    <n v="36"/>
    <n v="9.34"/>
    <n v="137.41999999999999"/>
    <n v="30.9"/>
    <s v="Default"/>
    <n v="32"/>
    <x v="1"/>
  </r>
  <r>
    <x v="42"/>
    <s v="BRW-0034"/>
    <d v="2024-01-20T00:00:00"/>
    <x v="6"/>
    <n v="10500"/>
    <n v="36"/>
    <n v="12.65"/>
    <n v="352.02"/>
    <n v="36.799999999999997"/>
    <s v="Late"/>
    <n v="15"/>
    <x v="0"/>
  </r>
  <r>
    <x v="43"/>
    <s v="BRW-0035"/>
    <d v="2025-06-28T00:00:00"/>
    <x v="2"/>
    <n v="6800"/>
    <n v="36"/>
    <n v="12.32"/>
    <n v="226.9"/>
    <n v="18.399999999999999"/>
    <s v="Default"/>
    <n v="80"/>
    <x v="1"/>
  </r>
  <r>
    <x v="44"/>
    <s v="BRW-0035"/>
    <d v="2025-06-26T00:00:00"/>
    <x v="2"/>
    <n v="28900"/>
    <n v="12"/>
    <n v="10.1"/>
    <n v="2542.11"/>
    <n v="79.599999999999994"/>
    <s v="Default"/>
    <n v="155"/>
    <x v="1"/>
  </r>
  <r>
    <x v="45"/>
    <s v="BRW-0036"/>
    <d v="2024-08-29T00:00:00"/>
    <x v="5"/>
    <n v="12800"/>
    <n v="36"/>
    <n v="13.96"/>
    <n v="437.23"/>
    <n v="32.200000000000003"/>
    <s v="Late"/>
    <n v="30"/>
    <x v="0"/>
  </r>
  <r>
    <x v="46"/>
    <s v="BRW-0037"/>
    <d v="2024-10-13T00:00:00"/>
    <x v="3"/>
    <n v="44700"/>
    <n v="12"/>
    <n v="14.32"/>
    <n v="4020.22"/>
    <n v="93.8"/>
    <s v="Default"/>
    <n v="117"/>
    <x v="1"/>
  </r>
  <r>
    <x v="47"/>
    <s v="BRW-0038"/>
    <d v="2024-08-20T00:00:00"/>
    <x v="5"/>
    <n v="5900"/>
    <n v="60"/>
    <n v="12.11"/>
    <n v="131.57"/>
    <n v="29.4"/>
    <s v="Current"/>
    <n v="0"/>
    <x v="0"/>
  </r>
  <r>
    <x v="48"/>
    <s v="BRW-0038"/>
    <d v="2024-05-21T00:00:00"/>
    <x v="3"/>
    <n v="15100"/>
    <n v="60"/>
    <n v="8.41"/>
    <n v="309.14999999999998"/>
    <n v="36.5"/>
    <s v="Current"/>
    <n v="0"/>
    <x v="0"/>
  </r>
  <r>
    <x v="49"/>
    <s v="BRW-0039"/>
    <d v="2024-06-10T00:00:00"/>
    <x v="2"/>
    <n v="22600"/>
    <n v="24"/>
    <n v="10.199999999999999"/>
    <n v="1044.96"/>
    <n v="26.2"/>
    <s v="Paid Off"/>
    <n v="0"/>
    <x v="0"/>
  </r>
  <r>
    <x v="50"/>
    <s v="BRW-0040"/>
    <d v="2025-02-27T00:00:00"/>
    <x v="4"/>
    <n v="9000"/>
    <n v="12"/>
    <n v="12.63"/>
    <n v="802.29"/>
    <n v="65.400000000000006"/>
    <s v="Paid Off"/>
    <n v="0"/>
    <x v="0"/>
  </r>
  <r>
    <x v="51"/>
    <s v="BRW-0041"/>
    <d v="2024-09-30T00:00:00"/>
    <x v="3"/>
    <n v="11000"/>
    <n v="24"/>
    <n v="10.24"/>
    <n v="508.81"/>
    <n v="39.299999999999997"/>
    <s v="Current"/>
    <n v="0"/>
    <x v="0"/>
  </r>
  <r>
    <x v="52"/>
    <s v="BRW-0041"/>
    <d v="2025-04-25T00:00:00"/>
    <x v="7"/>
    <n v="19200"/>
    <n v="48"/>
    <n v="9.99"/>
    <n v="486.87"/>
    <n v="39.1"/>
    <s v="Paid Off"/>
    <n v="0"/>
    <x v="0"/>
  </r>
  <r>
    <x v="53"/>
    <s v="BRW-0042"/>
    <d v="2024-01-16T00:00:00"/>
    <x v="5"/>
    <n v="12900"/>
    <n v="48"/>
    <n v="10.39"/>
    <n v="329.6"/>
    <n v="10.9"/>
    <s v="Late"/>
    <n v="30"/>
    <x v="0"/>
  </r>
  <r>
    <x v="54"/>
    <s v="BRW-0043"/>
    <d v="2025-05-16T00:00:00"/>
    <x v="7"/>
    <n v="3900"/>
    <n v="48"/>
    <n v="13.92"/>
    <n v="106.42"/>
    <n v="41.3"/>
    <s v="Late"/>
    <n v="15"/>
    <x v="0"/>
  </r>
  <r>
    <x v="55"/>
    <s v="BRW-0044"/>
    <d v="2025-06-21T00:00:00"/>
    <x v="8"/>
    <n v="41600"/>
    <n v="36"/>
    <n v="10.34"/>
    <n v="1348.97"/>
    <n v="31.5"/>
    <s v="Current"/>
    <n v="0"/>
    <x v="0"/>
  </r>
  <r>
    <x v="56"/>
    <s v="BRW-0045"/>
    <d v="2025-02-09T00:00:00"/>
    <x v="0"/>
    <n v="4000"/>
    <n v="24"/>
    <n v="12.11"/>
    <n v="188.5"/>
    <n v="7.6"/>
    <s v="Current"/>
    <n v="0"/>
    <x v="0"/>
  </r>
  <r>
    <x v="57"/>
    <s v="BRW-0046"/>
    <d v="2024-10-19T00:00:00"/>
    <x v="8"/>
    <n v="14400"/>
    <n v="36"/>
    <n v="12.3"/>
    <n v="480.35"/>
    <n v="38.700000000000003"/>
    <s v="Late"/>
    <n v="0"/>
    <x v="0"/>
  </r>
  <r>
    <x v="58"/>
    <s v="BRW-0047"/>
    <d v="2025-05-27T00:00:00"/>
    <x v="2"/>
    <n v="24300"/>
    <n v="48"/>
    <n v="6.29"/>
    <n v="573.91999999999996"/>
    <n v="28.8"/>
    <s v="Paid Off"/>
    <n v="0"/>
    <x v="0"/>
  </r>
  <r>
    <x v="59"/>
    <s v="BRW-0048"/>
    <d v="2024-07-25T00:00:00"/>
    <x v="5"/>
    <n v="15600"/>
    <n v="12"/>
    <n v="6.86"/>
    <n v="1348.81"/>
    <n v="64.900000000000006"/>
    <s v="Current"/>
    <n v="0"/>
    <x v="0"/>
  </r>
  <r>
    <x v="60"/>
    <s v="BRW-0049"/>
    <d v="2025-01-06T00:00:00"/>
    <x v="5"/>
    <n v="7900"/>
    <n v="12"/>
    <n v="13.28"/>
    <n v="706.64"/>
    <n v="53"/>
    <s v="Default"/>
    <n v="128"/>
    <x v="1"/>
  </r>
  <r>
    <x v="61"/>
    <s v="BRW-0050"/>
    <d v="2024-06-23T00:00:00"/>
    <x v="2"/>
    <n v="9700"/>
    <n v="60"/>
    <n v="8.32"/>
    <n v="198.17"/>
    <n v="13"/>
    <s v="Late"/>
    <n v="0"/>
    <x v="0"/>
  </r>
  <r>
    <x v="62"/>
    <s v="BRW-0051"/>
    <d v="2025-04-01T00:00:00"/>
    <x v="5"/>
    <n v="36200"/>
    <n v="48"/>
    <n v="7.37"/>
    <n v="873.08"/>
    <n v="53.3"/>
    <s v="Paid Off"/>
    <n v="0"/>
    <x v="0"/>
  </r>
  <r>
    <x v="63"/>
    <s v="BRW-0052"/>
    <d v="2025-05-25T00:00:00"/>
    <x v="8"/>
    <n v="14100"/>
    <n v="48"/>
    <n v="12.22"/>
    <n v="372.83"/>
    <n v="43.4"/>
    <s v="Paid Off"/>
    <n v="0"/>
    <x v="0"/>
  </r>
  <r>
    <x v="64"/>
    <s v="BRW-0052"/>
    <d v="2024-03-22T00:00:00"/>
    <x v="7"/>
    <n v="26200"/>
    <n v="48"/>
    <n v="11.78"/>
    <n v="687.12"/>
    <n v="48.8"/>
    <s v="Paid Off"/>
    <n v="0"/>
    <x v="0"/>
  </r>
  <r>
    <x v="65"/>
    <s v="BRW-0053"/>
    <d v="2024-12-23T00:00:00"/>
    <x v="2"/>
    <n v="12000"/>
    <n v="24"/>
    <n v="9.39"/>
    <n v="550.37"/>
    <n v="18.600000000000001"/>
    <s v="Default"/>
    <n v="38"/>
    <x v="1"/>
  </r>
  <r>
    <x v="66"/>
    <s v="BRW-0054"/>
    <d v="2024-07-01T00:00:00"/>
    <x v="9"/>
    <n v="37700"/>
    <n v="12"/>
    <n v="11.09"/>
    <n v="3333.57"/>
    <n v="72.599999999999994"/>
    <s v="Default"/>
    <n v="102"/>
    <x v="1"/>
  </r>
  <r>
    <x v="67"/>
    <s v="BRW-0055"/>
    <d v="2025-01-03T00:00:00"/>
    <x v="9"/>
    <n v="29000"/>
    <n v="48"/>
    <n v="14.5"/>
    <n v="799.76"/>
    <n v="14.8"/>
    <s v="Current"/>
    <n v="0"/>
    <x v="0"/>
  </r>
  <r>
    <x v="68"/>
    <s v="BRW-0056"/>
    <d v="2025-04-27T00:00:00"/>
    <x v="1"/>
    <n v="38400"/>
    <n v="60"/>
    <n v="7.84"/>
    <n v="775.68"/>
    <n v="63.1"/>
    <s v="Default"/>
    <n v="100"/>
    <x v="1"/>
  </r>
  <r>
    <x v="69"/>
    <s v="BRW-0057"/>
    <d v="2025-06-25T00:00:00"/>
    <x v="1"/>
    <n v="20500"/>
    <n v="60"/>
    <n v="8.67"/>
    <n v="422.27"/>
    <n v="27.8"/>
    <s v="Late"/>
    <n v="0"/>
    <x v="0"/>
  </r>
  <r>
    <x v="70"/>
    <s v="BRW-0058"/>
    <d v="2024-12-28T00:00:00"/>
    <x v="3"/>
    <n v="42700"/>
    <n v="36"/>
    <n v="13.49"/>
    <n v="1448.83"/>
    <n v="36.299999999999997"/>
    <s v="Current"/>
    <n v="0"/>
    <x v="0"/>
  </r>
  <r>
    <x v="71"/>
    <s v="BRW-0058"/>
    <d v="2024-10-24T00:00:00"/>
    <x v="0"/>
    <n v="10600"/>
    <n v="60"/>
    <n v="12.03"/>
    <n v="235.95"/>
    <n v="17.7"/>
    <s v="Current"/>
    <n v="0"/>
    <x v="0"/>
  </r>
  <r>
    <x v="72"/>
    <s v="BRW-0059"/>
    <d v="2025-02-27T00:00:00"/>
    <x v="6"/>
    <n v="12000"/>
    <n v="60"/>
    <n v="12.84"/>
    <n v="272.06"/>
    <n v="52"/>
    <s v="Default"/>
    <n v="119"/>
    <x v="1"/>
  </r>
  <r>
    <x v="73"/>
    <s v="BRW-0060"/>
    <d v="2024-03-10T00:00:00"/>
    <x v="7"/>
    <n v="5200"/>
    <n v="36"/>
    <n v="9.4600000000000009"/>
    <n v="166.47"/>
    <n v="10.5"/>
    <s v="Current"/>
    <n v="0"/>
    <x v="0"/>
  </r>
  <r>
    <x v="74"/>
    <s v="BRW-0061"/>
    <d v="2024-06-28T00:00:00"/>
    <x v="4"/>
    <n v="29500"/>
    <n v="60"/>
    <n v="14.67"/>
    <n v="696.7"/>
    <n v="67.2"/>
    <s v="Default"/>
    <n v="116"/>
    <x v="1"/>
  </r>
  <r>
    <x v="75"/>
    <s v="BRW-0062"/>
    <d v="2025-04-16T00:00:00"/>
    <x v="0"/>
    <n v="40300"/>
    <n v="24"/>
    <n v="8.41"/>
    <n v="1830.2"/>
    <n v="53.2"/>
    <s v="Current"/>
    <n v="0"/>
    <x v="0"/>
  </r>
  <r>
    <x v="76"/>
    <s v="BRW-0062"/>
    <d v="2024-11-19T00:00:00"/>
    <x v="1"/>
    <n v="4700"/>
    <n v="60"/>
    <n v="7.5"/>
    <n v="94.18"/>
    <n v="12.6"/>
    <s v="Current"/>
    <n v="0"/>
    <x v="0"/>
  </r>
  <r>
    <x v="77"/>
    <s v="BRW-0063"/>
    <d v="2025-01-19T00:00:00"/>
    <x v="4"/>
    <n v="5800"/>
    <n v="12"/>
    <n v="9.58"/>
    <n v="508.78"/>
    <n v="47.9"/>
    <s v="Current"/>
    <n v="0"/>
    <x v="0"/>
  </r>
  <r>
    <x v="78"/>
    <s v="BRW-0064"/>
    <d v="2024-11-18T00:00:00"/>
    <x v="9"/>
    <n v="15400"/>
    <n v="36"/>
    <n v="9.58"/>
    <n v="493.88"/>
    <n v="36"/>
    <s v="Current"/>
    <n v="0"/>
    <x v="0"/>
  </r>
  <r>
    <x v="79"/>
    <s v="BRW-0065"/>
    <d v="2024-06-28T00:00:00"/>
    <x v="4"/>
    <n v="47600"/>
    <n v="24"/>
    <n v="13.53"/>
    <n v="2274.86"/>
    <n v="86.4"/>
    <s v="Default"/>
    <n v="39"/>
    <x v="1"/>
  </r>
  <r>
    <x v="80"/>
    <s v="BRW-0065"/>
    <d v="2025-05-27T00:00:00"/>
    <x v="7"/>
    <n v="23300"/>
    <n v="12"/>
    <n v="14.9"/>
    <n v="2101.92"/>
    <n v="83.8"/>
    <s v="Default"/>
    <n v="117"/>
    <x v="1"/>
  </r>
  <r>
    <x v="81"/>
    <s v="BRW-0066"/>
    <d v="2025-06-12T00:00:00"/>
    <x v="2"/>
    <n v="16300"/>
    <n v="12"/>
    <n v="13.69"/>
    <n v="1461.15"/>
    <n v="76.900000000000006"/>
    <s v="Paid Off"/>
    <n v="0"/>
    <x v="0"/>
  </r>
  <r>
    <x v="82"/>
    <s v="BRW-0066"/>
    <d v="2024-02-15T00:00:00"/>
    <x v="0"/>
    <n v="43500"/>
    <n v="12"/>
    <n v="9.6"/>
    <n v="3816.25"/>
    <n v="118.6"/>
    <s v="Current"/>
    <n v="0"/>
    <x v="0"/>
  </r>
  <r>
    <x v="83"/>
    <s v="BRW-0067"/>
    <d v="2024-11-15T00:00:00"/>
    <x v="8"/>
    <n v="25900"/>
    <n v="36"/>
    <n v="8.4499999999999993"/>
    <n v="817"/>
    <n v="40"/>
    <s v="Current"/>
    <n v="0"/>
    <x v="0"/>
  </r>
  <r>
    <x v="84"/>
    <s v="BRW-0068"/>
    <d v="2024-06-10T00:00:00"/>
    <x v="2"/>
    <n v="19800"/>
    <n v="12"/>
    <n v="8.23"/>
    <n v="1724.48"/>
    <n v="51.2"/>
    <s v="Late"/>
    <n v="0"/>
    <x v="0"/>
  </r>
  <r>
    <x v="85"/>
    <s v="BRW-0069"/>
    <d v="2024-10-17T00:00:00"/>
    <x v="7"/>
    <n v="28400"/>
    <n v="36"/>
    <n v="11.71"/>
    <n v="939.36"/>
    <n v="39.700000000000003"/>
    <s v="Current"/>
    <n v="0"/>
    <x v="0"/>
  </r>
  <r>
    <x v="86"/>
    <s v="BRW-0070"/>
    <d v="2024-02-21T00:00:00"/>
    <x v="2"/>
    <n v="8200"/>
    <n v="48"/>
    <n v="11.25"/>
    <n v="212.93"/>
    <n v="27.5"/>
    <s v="Current"/>
    <n v="0"/>
    <x v="0"/>
  </r>
  <r>
    <x v="87"/>
    <s v="BRW-0070"/>
    <d v="2024-11-15T00:00:00"/>
    <x v="5"/>
    <n v="44800"/>
    <n v="48"/>
    <n v="9.81"/>
    <n v="1132.1600000000001"/>
    <n v="37.6"/>
    <s v="Paid Off"/>
    <n v="0"/>
    <x v="0"/>
  </r>
  <r>
    <x v="88"/>
    <s v="BRW-0071"/>
    <d v="2024-04-05T00:00:00"/>
    <x v="6"/>
    <n v="31800"/>
    <n v="48"/>
    <n v="9.57"/>
    <n v="799.98"/>
    <n v="56.6"/>
    <s v="Late"/>
    <n v="15"/>
    <x v="0"/>
  </r>
  <r>
    <x v="89"/>
    <s v="BRW-0071"/>
    <d v="2024-08-17T00:00:00"/>
    <x v="0"/>
    <n v="12900"/>
    <n v="48"/>
    <n v="9.09"/>
    <n v="321.57"/>
    <n v="36.200000000000003"/>
    <s v="Late"/>
    <n v="15"/>
    <x v="0"/>
  </r>
  <r>
    <x v="90"/>
    <s v="BRW-0072"/>
    <d v="2024-01-31T00:00:00"/>
    <x v="5"/>
    <n v="27200"/>
    <n v="36"/>
    <n v="11.88"/>
    <n v="901.87"/>
    <n v="70.400000000000006"/>
    <s v="Default"/>
    <n v="58"/>
    <x v="1"/>
  </r>
  <r>
    <x v="91"/>
    <s v="BRW-0073"/>
    <d v="2024-05-10T00:00:00"/>
    <x v="0"/>
    <n v="15500"/>
    <n v="36"/>
    <n v="9.64"/>
    <n v="497.53"/>
    <n v="29.3"/>
    <s v="Paid Off"/>
    <n v="0"/>
    <x v="0"/>
  </r>
  <r>
    <x v="92"/>
    <s v="BRW-0074"/>
    <d v="2025-02-27T00:00:00"/>
    <x v="2"/>
    <n v="35700"/>
    <n v="60"/>
    <n v="11.14"/>
    <n v="778.7"/>
    <n v="74.900000000000006"/>
    <s v="Default"/>
    <n v="92"/>
    <x v="1"/>
  </r>
  <r>
    <x v="93"/>
    <s v="BRW-0075"/>
    <d v="2025-03-21T00:00:00"/>
    <x v="0"/>
    <n v="18400"/>
    <n v="60"/>
    <n v="8.11"/>
    <n v="374.06"/>
    <n v="56.7"/>
    <s v="Late"/>
    <n v="0"/>
    <x v="0"/>
  </r>
  <r>
    <x v="94"/>
    <s v="BRW-0076"/>
    <d v="2025-04-19T00:00:00"/>
    <x v="6"/>
    <n v="36200"/>
    <n v="48"/>
    <n v="7.99"/>
    <n v="883.58"/>
    <n v="21.1"/>
    <s v="Current"/>
    <n v="0"/>
    <x v="0"/>
  </r>
  <r>
    <x v="95"/>
    <s v="BRW-0077"/>
    <d v="2025-01-23T00:00:00"/>
    <x v="1"/>
    <n v="4900"/>
    <n v="60"/>
    <n v="10.19"/>
    <n v="104.57"/>
    <n v="45.4"/>
    <s v="Current"/>
    <n v="0"/>
    <x v="0"/>
  </r>
  <r>
    <x v="96"/>
    <s v="BRW-0078"/>
    <d v="2024-06-01T00:00:00"/>
    <x v="5"/>
    <n v="45400"/>
    <n v="12"/>
    <n v="11.14"/>
    <n v="4015.49"/>
    <n v="92.5"/>
    <s v="Late"/>
    <n v="0"/>
    <x v="0"/>
  </r>
  <r>
    <x v="97"/>
    <s v="BRW-0079"/>
    <d v="2024-11-07T00:00:00"/>
    <x v="7"/>
    <n v="17200"/>
    <n v="60"/>
    <n v="13.11"/>
    <n v="392.32"/>
    <n v="37.799999999999997"/>
    <s v="Late"/>
    <n v="15"/>
    <x v="0"/>
  </r>
  <r>
    <x v="98"/>
    <s v="BRW-0080"/>
    <d v="2024-05-10T00:00:00"/>
    <x v="6"/>
    <n v="31400"/>
    <n v="60"/>
    <n v="10.79"/>
    <n v="679.43"/>
    <n v="58.2"/>
    <s v="Paid Off"/>
    <n v="0"/>
    <x v="0"/>
  </r>
  <r>
    <x v="99"/>
    <s v="BRW-0080"/>
    <d v="2024-10-15T00:00:00"/>
    <x v="8"/>
    <n v="10800"/>
    <n v="36"/>
    <n v="9.32"/>
    <n v="345.05"/>
    <n v="51.4"/>
    <s v="Paid Off"/>
    <n v="0"/>
    <x v="0"/>
  </r>
  <r>
    <x v="100"/>
    <s v="BRW-0081"/>
    <d v="2024-06-26T00:00:00"/>
    <x v="4"/>
    <n v="21500"/>
    <n v="48"/>
    <n v="12.93"/>
    <n v="576.04"/>
    <n v="59.3"/>
    <s v="Default"/>
    <n v="78"/>
    <x v="1"/>
  </r>
  <r>
    <x v="101"/>
    <s v="BRW-0082"/>
    <d v="2024-03-14T00:00:00"/>
    <x v="4"/>
    <n v="9400"/>
    <n v="24"/>
    <n v="6.99"/>
    <n v="420.82"/>
    <n v="51.6"/>
    <s v="Paid Off"/>
    <n v="0"/>
    <x v="0"/>
  </r>
  <r>
    <x v="102"/>
    <s v="BRW-0083"/>
    <d v="2025-03-11T00:00:00"/>
    <x v="5"/>
    <n v="12500"/>
    <n v="48"/>
    <n v="15.13"/>
    <n v="348.71"/>
    <n v="18.7"/>
    <s v="Current"/>
    <n v="0"/>
    <x v="0"/>
  </r>
  <r>
    <x v="103"/>
    <s v="BRW-0084"/>
    <d v="2025-05-25T00:00:00"/>
    <x v="1"/>
    <n v="10900"/>
    <n v="60"/>
    <n v="8.84"/>
    <n v="225.42"/>
    <n v="41.2"/>
    <s v="Current"/>
    <n v="0"/>
    <x v="0"/>
  </r>
  <r>
    <x v="104"/>
    <s v="BRW-0084"/>
    <d v="2025-05-09T00:00:00"/>
    <x v="1"/>
    <n v="29700"/>
    <n v="12"/>
    <n v="13.69"/>
    <n v="2662.35"/>
    <n v="80.2"/>
    <s v="Current"/>
    <n v="0"/>
    <x v="0"/>
  </r>
  <r>
    <x v="105"/>
    <s v="BRW-0085"/>
    <d v="2024-03-21T00:00:00"/>
    <x v="5"/>
    <n v="16200"/>
    <n v="36"/>
    <n v="9.39"/>
    <n v="518.1"/>
    <n v="63.7"/>
    <s v="Current"/>
    <n v="0"/>
    <x v="0"/>
  </r>
  <r>
    <x v="106"/>
    <s v="BRW-0086"/>
    <d v="2024-02-24T00:00:00"/>
    <x v="6"/>
    <n v="26700"/>
    <n v="60"/>
    <n v="9.31"/>
    <n v="558.27"/>
    <n v="33.299999999999997"/>
    <s v="Current"/>
    <n v="0"/>
    <x v="0"/>
  </r>
  <r>
    <x v="107"/>
    <s v="BRW-0087"/>
    <d v="2024-10-28T00:00:00"/>
    <x v="0"/>
    <n v="17900"/>
    <n v="36"/>
    <n v="15.64"/>
    <n v="626.13"/>
    <n v="29.3"/>
    <s v="Default"/>
    <n v="39"/>
    <x v="1"/>
  </r>
  <r>
    <x v="108"/>
    <s v="BRW-0088"/>
    <d v="2025-04-29T00:00:00"/>
    <x v="9"/>
    <n v="36900"/>
    <n v="60"/>
    <n v="7.79"/>
    <n v="744.5"/>
    <n v="45.9"/>
    <s v="Late"/>
    <n v="0"/>
    <x v="0"/>
  </r>
  <r>
    <x v="109"/>
    <s v="BRW-0089"/>
    <d v="2024-10-11T00:00:00"/>
    <x v="9"/>
    <n v="9100"/>
    <n v="24"/>
    <n v="12.34"/>
    <n v="429.81"/>
    <n v="26.5"/>
    <s v="Default"/>
    <n v="101"/>
    <x v="1"/>
  </r>
  <r>
    <x v="110"/>
    <s v="BRW-0090"/>
    <d v="2024-06-03T00:00:00"/>
    <x v="3"/>
    <n v="5100"/>
    <n v="24"/>
    <n v="11.3"/>
    <n v="238.41"/>
    <n v="32.200000000000003"/>
    <s v="Current"/>
    <n v="0"/>
    <x v="0"/>
  </r>
  <r>
    <x v="111"/>
    <s v="BRW-0091"/>
    <d v="2024-03-27T00:00:00"/>
    <x v="7"/>
    <n v="18700"/>
    <n v="12"/>
    <n v="7.86"/>
    <n v="1625.47"/>
    <n v="94.1"/>
    <s v="Paid Off"/>
    <n v="0"/>
    <x v="0"/>
  </r>
  <r>
    <x v="112"/>
    <s v="BRW-0092"/>
    <d v="2024-06-20T00:00:00"/>
    <x v="1"/>
    <n v="13400"/>
    <n v="48"/>
    <n v="14.78"/>
    <n v="371.44"/>
    <n v="65.599999999999994"/>
    <s v="Default"/>
    <n v="118"/>
    <x v="1"/>
  </r>
  <r>
    <x v="113"/>
    <s v="BRW-0092"/>
    <d v="2025-04-20T00:00:00"/>
    <x v="8"/>
    <n v="34300"/>
    <n v="12"/>
    <n v="11.41"/>
    <n v="3038.05"/>
    <n v="142.30000000000001"/>
    <s v="Default"/>
    <n v="107"/>
    <x v="1"/>
  </r>
  <r>
    <x v="114"/>
    <s v="BRW-0093"/>
    <d v="2024-05-28T00:00:00"/>
    <x v="2"/>
    <n v="34800"/>
    <n v="48"/>
    <n v="10.54"/>
    <n v="891.67"/>
    <n v="65.2"/>
    <s v="Current"/>
    <n v="0"/>
    <x v="0"/>
  </r>
  <r>
    <x v="115"/>
    <s v="BRW-0094"/>
    <d v="2025-06-28T00:00:00"/>
    <x v="1"/>
    <n v="48200"/>
    <n v="12"/>
    <n v="11.12"/>
    <n v="4262.6899999999996"/>
    <n v="80.8"/>
    <s v="Late"/>
    <n v="30"/>
    <x v="0"/>
  </r>
  <r>
    <x v="116"/>
    <s v="BRW-0095"/>
    <d v="2025-02-04T00:00:00"/>
    <x v="3"/>
    <n v="14100"/>
    <n v="12"/>
    <n v="12.06"/>
    <n v="1253.1600000000001"/>
    <n v="32.200000000000003"/>
    <s v="Current"/>
    <n v="0"/>
    <x v="0"/>
  </r>
  <r>
    <x v="117"/>
    <s v="BRW-0095"/>
    <d v="2024-01-11T00:00:00"/>
    <x v="9"/>
    <n v="27000"/>
    <n v="24"/>
    <n v="12.35"/>
    <n v="1275.4000000000001"/>
    <n v="32.6"/>
    <s v="Current"/>
    <n v="0"/>
    <x v="0"/>
  </r>
  <r>
    <x v="118"/>
    <s v="BRW-0096"/>
    <d v="2024-02-04T00:00:00"/>
    <x v="6"/>
    <n v="10300"/>
    <n v="36"/>
    <n v="11.29"/>
    <n v="338.63"/>
    <n v="61.8"/>
    <s v="Default"/>
    <n v="53"/>
    <x v="1"/>
  </r>
  <r>
    <x v="119"/>
    <s v="BRW-0097"/>
    <d v="2024-05-02T00:00:00"/>
    <x v="9"/>
    <n v="42100"/>
    <n v="60"/>
    <n v="11.56"/>
    <n v="927.16"/>
    <n v="68.099999999999994"/>
    <s v="Default"/>
    <n v="63"/>
    <x v="1"/>
  </r>
  <r>
    <x v="120"/>
    <s v="BRW-0098"/>
    <d v="2024-09-16T00:00:00"/>
    <x v="9"/>
    <n v="10900"/>
    <n v="12"/>
    <n v="9.31"/>
    <n v="954.79"/>
    <n v="72.8"/>
    <s v="Current"/>
    <n v="0"/>
    <x v="0"/>
  </r>
  <r>
    <x v="121"/>
    <s v="BRW-0099"/>
    <d v="2024-03-16T00:00:00"/>
    <x v="3"/>
    <n v="35200"/>
    <n v="36"/>
    <n v="9.82"/>
    <n v="1132.83"/>
    <n v="42.6"/>
    <s v="Default"/>
    <n v="45"/>
    <x v="1"/>
  </r>
  <r>
    <x v="122"/>
    <s v="BRW-0100"/>
    <d v="2024-03-12T00:00:00"/>
    <x v="4"/>
    <n v="14400"/>
    <n v="36"/>
    <n v="10.52"/>
    <n v="468.17"/>
    <n v="49.3"/>
    <s v="Late"/>
    <n v="15"/>
    <x v="0"/>
  </r>
  <r>
    <x v="123"/>
    <s v="BRW-0101"/>
    <d v="2024-04-18T00:00:00"/>
    <x v="0"/>
    <n v="8000"/>
    <n v="48"/>
    <n v="6.93"/>
    <n v="191.31"/>
    <n v="52.7"/>
    <s v="Current"/>
    <n v="0"/>
    <x v="0"/>
  </r>
  <r>
    <x v="124"/>
    <s v="BRW-0102"/>
    <d v="2024-06-01T00:00:00"/>
    <x v="9"/>
    <n v="39300"/>
    <n v="12"/>
    <n v="12.63"/>
    <n v="3503.35"/>
    <n v="88.9"/>
    <s v="Current"/>
    <n v="0"/>
    <x v="0"/>
  </r>
  <r>
    <x v="125"/>
    <s v="BRW-0103"/>
    <d v="2025-05-17T00:00:00"/>
    <x v="5"/>
    <n v="40800"/>
    <n v="60"/>
    <n v="9.25"/>
    <n v="851.9"/>
    <n v="65.900000000000006"/>
    <s v="Paid Off"/>
    <n v="0"/>
    <x v="0"/>
  </r>
  <r>
    <x v="126"/>
    <s v="BRW-0104"/>
    <d v="2025-01-02T00:00:00"/>
    <x v="6"/>
    <n v="2200"/>
    <n v="48"/>
    <n v="6.79"/>
    <n v="52.47"/>
    <n v="50.9"/>
    <s v="Current"/>
    <n v="0"/>
    <x v="0"/>
  </r>
  <r>
    <x v="127"/>
    <s v="BRW-0104"/>
    <d v="2025-04-15T00:00:00"/>
    <x v="6"/>
    <n v="43000"/>
    <n v="36"/>
    <n v="6.59"/>
    <n v="1319.67"/>
    <n v="66.8"/>
    <s v="Current"/>
    <n v="0"/>
    <x v="0"/>
  </r>
  <r>
    <x v="128"/>
    <s v="BRW-0105"/>
    <d v="2025-01-02T00:00:00"/>
    <x v="1"/>
    <n v="16300"/>
    <n v="48"/>
    <n v="13.45"/>
    <n v="440.94"/>
    <n v="45.3"/>
    <s v="Late"/>
    <n v="15"/>
    <x v="0"/>
  </r>
  <r>
    <x v="129"/>
    <s v="BRW-0106"/>
    <d v="2025-02-02T00:00:00"/>
    <x v="8"/>
    <n v="18500"/>
    <n v="60"/>
    <n v="7.03"/>
    <n v="366.58"/>
    <n v="32.6"/>
    <s v="Default"/>
    <n v="168"/>
    <x v="1"/>
  </r>
  <r>
    <x v="130"/>
    <s v="BRW-0107"/>
    <d v="2024-01-17T00:00:00"/>
    <x v="0"/>
    <n v="38600"/>
    <n v="48"/>
    <n v="14.52"/>
    <n v="1064.9000000000001"/>
    <n v="49.5"/>
    <s v="Default"/>
    <n v="44"/>
    <x v="1"/>
  </r>
  <r>
    <x v="131"/>
    <s v="BRW-0108"/>
    <d v="2024-06-01T00:00:00"/>
    <x v="8"/>
    <n v="12200"/>
    <n v="60"/>
    <n v="9.2799999999999994"/>
    <n v="254.91"/>
    <n v="32.4"/>
    <s v="Current"/>
    <n v="0"/>
    <x v="0"/>
  </r>
  <r>
    <x v="132"/>
    <s v="BRW-0109"/>
    <d v="2024-05-13T00:00:00"/>
    <x v="0"/>
    <n v="17200"/>
    <n v="60"/>
    <n v="8.1"/>
    <n v="349.58"/>
    <n v="38"/>
    <s v="Default"/>
    <n v="42"/>
    <x v="1"/>
  </r>
  <r>
    <x v="133"/>
    <s v="BRW-0110"/>
    <d v="2024-04-18T00:00:00"/>
    <x v="6"/>
    <n v="10200"/>
    <n v="60"/>
    <n v="9.09"/>
    <n v="212.18"/>
    <n v="13.5"/>
    <s v="Default"/>
    <n v="86"/>
    <x v="1"/>
  </r>
  <r>
    <x v="134"/>
    <s v="BRW-0110"/>
    <d v="2024-05-20T00:00:00"/>
    <x v="6"/>
    <n v="22500"/>
    <n v="48"/>
    <n v="10.39"/>
    <n v="574.88"/>
    <n v="18.7"/>
    <s v="Late"/>
    <n v="30"/>
    <x v="0"/>
  </r>
  <r>
    <x v="135"/>
    <s v="BRW-0111"/>
    <d v="2024-06-21T00:00:00"/>
    <x v="5"/>
    <n v="6500"/>
    <n v="24"/>
    <n v="12.17"/>
    <n v="306.49"/>
    <n v="57.1"/>
    <s v="Current"/>
    <n v="0"/>
    <x v="0"/>
  </r>
  <r>
    <x v="136"/>
    <s v="BRW-0112"/>
    <d v="2024-06-10T00:00:00"/>
    <x v="8"/>
    <n v="16200"/>
    <n v="60"/>
    <n v="12.73"/>
    <n v="366.36"/>
    <n v="59.5"/>
    <s v="Default"/>
    <n v="154"/>
    <x v="1"/>
  </r>
  <r>
    <x v="137"/>
    <s v="BRW-0112"/>
    <d v="2024-10-17T00:00:00"/>
    <x v="6"/>
    <n v="4000"/>
    <n v="12"/>
    <n v="14.38"/>
    <n v="359.86"/>
    <n v="59.3"/>
    <s v="Default"/>
    <n v="151"/>
    <x v="1"/>
  </r>
  <r>
    <x v="138"/>
    <s v="BRW-0113"/>
    <d v="2024-06-27T00:00:00"/>
    <x v="7"/>
    <n v="14400"/>
    <n v="48"/>
    <n v="8.3800000000000008"/>
    <n v="354.12"/>
    <n v="29.9"/>
    <s v="Current"/>
    <n v="0"/>
    <x v="0"/>
  </r>
  <r>
    <x v="139"/>
    <s v="BRW-0114"/>
    <d v="2024-08-29T00:00:00"/>
    <x v="6"/>
    <n v="39600"/>
    <n v="36"/>
    <n v="10.79"/>
    <n v="1292.52"/>
    <n v="73.400000000000006"/>
    <s v="Default"/>
    <n v="165"/>
    <x v="1"/>
  </r>
  <r>
    <x v="140"/>
    <s v="BRW-0115"/>
    <d v="2025-04-20T00:00:00"/>
    <x v="9"/>
    <n v="23700"/>
    <n v="60"/>
    <n v="8.3699999999999992"/>
    <n v="484.76"/>
    <n v="25.1"/>
    <s v="Current"/>
    <n v="0"/>
    <x v="0"/>
  </r>
  <r>
    <x v="141"/>
    <s v="BRW-0115"/>
    <d v="2024-06-12T00:00:00"/>
    <x v="7"/>
    <n v="4400"/>
    <n v="48"/>
    <n v="8.32"/>
    <n v="108.08"/>
    <n v="14.2"/>
    <s v="Late"/>
    <n v="0"/>
    <x v="0"/>
  </r>
  <r>
    <x v="142"/>
    <s v="BRW-0116"/>
    <d v="2024-02-23T00:00:00"/>
    <x v="1"/>
    <n v="17400"/>
    <n v="48"/>
    <n v="11.22"/>
    <n v="451.57"/>
    <n v="56.4"/>
    <s v="Paid Off"/>
    <n v="0"/>
    <x v="0"/>
  </r>
  <r>
    <x v="143"/>
    <s v="BRW-0117"/>
    <d v="2024-11-29T00:00:00"/>
    <x v="6"/>
    <n v="4200"/>
    <n v="48"/>
    <n v="12.38"/>
    <n v="111.39"/>
    <n v="39.299999999999997"/>
    <s v="Paid Off"/>
    <n v="0"/>
    <x v="0"/>
  </r>
  <r>
    <x v="144"/>
    <s v="BRW-0118"/>
    <d v="2025-01-19T00:00:00"/>
    <x v="6"/>
    <n v="6300"/>
    <n v="48"/>
    <n v="13.3"/>
    <n v="169.95"/>
    <n v="8.8000000000000007"/>
    <s v="Current"/>
    <n v="0"/>
    <x v="0"/>
  </r>
  <r>
    <x v="145"/>
    <s v="BRW-0119"/>
    <d v="2025-01-17T00:00:00"/>
    <x v="1"/>
    <n v="25400"/>
    <n v="48"/>
    <n v="10.99"/>
    <n v="656.35"/>
    <n v="41.1"/>
    <s v="Default"/>
    <n v="79"/>
    <x v="1"/>
  </r>
  <r>
    <x v="146"/>
    <s v="BRW-0120"/>
    <d v="2024-05-19T00:00:00"/>
    <x v="3"/>
    <n v="6800"/>
    <n v="60"/>
    <n v="6.15"/>
    <n v="131.94"/>
    <n v="33.200000000000003"/>
    <s v="Default"/>
    <n v="149"/>
    <x v="1"/>
  </r>
  <r>
    <x v="147"/>
    <s v="BRW-0121"/>
    <d v="2024-06-23T00:00:00"/>
    <x v="5"/>
    <n v="12600"/>
    <n v="36"/>
    <n v="10.52"/>
    <n v="409.65"/>
    <n v="31.9"/>
    <s v="Current"/>
    <n v="0"/>
    <x v="0"/>
  </r>
  <r>
    <x v="148"/>
    <s v="BRW-0122"/>
    <d v="2025-04-18T00:00:00"/>
    <x v="2"/>
    <n v="31100"/>
    <n v="60"/>
    <n v="8.3000000000000007"/>
    <n v="635.07000000000005"/>
    <n v="49.3"/>
    <s v="Paid Off"/>
    <n v="0"/>
    <x v="0"/>
  </r>
  <r>
    <x v="149"/>
    <s v="BRW-0123"/>
    <d v="2024-01-06T00:00:00"/>
    <x v="4"/>
    <n v="10300"/>
    <n v="60"/>
    <n v="11.2"/>
    <n v="224.98"/>
    <n v="27.6"/>
    <s v="Paid Off"/>
    <n v="0"/>
    <x v="0"/>
  </r>
  <r>
    <x v="150"/>
    <s v="BRW-0124"/>
    <d v="2024-04-10T00:00:00"/>
    <x v="2"/>
    <n v="11900"/>
    <n v="48"/>
    <n v="12.47"/>
    <n v="316.13"/>
    <n v="35"/>
    <s v="Current"/>
    <n v="0"/>
    <x v="0"/>
  </r>
  <r>
    <x v="151"/>
    <s v="BRW-0125"/>
    <d v="2024-04-02T00:00:00"/>
    <x v="1"/>
    <n v="8400"/>
    <n v="36"/>
    <n v="9.11"/>
    <n v="267.55"/>
    <n v="38.200000000000003"/>
    <s v="Default"/>
    <n v="108"/>
    <x v="1"/>
  </r>
  <r>
    <x v="152"/>
    <s v="BRW-0126"/>
    <d v="2025-04-19T00:00:00"/>
    <x v="0"/>
    <n v="37900"/>
    <n v="12"/>
    <n v="12.45"/>
    <n v="3375.35"/>
    <n v="98.6"/>
    <s v="Late"/>
    <n v="15"/>
    <x v="0"/>
  </r>
  <r>
    <x v="153"/>
    <s v="BRW-0127"/>
    <d v="2024-03-13T00:00:00"/>
    <x v="4"/>
    <n v="30000"/>
    <n v="12"/>
    <n v="14.64"/>
    <n v="2702.66"/>
    <n v="100.5"/>
    <s v="Default"/>
    <n v="115"/>
    <x v="1"/>
  </r>
  <r>
    <x v="154"/>
    <s v="BRW-0128"/>
    <d v="2024-07-31T00:00:00"/>
    <x v="3"/>
    <n v="14900"/>
    <n v="60"/>
    <n v="8.5500000000000007"/>
    <n v="306.06"/>
    <n v="21"/>
    <s v="Paid Off"/>
    <n v="0"/>
    <x v="0"/>
  </r>
  <r>
    <x v="155"/>
    <s v="BRW-0129"/>
    <d v="2024-04-23T00:00:00"/>
    <x v="8"/>
    <n v="45700"/>
    <n v="36"/>
    <n v="12.54"/>
    <n v="1529.71"/>
    <n v="50.5"/>
    <s v="Current"/>
    <n v="0"/>
    <x v="0"/>
  </r>
  <r>
    <x v="156"/>
    <s v="BRW-0130"/>
    <d v="2024-12-08T00:00:00"/>
    <x v="2"/>
    <n v="25000"/>
    <n v="24"/>
    <n v="7.43"/>
    <n v="1124.19"/>
    <n v="59.5"/>
    <s v="Current"/>
    <n v="0"/>
    <x v="0"/>
  </r>
  <r>
    <x v="157"/>
    <s v="BRW-0131"/>
    <d v="2024-09-30T00:00:00"/>
    <x v="9"/>
    <n v="32900"/>
    <n v="24"/>
    <n v="12.42"/>
    <n v="1555.18"/>
    <n v="63.7"/>
    <s v="Current"/>
    <n v="0"/>
    <x v="0"/>
  </r>
  <r>
    <x v="158"/>
    <s v="BRW-0131"/>
    <d v="2025-04-26T00:00:00"/>
    <x v="4"/>
    <n v="12900"/>
    <n v="60"/>
    <n v="14.96"/>
    <n v="306.62"/>
    <n v="19.8"/>
    <s v="Current"/>
    <n v="0"/>
    <x v="0"/>
  </r>
  <r>
    <x v="159"/>
    <s v="BRW-0132"/>
    <d v="2025-04-13T00:00:00"/>
    <x v="9"/>
    <n v="34300"/>
    <n v="12"/>
    <n v="9.7100000000000009"/>
    <n v="3010.89"/>
    <n v="63"/>
    <s v="Default"/>
    <n v="130"/>
    <x v="1"/>
  </r>
  <r>
    <x v="160"/>
    <s v="BRW-0133"/>
    <d v="2024-05-31T00:00:00"/>
    <x v="3"/>
    <n v="5700"/>
    <n v="24"/>
    <n v="12"/>
    <n v="268.32"/>
    <n v="19.100000000000001"/>
    <s v="Late"/>
    <n v="15"/>
    <x v="0"/>
  </r>
  <r>
    <x v="161"/>
    <s v="BRW-0133"/>
    <d v="2025-04-30T00:00:00"/>
    <x v="8"/>
    <n v="48500"/>
    <n v="60"/>
    <n v="15.28"/>
    <n v="1160.95"/>
    <n v="32"/>
    <s v="Late"/>
    <n v="0"/>
    <x v="0"/>
  </r>
  <r>
    <x v="162"/>
    <s v="BRW-0134"/>
    <d v="2025-02-25T00:00:00"/>
    <x v="6"/>
    <n v="21200"/>
    <n v="60"/>
    <n v="13.29"/>
    <n v="485.52"/>
    <n v="31.3"/>
    <s v="Paid Off"/>
    <n v="0"/>
    <x v="0"/>
  </r>
  <r>
    <x v="163"/>
    <s v="BRW-0135"/>
    <d v="2024-11-09T00:00:00"/>
    <x v="2"/>
    <n v="20400"/>
    <n v="36"/>
    <n v="11.07"/>
    <n v="668.55"/>
    <n v="30.1"/>
    <s v="Current"/>
    <n v="0"/>
    <x v="0"/>
  </r>
  <r>
    <x v="164"/>
    <s v="BRW-0136"/>
    <d v="2024-06-13T00:00:00"/>
    <x v="8"/>
    <n v="9200"/>
    <n v="24"/>
    <n v="8.93"/>
    <n v="420"/>
    <n v="30.1"/>
    <s v="Paid Off"/>
    <n v="0"/>
    <x v="0"/>
  </r>
  <r>
    <x v="165"/>
    <s v="BRW-0136"/>
    <d v="2025-03-27T00:00:00"/>
    <x v="5"/>
    <n v="5100"/>
    <n v="36"/>
    <n v="8.7100000000000009"/>
    <n v="161.49"/>
    <n v="24.6"/>
    <s v="Current"/>
    <n v="0"/>
    <x v="0"/>
  </r>
  <r>
    <x v="166"/>
    <s v="BRW-0137"/>
    <d v="2024-06-15T00:00:00"/>
    <x v="4"/>
    <n v="9100"/>
    <n v="48"/>
    <n v="10.07"/>
    <n v="231.11"/>
    <n v="13.3"/>
    <s v="Current"/>
    <n v="0"/>
    <x v="0"/>
  </r>
  <r>
    <x v="167"/>
    <s v="BRW-0138"/>
    <d v="2025-06-03T00:00:00"/>
    <x v="5"/>
    <n v="46500"/>
    <n v="24"/>
    <n v="10.199999999999999"/>
    <n v="2150.0300000000002"/>
    <n v="71.5"/>
    <s v="Default"/>
    <n v="105"/>
    <x v="1"/>
  </r>
  <r>
    <x v="168"/>
    <s v="BRW-0138"/>
    <d v="2025-03-28T00:00:00"/>
    <x v="0"/>
    <n v="48500"/>
    <n v="60"/>
    <n v="13.52"/>
    <n v="1116.48"/>
    <n v="61.3"/>
    <s v="Default"/>
    <n v="58"/>
    <x v="1"/>
  </r>
  <r>
    <x v="169"/>
    <s v="BRW-0139"/>
    <d v="2024-08-13T00:00:00"/>
    <x v="8"/>
    <n v="13500"/>
    <n v="36"/>
    <n v="10.039999999999999"/>
    <n v="435.86"/>
    <n v="45.8"/>
    <s v="Current"/>
    <n v="0"/>
    <x v="0"/>
  </r>
  <r>
    <x v="170"/>
    <s v="BRW-0140"/>
    <d v="2024-03-26T00:00:00"/>
    <x v="9"/>
    <n v="19900"/>
    <n v="36"/>
    <n v="8.2799999999999994"/>
    <n v="626.16999999999996"/>
    <n v="64.900000000000006"/>
    <s v="Late"/>
    <n v="0"/>
    <x v="0"/>
  </r>
  <r>
    <x v="171"/>
    <s v="BRW-0141"/>
    <d v="2024-02-27T00:00:00"/>
    <x v="2"/>
    <n v="11000"/>
    <n v="60"/>
    <n v="10.53"/>
    <n v="236.6"/>
    <n v="29.5"/>
    <s v="Current"/>
    <n v="0"/>
    <x v="0"/>
  </r>
  <r>
    <x v="172"/>
    <s v="BRW-0142"/>
    <d v="2025-04-01T00:00:00"/>
    <x v="4"/>
    <n v="2600"/>
    <n v="36"/>
    <n v="12.52"/>
    <n v="87"/>
    <n v="49.7"/>
    <s v="Paid Off"/>
    <n v="0"/>
    <x v="0"/>
  </r>
  <r>
    <x v="173"/>
    <s v="BRW-0142"/>
    <d v="2025-03-10T00:00:00"/>
    <x v="0"/>
    <n v="21900"/>
    <n v="48"/>
    <n v="12.21"/>
    <n v="578.97"/>
    <n v="58.1"/>
    <s v="Paid Off"/>
    <n v="0"/>
    <x v="0"/>
  </r>
  <r>
    <x v="174"/>
    <s v="BRW-0143"/>
    <d v="2024-03-08T00:00:00"/>
    <x v="5"/>
    <n v="19300"/>
    <n v="60"/>
    <n v="11.3"/>
    <n v="422.52"/>
    <n v="21.6"/>
    <s v="Current"/>
    <n v="0"/>
    <x v="0"/>
  </r>
  <r>
    <x v="175"/>
    <s v="BRW-0144"/>
    <d v="2024-05-20T00:00:00"/>
    <x v="3"/>
    <n v="20600"/>
    <n v="60"/>
    <n v="14.08"/>
    <n v="480.18"/>
    <n v="26.5"/>
    <s v="Default"/>
    <n v="127"/>
    <x v="1"/>
  </r>
  <r>
    <x v="176"/>
    <s v="BRW-0145"/>
    <d v="2025-04-19T00:00:00"/>
    <x v="0"/>
    <n v="17700"/>
    <n v="60"/>
    <n v="7.49"/>
    <n v="354.59"/>
    <n v="32.6"/>
    <s v="Current"/>
    <n v="0"/>
    <x v="0"/>
  </r>
  <r>
    <x v="177"/>
    <s v="BRW-0146"/>
    <d v="2025-05-18T00:00:00"/>
    <x v="0"/>
    <n v="24800"/>
    <n v="36"/>
    <n v="10.24"/>
    <n v="803.02"/>
    <n v="31.1"/>
    <s v="Current"/>
    <n v="0"/>
    <x v="0"/>
  </r>
  <r>
    <x v="178"/>
    <s v="BRW-0147"/>
    <d v="2025-03-22T00:00:00"/>
    <x v="0"/>
    <n v="5200"/>
    <n v="36"/>
    <n v="12.72"/>
    <n v="174.51"/>
    <n v="25.8"/>
    <s v="Current"/>
    <n v="0"/>
    <x v="0"/>
  </r>
  <r>
    <x v="179"/>
    <s v="BRW-0148"/>
    <d v="2024-06-15T00:00:00"/>
    <x v="6"/>
    <n v="37200"/>
    <n v="12"/>
    <n v="14.59"/>
    <n v="3350.42"/>
    <n v="96.8"/>
    <s v="Current"/>
    <n v="0"/>
    <x v="0"/>
  </r>
  <r>
    <x v="180"/>
    <s v="BRW-0149"/>
    <d v="2024-12-30T00:00:00"/>
    <x v="4"/>
    <n v="12800"/>
    <n v="48"/>
    <n v="9.6999999999999993"/>
    <n v="322.8"/>
    <n v="10.5"/>
    <s v="Default"/>
    <n v="104"/>
    <x v="1"/>
  </r>
  <r>
    <x v="181"/>
    <s v="BRW-0150"/>
    <d v="2024-06-20T00:00:00"/>
    <x v="6"/>
    <n v="38800"/>
    <n v="24"/>
    <n v="10.86"/>
    <n v="1805.86"/>
    <n v="58.6"/>
    <s v="Late"/>
    <n v="15"/>
    <x v="0"/>
  </r>
  <r>
    <x v="182"/>
    <s v="BRW-0151"/>
    <d v="2024-12-26T00:00:00"/>
    <x v="3"/>
    <n v="35500"/>
    <n v="36"/>
    <n v="7"/>
    <n v="1096.1400000000001"/>
    <n v="26.5"/>
    <s v="Current"/>
    <n v="0"/>
    <x v="0"/>
  </r>
  <r>
    <x v="183"/>
    <s v="BRW-0152"/>
    <d v="2024-06-07T00:00:00"/>
    <x v="0"/>
    <n v="34400"/>
    <n v="24"/>
    <n v="6.36"/>
    <n v="1530.22"/>
    <n v="64.8"/>
    <s v="Paid Off"/>
    <n v="0"/>
    <x v="0"/>
  </r>
  <r>
    <x v="184"/>
    <s v="BRW-0153"/>
    <d v="2024-03-19T00:00:00"/>
    <x v="2"/>
    <n v="36200"/>
    <n v="12"/>
    <n v="9.35"/>
    <n v="3171.62"/>
    <n v="103.5"/>
    <s v="Default"/>
    <n v="63"/>
    <x v="1"/>
  </r>
  <r>
    <x v="185"/>
    <s v="BRW-0154"/>
    <d v="2025-06-19T00:00:00"/>
    <x v="0"/>
    <n v="31400"/>
    <n v="24"/>
    <n v="11.24"/>
    <n v="1466.99"/>
    <n v="54.3"/>
    <s v="Paid Off"/>
    <n v="0"/>
    <x v="0"/>
  </r>
  <r>
    <x v="186"/>
    <s v="BRW-0154"/>
    <d v="2024-05-25T00:00:00"/>
    <x v="8"/>
    <n v="7700"/>
    <n v="24"/>
    <n v="11.43"/>
    <n v="360.42"/>
    <n v="32.9"/>
    <s v="Current"/>
    <n v="0"/>
    <x v="0"/>
  </r>
  <r>
    <x v="187"/>
    <s v="BRW-0155"/>
    <d v="2025-05-10T00:00:00"/>
    <x v="1"/>
    <n v="39600"/>
    <n v="12"/>
    <n v="9.0399999999999991"/>
    <n v="3463.81"/>
    <n v="114.2"/>
    <s v="Current"/>
    <n v="0"/>
    <x v="0"/>
  </r>
  <r>
    <x v="188"/>
    <s v="BRW-0155"/>
    <d v="2024-11-04T00:00:00"/>
    <x v="2"/>
    <n v="24500"/>
    <n v="36"/>
    <n v="9.17"/>
    <n v="781.03"/>
    <n v="65.8"/>
    <s v="Paid Off"/>
    <n v="0"/>
    <x v="0"/>
  </r>
  <r>
    <x v="189"/>
    <s v="BRW-0156"/>
    <d v="2024-05-29T00:00:00"/>
    <x v="7"/>
    <n v="11600"/>
    <n v="36"/>
    <n v="9.86"/>
    <n v="373.54"/>
    <n v="32.5"/>
    <s v="Late"/>
    <n v="15"/>
    <x v="0"/>
  </r>
  <r>
    <x v="190"/>
    <s v="BRW-0156"/>
    <d v="2024-03-10T00:00:00"/>
    <x v="4"/>
    <n v="43000"/>
    <n v="60"/>
    <n v="10.93"/>
    <n v="933.42"/>
    <n v="41"/>
    <s v="Default"/>
    <n v="178"/>
    <x v="1"/>
  </r>
  <r>
    <x v="191"/>
    <s v="BRW-0157"/>
    <d v="2024-01-05T00:00:00"/>
    <x v="2"/>
    <n v="11200"/>
    <n v="36"/>
    <n v="8.16"/>
    <n v="351.79"/>
    <n v="57.9"/>
    <s v="Current"/>
    <n v="0"/>
    <x v="0"/>
  </r>
  <r>
    <x v="192"/>
    <s v="BRW-0158"/>
    <d v="2024-04-19T00:00:00"/>
    <x v="0"/>
    <n v="15600"/>
    <n v="48"/>
    <n v="11.77"/>
    <n v="409.05"/>
    <n v="60.9"/>
    <s v="Default"/>
    <n v="120"/>
    <x v="1"/>
  </r>
  <r>
    <x v="193"/>
    <s v="BRW-0159"/>
    <d v="2024-11-17T00:00:00"/>
    <x v="1"/>
    <n v="12900"/>
    <n v="12"/>
    <n v="9.64"/>
    <n v="1131.96"/>
    <n v="61.1"/>
    <s v="Default"/>
    <n v="58"/>
    <x v="1"/>
  </r>
  <r>
    <x v="194"/>
    <s v="BRW-0159"/>
    <d v="2024-02-11T00:00:00"/>
    <x v="2"/>
    <n v="34000"/>
    <n v="36"/>
    <n v="8.6199999999999992"/>
    <n v="1075.19"/>
    <n v="60.4"/>
    <s v="Default"/>
    <n v="156"/>
    <x v="1"/>
  </r>
  <r>
    <x v="195"/>
    <s v="BRW-0160"/>
    <d v="2025-02-21T00:00:00"/>
    <x v="3"/>
    <n v="31800"/>
    <n v="48"/>
    <n v="9.85"/>
    <n v="804.24"/>
    <n v="56.2"/>
    <s v="Default"/>
    <n v="139"/>
    <x v="1"/>
  </r>
  <r>
    <x v="196"/>
    <s v="BRW-0161"/>
    <d v="2025-05-18T00:00:00"/>
    <x v="6"/>
    <n v="40500"/>
    <n v="36"/>
    <n v="6.81"/>
    <n v="1247.01"/>
    <n v="56.1"/>
    <s v="Current"/>
    <n v="0"/>
    <x v="0"/>
  </r>
  <r>
    <x v="197"/>
    <s v="BRW-0162"/>
    <d v="2024-06-21T00:00:00"/>
    <x v="6"/>
    <n v="7000"/>
    <n v="60"/>
    <n v="12.59"/>
    <n v="157.81"/>
    <n v="29.2"/>
    <s v="Default"/>
    <n v="80"/>
    <x v="1"/>
  </r>
  <r>
    <x v="198"/>
    <s v="BRW-0163"/>
    <d v="2025-05-26T00:00:00"/>
    <x v="9"/>
    <n v="21400"/>
    <n v="24"/>
    <n v="15.11"/>
    <n v="1038.73"/>
    <n v="71.099999999999994"/>
    <s v="Default"/>
    <n v="178"/>
    <x v="1"/>
  </r>
  <r>
    <x v="199"/>
    <s v="BRW-0164"/>
    <d v="2025-06-07T00:00:00"/>
    <x v="1"/>
    <n v="30000"/>
    <n v="48"/>
    <n v="13.97"/>
    <n v="819.34"/>
    <n v="27.9"/>
    <s v="Current"/>
    <n v="0"/>
    <x v="0"/>
  </r>
  <r>
    <x v="200"/>
    <s v="BRW-0165"/>
    <d v="2024-02-24T00:00:00"/>
    <x v="0"/>
    <n v="28300"/>
    <n v="12"/>
    <n v="7.71"/>
    <n v="2457.98"/>
    <n v="65.099999999999994"/>
    <s v="Current"/>
    <n v="0"/>
    <x v="0"/>
  </r>
  <r>
    <x v="201"/>
    <s v="BRW-0166"/>
    <d v="2024-03-19T00:00:00"/>
    <x v="9"/>
    <n v="9300"/>
    <n v="60"/>
    <n v="13.93"/>
    <n v="216.06"/>
    <n v="50.9"/>
    <s v="Current"/>
    <n v="0"/>
    <x v="0"/>
  </r>
  <r>
    <x v="202"/>
    <s v="BRW-0167"/>
    <d v="2024-01-19T00:00:00"/>
    <x v="3"/>
    <n v="21500"/>
    <n v="36"/>
    <n v="10.93"/>
    <n v="703.17"/>
    <n v="67"/>
    <s v="Current"/>
    <n v="0"/>
    <x v="0"/>
  </r>
  <r>
    <x v="203"/>
    <s v="BRW-0168"/>
    <d v="2024-02-03T00:00:00"/>
    <x v="1"/>
    <n v="42900"/>
    <n v="48"/>
    <n v="9.85"/>
    <n v="1084.97"/>
    <n v="33.299999999999997"/>
    <s v="Paid Off"/>
    <n v="0"/>
    <x v="0"/>
  </r>
  <r>
    <x v="204"/>
    <s v="BRW-0168"/>
    <d v="2024-04-22T00:00:00"/>
    <x v="5"/>
    <n v="8500"/>
    <n v="48"/>
    <n v="9.99"/>
    <n v="215.54"/>
    <n v="25.3"/>
    <s v="Current"/>
    <n v="0"/>
    <x v="0"/>
  </r>
  <r>
    <x v="205"/>
    <s v="BRW-0169"/>
    <d v="2024-09-26T00:00:00"/>
    <x v="0"/>
    <n v="36800"/>
    <n v="60"/>
    <n v="7.78"/>
    <n v="742.3"/>
    <n v="39.5"/>
    <s v="Late"/>
    <n v="30"/>
    <x v="0"/>
  </r>
  <r>
    <x v="206"/>
    <s v="BRW-0170"/>
    <d v="2025-01-10T00:00:00"/>
    <x v="3"/>
    <n v="2500"/>
    <n v="12"/>
    <n v="8.11"/>
    <n v="217.6"/>
    <n v="32.299999999999997"/>
    <s v="Current"/>
    <n v="0"/>
    <x v="0"/>
  </r>
  <r>
    <x v="207"/>
    <s v="BRW-0171"/>
    <d v="2024-02-27T00:00:00"/>
    <x v="4"/>
    <n v="15400"/>
    <n v="36"/>
    <n v="12.59"/>
    <n v="515.85"/>
    <n v="56.6"/>
    <s v="Late"/>
    <n v="0"/>
    <x v="0"/>
  </r>
  <r>
    <x v="208"/>
    <s v="BRW-0171"/>
    <d v="2024-06-22T00:00:00"/>
    <x v="9"/>
    <n v="12800"/>
    <n v="36"/>
    <n v="11.11"/>
    <n v="419.72"/>
    <n v="54"/>
    <s v="Default"/>
    <n v="113"/>
    <x v="1"/>
  </r>
  <r>
    <x v="209"/>
    <s v="BRW-0172"/>
    <d v="2025-04-25T00:00:00"/>
    <x v="1"/>
    <n v="45300"/>
    <n v="36"/>
    <n v="7.2"/>
    <n v="1402.88"/>
    <n v="36.299999999999997"/>
    <s v="Late"/>
    <n v="30"/>
    <x v="0"/>
  </r>
  <r>
    <x v="210"/>
    <s v="BRW-0173"/>
    <d v="2025-05-29T00:00:00"/>
    <x v="9"/>
    <n v="14800"/>
    <n v="24"/>
    <n v="8.93"/>
    <n v="675.66"/>
    <n v="23.8"/>
    <s v="Current"/>
    <n v="0"/>
    <x v="0"/>
  </r>
  <r>
    <x v="211"/>
    <s v="BRW-0174"/>
    <d v="2024-08-07T00:00:00"/>
    <x v="1"/>
    <n v="11400"/>
    <n v="12"/>
    <n v="14.49"/>
    <n v="1026.2"/>
    <n v="90.3"/>
    <s v="Default"/>
    <n v="42"/>
    <x v="1"/>
  </r>
  <r>
    <x v="212"/>
    <s v="BRW-0175"/>
    <d v="2024-04-07T00:00:00"/>
    <x v="9"/>
    <n v="10400"/>
    <n v="12"/>
    <n v="9.5399999999999991"/>
    <n v="912.1"/>
    <n v="33.700000000000003"/>
    <s v="Current"/>
    <n v="0"/>
    <x v="0"/>
  </r>
  <r>
    <x v="213"/>
    <s v="BRW-0176"/>
    <d v="2024-11-03T00:00:00"/>
    <x v="1"/>
    <n v="30700"/>
    <n v="36"/>
    <n v="12.87"/>
    <n v="1032.48"/>
    <n v="56.3"/>
    <s v="Default"/>
    <n v="168"/>
    <x v="1"/>
  </r>
  <r>
    <x v="214"/>
    <s v="BRW-0177"/>
    <d v="2024-07-03T00:00:00"/>
    <x v="1"/>
    <n v="27100"/>
    <n v="48"/>
    <n v="13.19"/>
    <n v="729.58"/>
    <n v="70.5"/>
    <s v="Current"/>
    <n v="0"/>
    <x v="0"/>
  </r>
  <r>
    <x v="215"/>
    <s v="BRW-0178"/>
    <d v="2025-06-29T00:00:00"/>
    <x v="0"/>
    <n v="24700"/>
    <n v="48"/>
    <n v="7.62"/>
    <n v="598.6"/>
    <n v="64.8"/>
    <s v="Late"/>
    <n v="15"/>
    <x v="0"/>
  </r>
  <r>
    <x v="216"/>
    <s v="BRW-0179"/>
    <d v="2024-11-03T00:00:00"/>
    <x v="8"/>
    <n v="14000"/>
    <n v="24"/>
    <n v="7.97"/>
    <n v="632.99"/>
    <n v="31.5"/>
    <s v="Paid Off"/>
    <n v="0"/>
    <x v="0"/>
  </r>
  <r>
    <x v="217"/>
    <s v="BRW-0179"/>
    <d v="2024-06-13T00:00:00"/>
    <x v="6"/>
    <n v="34000"/>
    <n v="36"/>
    <n v="10.89"/>
    <n v="1111.3499999999999"/>
    <n v="46.7"/>
    <s v="Current"/>
    <n v="0"/>
    <x v="0"/>
  </r>
  <r>
    <x v="218"/>
    <s v="BRW-0180"/>
    <d v="2025-03-22T00:00:00"/>
    <x v="7"/>
    <n v="22700"/>
    <n v="36"/>
    <n v="10.39"/>
    <n v="736.63"/>
    <n v="44.9"/>
    <s v="Late"/>
    <n v="15"/>
    <x v="0"/>
  </r>
  <r>
    <x v="219"/>
    <s v="BRW-0181"/>
    <d v="2024-02-13T00:00:00"/>
    <x v="8"/>
    <n v="22000"/>
    <n v="60"/>
    <n v="11"/>
    <n v="478.33"/>
    <n v="64.7"/>
    <s v="Current"/>
    <n v="0"/>
    <x v="0"/>
  </r>
  <r>
    <x v="220"/>
    <s v="BRW-0182"/>
    <d v="2025-02-20T00:00:00"/>
    <x v="6"/>
    <n v="10000"/>
    <n v="12"/>
    <n v="15"/>
    <n v="902.58"/>
    <n v="61.8"/>
    <s v="Paid Off"/>
    <n v="0"/>
    <x v="0"/>
  </r>
  <r>
    <x v="221"/>
    <s v="BRW-0182"/>
    <d v="2025-05-27T00:00:00"/>
    <x v="1"/>
    <n v="36800"/>
    <n v="24"/>
    <n v="11.68"/>
    <n v="1726.81"/>
    <n v="85.1"/>
    <s v="Paid Off"/>
    <n v="0"/>
    <x v="0"/>
  </r>
  <r>
    <x v="222"/>
    <s v="BRW-0183"/>
    <d v="2024-11-16T00:00:00"/>
    <x v="2"/>
    <n v="27600"/>
    <n v="24"/>
    <n v="9.2200000000000006"/>
    <n v="1263.69"/>
    <n v="64.8"/>
    <s v="Current"/>
    <n v="0"/>
    <x v="0"/>
  </r>
  <r>
    <x v="223"/>
    <s v="BRW-0183"/>
    <d v="2024-10-08T00:00:00"/>
    <x v="7"/>
    <n v="12500"/>
    <n v="12"/>
    <n v="7.09"/>
    <n v="1082.0999999999999"/>
    <n v="60.5"/>
    <s v="Current"/>
    <n v="0"/>
    <x v="0"/>
  </r>
  <r>
    <x v="224"/>
    <s v="BRW-0184"/>
    <d v="2024-09-09T00:00:00"/>
    <x v="4"/>
    <n v="5000"/>
    <n v="60"/>
    <n v="7.95"/>
    <n v="101.26"/>
    <n v="40.700000000000003"/>
    <s v="Late"/>
    <n v="15"/>
    <x v="0"/>
  </r>
  <r>
    <x v="225"/>
    <s v="BRW-0185"/>
    <d v="2024-02-25T00:00:00"/>
    <x v="4"/>
    <n v="2800"/>
    <n v="60"/>
    <n v="8.86"/>
    <n v="57.93"/>
    <n v="22"/>
    <s v="Current"/>
    <n v="0"/>
    <x v="0"/>
  </r>
  <r>
    <x v="226"/>
    <s v="BRW-0186"/>
    <d v="2024-08-30T00:00:00"/>
    <x v="3"/>
    <n v="35600"/>
    <n v="12"/>
    <n v="9.81"/>
    <n v="3126.66"/>
    <n v="96.8"/>
    <s v="Paid Off"/>
    <n v="0"/>
    <x v="0"/>
  </r>
  <r>
    <x v="227"/>
    <s v="BRW-0187"/>
    <d v="2024-06-13T00:00:00"/>
    <x v="3"/>
    <n v="46900"/>
    <n v="24"/>
    <n v="9.25"/>
    <n v="2148"/>
    <n v="34.9"/>
    <s v="Paid Off"/>
    <n v="0"/>
    <x v="0"/>
  </r>
  <r>
    <x v="228"/>
    <s v="BRW-0188"/>
    <d v="2025-05-18T00:00:00"/>
    <x v="1"/>
    <n v="15200"/>
    <n v="12"/>
    <n v="12.02"/>
    <n v="1350.64"/>
    <n v="88"/>
    <s v="Paid Off"/>
    <n v="0"/>
    <x v="0"/>
  </r>
  <r>
    <x v="229"/>
    <s v="BRW-0189"/>
    <d v="2025-03-06T00:00:00"/>
    <x v="6"/>
    <n v="35500"/>
    <n v="60"/>
    <n v="10.07"/>
    <n v="755.49"/>
    <n v="33.200000000000003"/>
    <s v="Paid Off"/>
    <n v="0"/>
    <x v="0"/>
  </r>
  <r>
    <x v="230"/>
    <s v="BRW-0190"/>
    <d v="2024-05-19T00:00:00"/>
    <x v="8"/>
    <n v="30700"/>
    <n v="24"/>
    <n v="12.35"/>
    <n v="1450.18"/>
    <n v="74.900000000000006"/>
    <s v="Default"/>
    <n v="81"/>
    <x v="1"/>
  </r>
  <r>
    <x v="231"/>
    <s v="BRW-0191"/>
    <d v="2024-05-13T00:00:00"/>
    <x v="4"/>
    <n v="6300"/>
    <n v="24"/>
    <n v="12.83"/>
    <n v="299.01"/>
    <n v="51.9"/>
    <s v="Paid Off"/>
    <n v="0"/>
    <x v="0"/>
  </r>
  <r>
    <x v="232"/>
    <s v="BRW-0192"/>
    <d v="2024-12-01T00:00:00"/>
    <x v="0"/>
    <n v="8400"/>
    <n v="24"/>
    <n v="11.52"/>
    <n v="393.54"/>
    <n v="54.4"/>
    <s v="Current"/>
    <n v="0"/>
    <x v="0"/>
  </r>
  <r>
    <x v="233"/>
    <s v="BRW-0193"/>
    <d v="2024-01-24T00:00:00"/>
    <x v="1"/>
    <n v="44400"/>
    <n v="24"/>
    <n v="10.19"/>
    <n v="2052.73"/>
    <n v="74.7"/>
    <s v="Late"/>
    <n v="0"/>
    <x v="0"/>
  </r>
  <r>
    <x v="234"/>
    <s v="BRW-0194"/>
    <d v="2025-03-15T00:00:00"/>
    <x v="0"/>
    <n v="35700"/>
    <n v="24"/>
    <n v="6.98"/>
    <n v="1598.06"/>
    <n v="64.7"/>
    <s v="Paid Off"/>
    <n v="0"/>
    <x v="0"/>
  </r>
  <r>
    <x v="235"/>
    <s v="BRW-0194"/>
    <d v="2025-04-09T00:00:00"/>
    <x v="5"/>
    <n v="7600"/>
    <n v="60"/>
    <n v="8.91"/>
    <n v="157.43"/>
    <n v="47.1"/>
    <s v="Current"/>
    <n v="0"/>
    <x v="0"/>
  </r>
  <r>
    <x v="236"/>
    <s v="BRW-0195"/>
    <d v="2024-07-30T00:00:00"/>
    <x v="3"/>
    <n v="13900"/>
    <n v="24"/>
    <n v="10.54"/>
    <n v="644.88"/>
    <n v="39.1"/>
    <s v="Late"/>
    <n v="30"/>
    <x v="0"/>
  </r>
  <r>
    <x v="237"/>
    <s v="BRW-0196"/>
    <d v="2024-09-25T00:00:00"/>
    <x v="1"/>
    <n v="29800"/>
    <n v="12"/>
    <n v="7.73"/>
    <n v="2588.54"/>
    <n v="81.900000000000006"/>
    <s v="Current"/>
    <n v="0"/>
    <x v="0"/>
  </r>
  <r>
    <x v="238"/>
    <s v="BRW-0197"/>
    <d v="2025-02-11T00:00:00"/>
    <x v="0"/>
    <n v="17500"/>
    <n v="36"/>
    <n v="10.71"/>
    <n v="570.53"/>
    <n v="52"/>
    <s v="Paid Off"/>
    <n v="0"/>
    <x v="0"/>
  </r>
  <r>
    <x v="239"/>
    <s v="BRW-0198"/>
    <d v="2024-08-28T00:00:00"/>
    <x v="3"/>
    <n v="17700"/>
    <n v="12"/>
    <n v="11.3"/>
    <n v="1566.83"/>
    <n v="48.2"/>
    <s v="Late"/>
    <n v="0"/>
    <x v="0"/>
  </r>
  <r>
    <x v="240"/>
    <s v="BRW-0199"/>
    <d v="2025-01-25T00:00:00"/>
    <x v="9"/>
    <n v="32100"/>
    <n v="12"/>
    <n v="10.9"/>
    <n v="2835.55"/>
    <n v="139.69999999999999"/>
    <s v="Default"/>
    <n v="131"/>
    <x v="1"/>
  </r>
  <r>
    <x v="241"/>
    <s v="BRW-0200"/>
    <d v="2024-06-22T00:00:00"/>
    <x v="5"/>
    <n v="28900"/>
    <n v="60"/>
    <n v="11.63"/>
    <n v="637.47"/>
    <n v="74.599999999999994"/>
    <s v="Default"/>
    <n v="116"/>
    <x v="1"/>
  </r>
  <r>
    <x v="242"/>
    <s v="BRW-0201"/>
    <d v="2024-04-29T00:00:00"/>
    <x v="5"/>
    <n v="15500"/>
    <n v="48"/>
    <n v="7.34"/>
    <n v="373.62"/>
    <n v="49.7"/>
    <s v="Late"/>
    <n v="30"/>
    <x v="0"/>
  </r>
  <r>
    <x v="243"/>
    <s v="BRW-0201"/>
    <d v="2024-09-26T00:00:00"/>
    <x v="3"/>
    <n v="46500"/>
    <n v="36"/>
    <n v="11.15"/>
    <n v="1525.66"/>
    <n v="76.5"/>
    <s v="Current"/>
    <n v="0"/>
    <x v="0"/>
  </r>
  <r>
    <x v="244"/>
    <s v="BRW-0202"/>
    <d v="2025-03-26T00:00:00"/>
    <x v="5"/>
    <n v="49700"/>
    <n v="24"/>
    <n v="11.68"/>
    <n v="2332.13"/>
    <n v="83.2"/>
    <s v="Default"/>
    <n v="68"/>
    <x v="1"/>
  </r>
  <r>
    <x v="245"/>
    <s v="BRW-0203"/>
    <d v="2025-05-21T00:00:00"/>
    <x v="5"/>
    <n v="10100"/>
    <n v="48"/>
    <n v="9.1"/>
    <n v="251.82"/>
    <n v="21.8"/>
    <s v="Default"/>
    <n v="121"/>
    <x v="1"/>
  </r>
  <r>
    <x v="246"/>
    <s v="BRW-0204"/>
    <d v="2024-04-05T00:00:00"/>
    <x v="2"/>
    <n v="25700"/>
    <n v="24"/>
    <n v="8.25"/>
    <n v="1165.27"/>
    <n v="21.4"/>
    <s v="Paid Off"/>
    <n v="0"/>
    <x v="0"/>
  </r>
  <r>
    <x v="247"/>
    <s v="BRW-0204"/>
    <d v="2024-01-05T00:00:00"/>
    <x v="2"/>
    <n v="29000"/>
    <n v="60"/>
    <n v="8.6999999999999993"/>
    <n v="597.78"/>
    <n v="14.4"/>
    <s v="Current"/>
    <n v="0"/>
    <x v="0"/>
  </r>
  <r>
    <x v="248"/>
    <s v="BRW-0205"/>
    <d v="2024-05-04T00:00:00"/>
    <x v="0"/>
    <n v="27200"/>
    <n v="12"/>
    <n v="8.59"/>
    <n v="2373.5100000000002"/>
    <n v="137.4"/>
    <s v="Paid Off"/>
    <n v="0"/>
    <x v="0"/>
  </r>
  <r>
    <x v="249"/>
    <s v="BRW-0206"/>
    <d v="2024-10-02T00:00:00"/>
    <x v="5"/>
    <n v="4700"/>
    <n v="48"/>
    <n v="11.45"/>
    <n v="122.5"/>
    <n v="22.8"/>
    <s v="Paid Off"/>
    <n v="0"/>
    <x v="0"/>
  </r>
  <r>
    <x v="250"/>
    <s v="BRW-0206"/>
    <d v="2024-02-19T00:00:00"/>
    <x v="9"/>
    <n v="12400"/>
    <n v="60"/>
    <n v="9.83"/>
    <n v="262.43"/>
    <n v="29.9"/>
    <s v="Paid Off"/>
    <n v="0"/>
    <x v="0"/>
  </r>
  <r>
    <x v="251"/>
    <s v="BRW-0207"/>
    <d v="2024-09-02T00:00:00"/>
    <x v="2"/>
    <n v="20300"/>
    <n v="48"/>
    <n v="11.28"/>
    <n v="527.42999999999995"/>
    <n v="51.1"/>
    <s v="Late"/>
    <n v="15"/>
    <x v="0"/>
  </r>
  <r>
    <x v="252"/>
    <s v="BRW-0208"/>
    <d v="2025-05-17T00:00:00"/>
    <x v="5"/>
    <n v="21300"/>
    <n v="24"/>
    <n v="8.7899999999999991"/>
    <n v="971.03"/>
    <n v="49"/>
    <s v="Paid Off"/>
    <n v="0"/>
    <x v="0"/>
  </r>
  <r>
    <x v="253"/>
    <s v="BRW-0208"/>
    <d v="2025-05-16T00:00:00"/>
    <x v="9"/>
    <n v="31800"/>
    <n v="36"/>
    <n v="10.75"/>
    <n v="1037.33"/>
    <n v="49.8"/>
    <s v="Current"/>
    <n v="0"/>
    <x v="0"/>
  </r>
  <r>
    <x v="254"/>
    <s v="BRW-0209"/>
    <d v="2025-03-12T00:00:00"/>
    <x v="6"/>
    <n v="40900"/>
    <n v="60"/>
    <n v="10.37"/>
    <n v="876.47"/>
    <n v="17.3"/>
    <s v="Default"/>
    <n v="161"/>
    <x v="1"/>
  </r>
  <r>
    <x v="255"/>
    <s v="BRW-0210"/>
    <d v="2025-06-23T00:00:00"/>
    <x v="0"/>
    <n v="33100"/>
    <n v="24"/>
    <n v="13.1"/>
    <n v="1575.19"/>
    <n v="67.3"/>
    <s v="Current"/>
    <n v="0"/>
    <x v="0"/>
  </r>
  <r>
    <x v="256"/>
    <s v="BRW-0211"/>
    <d v="2025-06-19T00:00:00"/>
    <x v="0"/>
    <n v="21300"/>
    <n v="36"/>
    <n v="11.26"/>
    <n v="699.96"/>
    <n v="71.099999999999994"/>
    <s v="Current"/>
    <n v="0"/>
    <x v="0"/>
  </r>
  <r>
    <x v="257"/>
    <s v="BRW-0212"/>
    <d v="2024-09-16T00:00:00"/>
    <x v="2"/>
    <n v="6900"/>
    <n v="12"/>
    <n v="11.99"/>
    <n v="613.02"/>
    <n v="62.1"/>
    <s v="Default"/>
    <n v="179"/>
    <x v="1"/>
  </r>
  <r>
    <x v="258"/>
    <s v="BRW-0212"/>
    <d v="2024-07-05T00:00:00"/>
    <x v="6"/>
    <n v="2600"/>
    <n v="48"/>
    <n v="10.56"/>
    <n v="66.64"/>
    <n v="41.2"/>
    <s v="Current"/>
    <n v="0"/>
    <x v="0"/>
  </r>
  <r>
    <x v="259"/>
    <s v="BRW-0213"/>
    <d v="2024-09-28T00:00:00"/>
    <x v="4"/>
    <n v="23800"/>
    <n v="48"/>
    <n v="10.65"/>
    <n v="611.09"/>
    <n v="27.8"/>
    <s v="Late"/>
    <n v="15"/>
    <x v="0"/>
  </r>
  <r>
    <x v="260"/>
    <s v="BRW-0214"/>
    <d v="2024-01-19T00:00:00"/>
    <x v="6"/>
    <n v="18600"/>
    <n v="12"/>
    <n v="10.15"/>
    <n v="1636.53"/>
    <n v="99.8"/>
    <s v="Default"/>
    <n v="59"/>
    <x v="1"/>
  </r>
  <r>
    <x v="261"/>
    <s v="BRW-0215"/>
    <d v="2024-11-06T00:00:00"/>
    <x v="0"/>
    <n v="21400"/>
    <n v="60"/>
    <n v="12.71"/>
    <n v="483.74"/>
    <n v="34.4"/>
    <s v="Late"/>
    <n v="30"/>
    <x v="0"/>
  </r>
  <r>
    <x v="262"/>
    <s v="BRW-0216"/>
    <d v="2024-04-24T00:00:00"/>
    <x v="1"/>
    <n v="6200"/>
    <n v="24"/>
    <n v="9.9"/>
    <n v="285.81"/>
    <n v="14.5"/>
    <s v="Current"/>
    <n v="0"/>
    <x v="0"/>
  </r>
  <r>
    <x v="263"/>
    <s v="BRW-0217"/>
    <d v="2024-07-14T00:00:00"/>
    <x v="0"/>
    <n v="27800"/>
    <n v="48"/>
    <n v="10.78"/>
    <n v="715.54"/>
    <n v="38.1"/>
    <s v="Current"/>
    <n v="0"/>
    <x v="0"/>
  </r>
  <r>
    <x v="264"/>
    <s v="BRW-0218"/>
    <d v="2025-04-27T00:00:00"/>
    <x v="6"/>
    <n v="5500"/>
    <n v="48"/>
    <n v="11.5"/>
    <n v="143.49"/>
    <n v="36.6"/>
    <s v="Default"/>
    <n v="145"/>
    <x v="1"/>
  </r>
  <r>
    <x v="265"/>
    <s v="BRW-0219"/>
    <d v="2024-01-09T00:00:00"/>
    <x v="7"/>
    <n v="39400"/>
    <n v="48"/>
    <n v="6.77"/>
    <n v="939.28"/>
    <n v="26.5"/>
    <s v="Default"/>
    <n v="140"/>
    <x v="1"/>
  </r>
  <r>
    <x v="266"/>
    <s v="BRW-0220"/>
    <d v="2024-02-07T00:00:00"/>
    <x v="0"/>
    <n v="30600"/>
    <n v="60"/>
    <n v="12.03"/>
    <n v="681.14"/>
    <n v="39.4"/>
    <s v="Current"/>
    <n v="0"/>
    <x v="0"/>
  </r>
  <r>
    <x v="267"/>
    <s v="BRW-0220"/>
    <d v="2024-03-03T00:00:00"/>
    <x v="9"/>
    <n v="45400"/>
    <n v="48"/>
    <n v="8.19"/>
    <n v="1112.4000000000001"/>
    <n v="43.3"/>
    <s v="Current"/>
    <n v="0"/>
    <x v="0"/>
  </r>
  <r>
    <x v="268"/>
    <s v="BRW-0221"/>
    <d v="2024-12-21T00:00:00"/>
    <x v="1"/>
    <n v="7600"/>
    <n v="60"/>
    <n v="12.33"/>
    <n v="170.33"/>
    <n v="11"/>
    <s v="Current"/>
    <n v="0"/>
    <x v="0"/>
  </r>
  <r>
    <x v="269"/>
    <s v="BRW-0222"/>
    <d v="2024-12-13T00:00:00"/>
    <x v="0"/>
    <n v="13100"/>
    <n v="24"/>
    <n v="13.44"/>
    <n v="625.51"/>
    <n v="53.4"/>
    <s v="Late"/>
    <n v="15"/>
    <x v="0"/>
  </r>
  <r>
    <x v="270"/>
    <s v="BRW-0223"/>
    <d v="2025-01-03T00:00:00"/>
    <x v="3"/>
    <n v="20700"/>
    <n v="48"/>
    <n v="12"/>
    <n v="545.11"/>
    <n v="19.8"/>
    <s v="Paid Off"/>
    <n v="0"/>
    <x v="0"/>
  </r>
  <r>
    <x v="271"/>
    <s v="BRW-0224"/>
    <d v="2024-07-23T00:00:00"/>
    <x v="3"/>
    <n v="6100"/>
    <n v="48"/>
    <n v="10.48"/>
    <n v="156.12"/>
    <n v="42.8"/>
    <s v="Default"/>
    <n v="155"/>
    <x v="1"/>
  </r>
  <r>
    <x v="272"/>
    <s v="BRW-0225"/>
    <d v="2024-02-18T00:00:00"/>
    <x v="1"/>
    <n v="25700"/>
    <n v="24"/>
    <n v="7.93"/>
    <n v="1161.52"/>
    <n v="38.1"/>
    <s v="Current"/>
    <n v="0"/>
    <x v="0"/>
  </r>
  <r>
    <x v="273"/>
    <s v="BRW-0226"/>
    <d v="2024-12-11T00:00:00"/>
    <x v="5"/>
    <n v="43900"/>
    <n v="12"/>
    <n v="14.33"/>
    <n v="3948.47"/>
    <n v="177.4"/>
    <s v="Default"/>
    <n v="88"/>
    <x v="1"/>
  </r>
  <r>
    <x v="274"/>
    <s v="BRW-0227"/>
    <d v="2024-09-30T00:00:00"/>
    <x v="7"/>
    <n v="49700"/>
    <n v="36"/>
    <n v="11.21"/>
    <n v="1632.06"/>
    <n v="51.2"/>
    <s v="Late"/>
    <n v="15"/>
    <x v="0"/>
  </r>
  <r>
    <x v="275"/>
    <s v="BRW-0228"/>
    <d v="2024-04-23T00:00:00"/>
    <x v="6"/>
    <n v="46500"/>
    <n v="48"/>
    <n v="12.61"/>
    <n v="1238.5"/>
    <n v="56.2"/>
    <s v="Late"/>
    <n v="0"/>
    <x v="0"/>
  </r>
  <r>
    <x v="276"/>
    <s v="BRW-0229"/>
    <d v="2024-04-30T00:00:00"/>
    <x v="6"/>
    <n v="4000"/>
    <n v="12"/>
    <n v="7.24"/>
    <n v="346.55"/>
    <n v="55.6"/>
    <s v="Late"/>
    <n v="15"/>
    <x v="0"/>
  </r>
  <r>
    <x v="277"/>
    <s v="BRW-0229"/>
    <d v="2024-04-11T00:00:00"/>
    <x v="3"/>
    <n v="38600"/>
    <n v="48"/>
    <n v="10.06"/>
    <n v="980.11"/>
    <n v="61.5"/>
    <s v="Default"/>
    <n v="123"/>
    <x v="1"/>
  </r>
  <r>
    <x v="278"/>
    <s v="BRW-0230"/>
    <d v="2024-01-07T00:00:00"/>
    <x v="5"/>
    <n v="8100"/>
    <n v="48"/>
    <n v="12"/>
    <n v="213.3"/>
    <n v="43.4"/>
    <s v="Current"/>
    <n v="0"/>
    <x v="0"/>
  </r>
  <r>
    <x v="279"/>
    <s v="BRW-0231"/>
    <d v="2024-09-08T00:00:00"/>
    <x v="6"/>
    <n v="22300"/>
    <n v="48"/>
    <n v="8.94"/>
    <n v="554.29999999999995"/>
    <n v="25.8"/>
    <s v="Current"/>
    <n v="0"/>
    <x v="0"/>
  </r>
  <r>
    <x v="280"/>
    <s v="BRW-0232"/>
    <d v="2025-06-12T00:00:00"/>
    <x v="1"/>
    <n v="21600"/>
    <n v="48"/>
    <n v="11.09"/>
    <n v="559.21"/>
    <n v="46.2"/>
    <s v="Current"/>
    <n v="0"/>
    <x v="0"/>
  </r>
  <r>
    <x v="281"/>
    <s v="BRW-0233"/>
    <d v="2024-11-18T00:00:00"/>
    <x v="8"/>
    <n v="26800"/>
    <n v="12"/>
    <n v="9.7200000000000006"/>
    <n v="2352.66"/>
    <n v="31.1"/>
    <s v="Current"/>
    <n v="0"/>
    <x v="0"/>
  </r>
  <r>
    <x v="282"/>
    <s v="BRW-0234"/>
    <d v="2025-06-16T00:00:00"/>
    <x v="8"/>
    <n v="32800"/>
    <n v="60"/>
    <n v="6.69"/>
    <n v="644.69000000000005"/>
    <n v="36.299999999999997"/>
    <s v="Paid Off"/>
    <n v="0"/>
    <x v="0"/>
  </r>
  <r>
    <x v="283"/>
    <s v="BRW-0235"/>
    <d v="2024-10-13T00:00:00"/>
    <x v="3"/>
    <n v="17100"/>
    <n v="36"/>
    <n v="7.04"/>
    <n v="528.30999999999995"/>
    <n v="60.7"/>
    <s v="Current"/>
    <n v="0"/>
    <x v="0"/>
  </r>
  <r>
    <x v="284"/>
    <s v="BRW-0236"/>
    <d v="2024-12-19T00:00:00"/>
    <x v="7"/>
    <n v="32000"/>
    <n v="60"/>
    <n v="11.38"/>
    <n v="701.84"/>
    <n v="44.8"/>
    <s v="Current"/>
    <n v="0"/>
    <x v="0"/>
  </r>
  <r>
    <x v="285"/>
    <s v="BRW-0237"/>
    <d v="2024-05-09T00:00:00"/>
    <x v="3"/>
    <n v="22300"/>
    <n v="48"/>
    <n v="11.48"/>
    <n v="581.57000000000005"/>
    <n v="49.1"/>
    <s v="Current"/>
    <n v="0"/>
    <x v="0"/>
  </r>
  <r>
    <x v="286"/>
    <s v="BRW-0238"/>
    <d v="2024-09-21T00:00:00"/>
    <x v="3"/>
    <n v="24100"/>
    <n v="24"/>
    <n v="7.82"/>
    <n v="1088"/>
    <n v="72.2"/>
    <s v="Paid Off"/>
    <n v="0"/>
    <x v="0"/>
  </r>
  <r>
    <x v="287"/>
    <s v="BRW-0239"/>
    <d v="2024-12-28T00:00:00"/>
    <x v="6"/>
    <n v="42400"/>
    <n v="36"/>
    <n v="11.95"/>
    <n v="1407.27"/>
    <n v="48.1"/>
    <s v="Default"/>
    <n v="61"/>
    <x v="1"/>
  </r>
  <r>
    <x v="288"/>
    <s v="BRW-0239"/>
    <d v="2024-08-29T00:00:00"/>
    <x v="0"/>
    <n v="37400"/>
    <n v="48"/>
    <n v="10.51"/>
    <n v="957.75"/>
    <n v="41.7"/>
    <s v="Late"/>
    <n v="30"/>
    <x v="0"/>
  </r>
  <r>
    <x v="289"/>
    <s v="BRW-0240"/>
    <d v="2024-05-23T00:00:00"/>
    <x v="2"/>
    <n v="13200"/>
    <n v="36"/>
    <n v="8.17"/>
    <n v="414.68"/>
    <n v="57.1"/>
    <s v="Current"/>
    <n v="0"/>
    <x v="0"/>
  </r>
  <r>
    <x v="290"/>
    <s v="BRW-0240"/>
    <d v="2024-05-30T00:00:00"/>
    <x v="4"/>
    <n v="11200"/>
    <n v="36"/>
    <n v="9.02"/>
    <n v="356.26"/>
    <n v="56.5"/>
    <s v="Current"/>
    <n v="0"/>
    <x v="0"/>
  </r>
  <r>
    <x v="291"/>
    <s v="BRW-0241"/>
    <d v="2025-02-16T00:00:00"/>
    <x v="5"/>
    <n v="22800"/>
    <n v="36"/>
    <n v="14.15"/>
    <n v="780.91"/>
    <n v="25.2"/>
    <s v="Current"/>
    <n v="0"/>
    <x v="0"/>
  </r>
  <r>
    <x v="292"/>
    <s v="BRW-0242"/>
    <d v="2025-03-02T00:00:00"/>
    <x v="0"/>
    <n v="37700"/>
    <n v="48"/>
    <n v="9.64"/>
    <n v="949.66"/>
    <n v="70"/>
    <s v="Current"/>
    <n v="0"/>
    <x v="0"/>
  </r>
  <r>
    <x v="293"/>
    <s v="BRW-0243"/>
    <d v="2024-08-05T00:00:00"/>
    <x v="5"/>
    <n v="10400"/>
    <n v="60"/>
    <n v="7.41"/>
    <n v="207.95"/>
    <n v="65.5"/>
    <s v="Current"/>
    <n v="0"/>
    <x v="0"/>
  </r>
  <r>
    <x v="294"/>
    <s v="BRW-0244"/>
    <d v="2024-10-23T00:00:00"/>
    <x v="6"/>
    <n v="14200"/>
    <n v="12"/>
    <n v="12.28"/>
    <n v="1263.51"/>
    <n v="66.2"/>
    <s v="Default"/>
    <n v="69"/>
    <x v="1"/>
  </r>
  <r>
    <x v="295"/>
    <s v="BRW-0245"/>
    <d v="2024-05-26T00:00:00"/>
    <x v="3"/>
    <n v="16600"/>
    <n v="48"/>
    <n v="7.86"/>
    <n v="404.16"/>
    <n v="49.6"/>
    <s v="Current"/>
    <n v="0"/>
    <x v="0"/>
  </r>
  <r>
    <x v="296"/>
    <s v="BRW-0246"/>
    <d v="2024-12-23T00:00:00"/>
    <x v="3"/>
    <n v="41100"/>
    <n v="48"/>
    <n v="10.23"/>
    <n v="1046.95"/>
    <n v="50.9"/>
    <s v="Default"/>
    <n v="41"/>
    <x v="1"/>
  </r>
  <r>
    <x v="297"/>
    <s v="BRW-0246"/>
    <d v="2025-01-21T00:00:00"/>
    <x v="1"/>
    <n v="16900"/>
    <n v="48"/>
    <n v="14.72"/>
    <n v="467.94"/>
    <n v="43.1"/>
    <s v="Late"/>
    <n v="0"/>
    <x v="0"/>
  </r>
  <r>
    <x v="298"/>
    <s v="BRW-0247"/>
    <d v="2024-11-29T00:00:00"/>
    <x v="2"/>
    <n v="31000"/>
    <n v="48"/>
    <n v="9.18"/>
    <n v="774.09"/>
    <n v="40.200000000000003"/>
    <s v="Default"/>
    <n v="134"/>
    <x v="1"/>
  </r>
  <r>
    <x v="299"/>
    <s v="BRW-0248"/>
    <d v="2024-03-31T00:00:00"/>
    <x v="1"/>
    <n v="3800"/>
    <n v="48"/>
    <n v="14.21"/>
    <n v="104.24"/>
    <n v="16.100000000000001"/>
    <s v="Current"/>
    <n v="0"/>
    <x v="0"/>
  </r>
  <r>
    <x v="300"/>
    <s v="BRW-0249"/>
    <d v="2024-02-24T00:00:00"/>
    <x v="3"/>
    <n v="5100"/>
    <n v="60"/>
    <n v="8.2899999999999991"/>
    <n v="104.12"/>
    <n v="51.2"/>
    <s v="Paid Off"/>
    <n v="0"/>
    <x v="0"/>
  </r>
  <r>
    <x v="301"/>
    <s v="BRW-0250"/>
    <d v="2024-10-08T00:00:00"/>
    <x v="8"/>
    <n v="27200"/>
    <n v="24"/>
    <n v="14.71"/>
    <n v="1315.09"/>
    <n v="66.5"/>
    <s v="Paid Off"/>
    <n v="0"/>
    <x v="0"/>
  </r>
  <r>
    <x v="302"/>
    <s v="BRW-0251"/>
    <d v="2024-02-16T00:00:00"/>
    <x v="0"/>
    <n v="12100"/>
    <n v="36"/>
    <n v="10.28"/>
    <n v="392.03"/>
    <n v="52.7"/>
    <s v="Late"/>
    <n v="15"/>
    <x v="0"/>
  </r>
  <r>
    <x v="303"/>
    <s v="BRW-0251"/>
    <d v="2024-04-03T00:00:00"/>
    <x v="5"/>
    <n v="35900"/>
    <n v="36"/>
    <n v="10.18"/>
    <n v="1161.43"/>
    <n v="70.5"/>
    <s v="Default"/>
    <n v="55"/>
    <x v="1"/>
  </r>
  <r>
    <x v="304"/>
    <s v="BRW-0252"/>
    <d v="2025-02-21T00:00:00"/>
    <x v="3"/>
    <n v="9900"/>
    <n v="12"/>
    <n v="9.92"/>
    <n v="870"/>
    <n v="54"/>
    <s v="Paid Off"/>
    <n v="0"/>
    <x v="0"/>
  </r>
  <r>
    <x v="305"/>
    <s v="BRW-0253"/>
    <d v="2024-11-27T00:00:00"/>
    <x v="8"/>
    <n v="5700"/>
    <n v="24"/>
    <n v="11.13"/>
    <n v="266.01"/>
    <n v="49.6"/>
    <s v="Late"/>
    <n v="15"/>
    <x v="0"/>
  </r>
  <r>
    <x v="306"/>
    <s v="BRW-0254"/>
    <d v="2025-05-31T00:00:00"/>
    <x v="7"/>
    <n v="30100"/>
    <n v="48"/>
    <n v="13.59"/>
    <n v="816.35"/>
    <n v="27"/>
    <s v="Current"/>
    <n v="0"/>
    <x v="0"/>
  </r>
  <r>
    <x v="307"/>
    <s v="BRW-0255"/>
    <d v="2024-01-20T00:00:00"/>
    <x v="1"/>
    <n v="2400"/>
    <n v="24"/>
    <n v="14.87"/>
    <n v="116.22"/>
    <n v="38.299999999999997"/>
    <s v="Default"/>
    <n v="180"/>
    <x v="1"/>
  </r>
  <r>
    <x v="308"/>
    <s v="BRW-0256"/>
    <d v="2025-02-20T00:00:00"/>
    <x v="7"/>
    <n v="33300"/>
    <n v="24"/>
    <n v="11.81"/>
    <n v="1564.59"/>
    <n v="34.299999999999997"/>
    <s v="Current"/>
    <n v="0"/>
    <x v="0"/>
  </r>
  <r>
    <x v="309"/>
    <s v="BRW-0257"/>
    <d v="2025-03-09T00:00:00"/>
    <x v="5"/>
    <n v="23500"/>
    <n v="24"/>
    <n v="12.7"/>
    <n v="1113.92"/>
    <n v="71.2"/>
    <s v="Current"/>
    <n v="0"/>
    <x v="0"/>
  </r>
  <r>
    <x v="310"/>
    <s v="BRW-0258"/>
    <d v="2025-05-08T00:00:00"/>
    <x v="9"/>
    <n v="32700"/>
    <n v="12"/>
    <n v="7.25"/>
    <n v="2833.19"/>
    <n v="85.7"/>
    <s v="Late"/>
    <n v="0"/>
    <x v="0"/>
  </r>
  <r>
    <x v="311"/>
    <s v="BRW-0258"/>
    <d v="2024-06-14T00:00:00"/>
    <x v="4"/>
    <n v="12200"/>
    <n v="60"/>
    <n v="8.36"/>
    <n v="249.48"/>
    <n v="26"/>
    <s v="Current"/>
    <n v="0"/>
    <x v="0"/>
  </r>
  <r>
    <x v="312"/>
    <s v="BRW-0259"/>
    <d v="2024-08-03T00:00:00"/>
    <x v="6"/>
    <n v="35000"/>
    <n v="36"/>
    <n v="12.84"/>
    <n v="1176.5899999999999"/>
    <n v="76.099999999999994"/>
    <s v="Late"/>
    <n v="30"/>
    <x v="0"/>
  </r>
  <r>
    <x v="313"/>
    <s v="BRW-0260"/>
    <d v="2024-11-25T00:00:00"/>
    <x v="4"/>
    <n v="49000"/>
    <n v="48"/>
    <n v="10.83"/>
    <n v="1262.3900000000001"/>
    <n v="46.7"/>
    <s v="Current"/>
    <n v="0"/>
    <x v="0"/>
  </r>
  <r>
    <x v="314"/>
    <s v="BRW-0261"/>
    <d v="2024-01-10T00:00:00"/>
    <x v="5"/>
    <n v="2100"/>
    <n v="48"/>
    <n v="8.42"/>
    <n v="51.68"/>
    <n v="11.8"/>
    <s v="Paid Off"/>
    <n v="0"/>
    <x v="0"/>
  </r>
  <r>
    <x v="315"/>
    <s v="BRW-0262"/>
    <d v="2025-03-31T00:00:00"/>
    <x v="1"/>
    <n v="13300"/>
    <n v="12"/>
    <n v="9.34"/>
    <n v="1165.2"/>
    <n v="96.6"/>
    <s v="Paid Off"/>
    <n v="0"/>
    <x v="0"/>
  </r>
  <r>
    <x v="316"/>
    <s v="BRW-0263"/>
    <d v="2025-01-14T00:00:00"/>
    <x v="4"/>
    <n v="42300"/>
    <n v="12"/>
    <n v="7.97"/>
    <n v="3679.02"/>
    <n v="72.599999999999994"/>
    <s v="Current"/>
    <n v="0"/>
    <x v="0"/>
  </r>
  <r>
    <x v="317"/>
    <s v="BRW-0263"/>
    <d v="2024-11-06T00:00:00"/>
    <x v="8"/>
    <n v="34700"/>
    <n v="36"/>
    <n v="8.31"/>
    <n v="1092.3399999999999"/>
    <n v="48.2"/>
    <s v="Paid Off"/>
    <n v="0"/>
    <x v="0"/>
  </r>
  <r>
    <x v="318"/>
    <s v="BRW-0264"/>
    <d v="2024-07-19T00:00:00"/>
    <x v="8"/>
    <n v="40100"/>
    <n v="60"/>
    <n v="7.03"/>
    <n v="794.6"/>
    <n v="64.8"/>
    <s v="Current"/>
    <n v="0"/>
    <x v="0"/>
  </r>
  <r>
    <x v="319"/>
    <s v="BRW-0264"/>
    <d v="2024-06-28T00:00:00"/>
    <x v="3"/>
    <n v="25700"/>
    <n v="60"/>
    <n v="6.95"/>
    <n v="508.28"/>
    <n v="59.8"/>
    <s v="Default"/>
    <n v="62"/>
    <x v="1"/>
  </r>
  <r>
    <x v="320"/>
    <s v="BRW-0265"/>
    <d v="2024-10-07T00:00:00"/>
    <x v="5"/>
    <n v="29400"/>
    <n v="24"/>
    <n v="10.76"/>
    <n v="1367"/>
    <n v="38.799999999999997"/>
    <s v="Paid Off"/>
    <n v="0"/>
    <x v="0"/>
  </r>
  <r>
    <x v="321"/>
    <s v="BRW-0266"/>
    <d v="2025-03-13T00:00:00"/>
    <x v="2"/>
    <n v="32400"/>
    <n v="48"/>
    <n v="7.78"/>
    <n v="787.64"/>
    <n v="30.9"/>
    <s v="Late"/>
    <n v="15"/>
    <x v="0"/>
  </r>
  <r>
    <x v="322"/>
    <s v="BRW-0267"/>
    <d v="2025-04-22T00:00:00"/>
    <x v="1"/>
    <n v="21500"/>
    <n v="12"/>
    <n v="9.58"/>
    <n v="1885.99"/>
    <n v="68.099999999999994"/>
    <s v="Current"/>
    <n v="0"/>
    <x v="0"/>
  </r>
  <r>
    <x v="323"/>
    <s v="BRW-0267"/>
    <d v="2024-01-06T00:00:00"/>
    <x v="7"/>
    <n v="25600"/>
    <n v="60"/>
    <n v="8.43"/>
    <n v="524.36"/>
    <n v="47.1"/>
    <s v="Paid Off"/>
    <n v="0"/>
    <x v="0"/>
  </r>
  <r>
    <x v="324"/>
    <s v="BRW-0268"/>
    <d v="2024-07-20T00:00:00"/>
    <x v="7"/>
    <n v="22300"/>
    <n v="12"/>
    <n v="14.87"/>
    <n v="2011.39"/>
    <n v="109.3"/>
    <s v="Default"/>
    <n v="109"/>
    <x v="1"/>
  </r>
  <r>
    <x v="325"/>
    <s v="BRW-0268"/>
    <d v="2024-01-25T00:00:00"/>
    <x v="6"/>
    <n v="6100"/>
    <n v="48"/>
    <n v="12.44"/>
    <n v="161.96"/>
    <n v="56.6"/>
    <s v="Current"/>
    <n v="0"/>
    <x v="0"/>
  </r>
  <r>
    <x v="326"/>
    <s v="BRW-0269"/>
    <d v="2025-06-16T00:00:00"/>
    <x v="6"/>
    <n v="48000"/>
    <n v="12"/>
    <n v="10.76"/>
    <n v="4236.95"/>
    <n v="117.3"/>
    <s v="Late"/>
    <n v="15"/>
    <x v="0"/>
  </r>
  <r>
    <x v="327"/>
    <s v="BRW-0270"/>
    <d v="2024-02-04T00:00:00"/>
    <x v="6"/>
    <n v="29700"/>
    <n v="12"/>
    <n v="15.86"/>
    <n v="2692.74"/>
    <n v="119.6"/>
    <s v="Default"/>
    <n v="46"/>
    <x v="1"/>
  </r>
  <r>
    <x v="328"/>
    <s v="BRW-0271"/>
    <d v="2025-03-18T00:00:00"/>
    <x v="8"/>
    <n v="22200"/>
    <n v="36"/>
    <n v="10.67"/>
    <n v="723.34"/>
    <n v="39.9"/>
    <s v="Default"/>
    <n v="44"/>
    <x v="1"/>
  </r>
  <r>
    <x v="329"/>
    <s v="BRW-0272"/>
    <d v="2024-08-26T00:00:00"/>
    <x v="3"/>
    <n v="21300"/>
    <n v="60"/>
    <n v="13.16"/>
    <n v="486.39"/>
    <n v="23"/>
    <s v="Late"/>
    <n v="0"/>
    <x v="0"/>
  </r>
  <r>
    <x v="330"/>
    <s v="BRW-0273"/>
    <d v="2024-01-27T00:00:00"/>
    <x v="0"/>
    <n v="44200"/>
    <n v="60"/>
    <n v="10.81"/>
    <n v="956.83"/>
    <n v="29.8"/>
    <s v="Current"/>
    <n v="0"/>
    <x v="0"/>
  </r>
  <r>
    <x v="331"/>
    <s v="BRW-0274"/>
    <d v="2024-05-09T00:00:00"/>
    <x v="9"/>
    <n v="30500"/>
    <n v="24"/>
    <n v="10.36"/>
    <n v="1412.49"/>
    <n v="38.1"/>
    <s v="Current"/>
    <n v="0"/>
    <x v="0"/>
  </r>
  <r>
    <x v="332"/>
    <s v="BRW-0275"/>
    <d v="2024-11-15T00:00:00"/>
    <x v="0"/>
    <n v="7900"/>
    <n v="12"/>
    <n v="8.77"/>
    <n v="690.02"/>
    <n v="29.9"/>
    <s v="Late"/>
    <n v="0"/>
    <x v="0"/>
  </r>
  <r>
    <x v="333"/>
    <s v="BRW-0276"/>
    <d v="2024-12-17T00:00:00"/>
    <x v="9"/>
    <n v="39200"/>
    <n v="24"/>
    <n v="8.35"/>
    <n v="1779.17"/>
    <n v="69.400000000000006"/>
    <s v="Late"/>
    <n v="30"/>
    <x v="0"/>
  </r>
  <r>
    <x v="334"/>
    <s v="BRW-0277"/>
    <d v="2025-03-08T00:00:00"/>
    <x v="5"/>
    <n v="8800"/>
    <n v="60"/>
    <n v="14.04"/>
    <n v="204.94"/>
    <n v="33.4"/>
    <s v="Late"/>
    <n v="30"/>
    <x v="0"/>
  </r>
  <r>
    <x v="335"/>
    <s v="BRW-0278"/>
    <d v="2024-12-05T00:00:00"/>
    <x v="6"/>
    <n v="28000"/>
    <n v="48"/>
    <n v="12.52"/>
    <n v="744.52"/>
    <n v="40.9"/>
    <s v="Current"/>
    <n v="0"/>
    <x v="0"/>
  </r>
  <r>
    <x v="336"/>
    <s v="BRW-0279"/>
    <d v="2024-01-04T00:00:00"/>
    <x v="4"/>
    <n v="17200"/>
    <n v="12"/>
    <n v="12.86"/>
    <n v="1535.13"/>
    <n v="44.4"/>
    <s v="Current"/>
    <n v="0"/>
    <x v="0"/>
  </r>
  <r>
    <x v="337"/>
    <s v="BRW-0280"/>
    <d v="2025-01-19T00:00:00"/>
    <x v="0"/>
    <n v="47700"/>
    <n v="36"/>
    <n v="10.99"/>
    <n v="1561.41"/>
    <n v="77.5"/>
    <s v="Paid Off"/>
    <n v="0"/>
    <x v="0"/>
  </r>
  <r>
    <x v="338"/>
    <s v="BRW-0281"/>
    <d v="2024-07-18T00:00:00"/>
    <x v="6"/>
    <n v="28600"/>
    <n v="24"/>
    <n v="8.6999999999999993"/>
    <n v="1302.6500000000001"/>
    <n v="64"/>
    <s v="Late"/>
    <n v="15"/>
    <x v="0"/>
  </r>
  <r>
    <x v="339"/>
    <s v="BRW-0282"/>
    <d v="2024-12-13T00:00:00"/>
    <x v="7"/>
    <n v="4500"/>
    <n v="36"/>
    <n v="11.88"/>
    <n v="149.21"/>
    <n v="22.8"/>
    <s v="Current"/>
    <n v="0"/>
    <x v="0"/>
  </r>
  <r>
    <x v="340"/>
    <s v="BRW-0282"/>
    <d v="2024-05-20T00:00:00"/>
    <x v="5"/>
    <n v="36100"/>
    <n v="12"/>
    <n v="12.44"/>
    <n v="3214.88"/>
    <n v="145"/>
    <s v="Current"/>
    <n v="0"/>
    <x v="0"/>
  </r>
  <r>
    <x v="341"/>
    <s v="BRW-0283"/>
    <d v="2025-06-23T00:00:00"/>
    <x v="3"/>
    <n v="19700"/>
    <n v="36"/>
    <n v="10.74"/>
    <n v="642.53"/>
    <n v="25"/>
    <s v="Late"/>
    <n v="30"/>
    <x v="0"/>
  </r>
  <r>
    <x v="342"/>
    <s v="BRW-0283"/>
    <d v="2024-07-15T00:00:00"/>
    <x v="6"/>
    <n v="31300"/>
    <n v="24"/>
    <n v="11.41"/>
    <n v="1464.79"/>
    <n v="37.4"/>
    <s v="Current"/>
    <n v="0"/>
    <x v="0"/>
  </r>
  <r>
    <x v="343"/>
    <s v="BRW-0284"/>
    <d v="2024-10-28T00:00:00"/>
    <x v="7"/>
    <n v="38600"/>
    <n v="60"/>
    <n v="10.6"/>
    <n v="831.58"/>
    <n v="31"/>
    <s v="Current"/>
    <n v="0"/>
    <x v="0"/>
  </r>
  <r>
    <x v="344"/>
    <s v="BRW-0285"/>
    <d v="2024-03-24T00:00:00"/>
    <x v="5"/>
    <n v="48500"/>
    <n v="48"/>
    <n v="8.6300000000000008"/>
    <n v="1198.42"/>
    <n v="58.9"/>
    <s v="Late"/>
    <n v="0"/>
    <x v="0"/>
  </r>
  <r>
    <x v="345"/>
    <s v="BRW-0286"/>
    <d v="2025-06-15T00:00:00"/>
    <x v="1"/>
    <n v="33000"/>
    <n v="60"/>
    <n v="9.6"/>
    <n v="694.68"/>
    <n v="38"/>
    <s v="Current"/>
    <n v="0"/>
    <x v="0"/>
  </r>
  <r>
    <x v="346"/>
    <s v="BRW-0287"/>
    <d v="2024-07-31T00:00:00"/>
    <x v="0"/>
    <n v="25800"/>
    <n v="60"/>
    <n v="10.98"/>
    <n v="560.70000000000005"/>
    <n v="37"/>
    <s v="Paid Off"/>
    <n v="0"/>
    <x v="0"/>
  </r>
  <r>
    <x v="347"/>
    <s v="BRW-0288"/>
    <d v="2025-01-18T00:00:00"/>
    <x v="3"/>
    <n v="20100"/>
    <n v="24"/>
    <n v="14.98"/>
    <n v="974.39"/>
    <n v="26.1"/>
    <s v="Default"/>
    <n v="51"/>
    <x v="1"/>
  </r>
  <r>
    <x v="348"/>
    <s v="BRW-0289"/>
    <d v="2025-04-21T00:00:00"/>
    <x v="6"/>
    <n v="19900"/>
    <n v="24"/>
    <n v="9.8699999999999992"/>
    <n v="917.09"/>
    <n v="53.6"/>
    <s v="Current"/>
    <n v="0"/>
    <x v="0"/>
  </r>
  <r>
    <x v="349"/>
    <s v="BRW-0290"/>
    <d v="2025-03-28T00:00:00"/>
    <x v="4"/>
    <n v="17200"/>
    <n v="48"/>
    <n v="10.56"/>
    <n v="440.88"/>
    <n v="9.8000000000000007"/>
    <s v="Default"/>
    <n v="49"/>
    <x v="1"/>
  </r>
  <r>
    <x v="350"/>
    <s v="BRW-0291"/>
    <d v="2024-10-10T00:00:00"/>
    <x v="6"/>
    <n v="26100"/>
    <n v="60"/>
    <n v="12.42"/>
    <n v="586.13"/>
    <n v="19.899999999999999"/>
    <s v="Current"/>
    <n v="0"/>
    <x v="0"/>
  </r>
  <r>
    <x v="351"/>
    <s v="BRW-0292"/>
    <d v="2024-10-08T00:00:00"/>
    <x v="7"/>
    <n v="12600"/>
    <n v="36"/>
    <n v="11.36"/>
    <n v="414.66"/>
    <n v="62.4"/>
    <s v="Default"/>
    <n v="65"/>
    <x v="1"/>
  </r>
  <r>
    <x v="352"/>
    <s v="BRW-0293"/>
    <d v="2024-12-20T00:00:00"/>
    <x v="2"/>
    <n v="2400"/>
    <n v="36"/>
    <n v="8.51"/>
    <n v="75.77"/>
    <n v="29.5"/>
    <s v="Current"/>
    <n v="0"/>
    <x v="0"/>
  </r>
  <r>
    <x v="353"/>
    <s v="BRW-0293"/>
    <d v="2024-06-01T00:00:00"/>
    <x v="9"/>
    <n v="2600"/>
    <n v="60"/>
    <n v="12.05"/>
    <n v="57.9"/>
    <n v="28.9"/>
    <s v="Paid Off"/>
    <n v="0"/>
    <x v="0"/>
  </r>
  <r>
    <x v="354"/>
    <s v="BRW-0294"/>
    <d v="2025-04-17T00:00:00"/>
    <x v="7"/>
    <n v="39700"/>
    <n v="48"/>
    <n v="10.93"/>
    <n v="1024.72"/>
    <n v="21.3"/>
    <s v="Paid Off"/>
    <n v="0"/>
    <x v="0"/>
  </r>
  <r>
    <x v="355"/>
    <s v="BRW-0295"/>
    <d v="2024-05-22T00:00:00"/>
    <x v="1"/>
    <n v="9300"/>
    <n v="60"/>
    <n v="8.15"/>
    <n v="189.24"/>
    <n v="38.4"/>
    <s v="Paid Off"/>
    <n v="0"/>
    <x v="0"/>
  </r>
  <r>
    <x v="356"/>
    <s v="BRW-0296"/>
    <d v="2024-11-02T00:00:00"/>
    <x v="4"/>
    <n v="19900"/>
    <n v="48"/>
    <n v="13.08"/>
    <n v="534.66"/>
    <n v="49.5"/>
    <s v="Paid Off"/>
    <n v="0"/>
    <x v="0"/>
  </r>
  <r>
    <x v="357"/>
    <s v="BRW-0297"/>
    <d v="2025-02-04T00:00:00"/>
    <x v="5"/>
    <n v="49700"/>
    <n v="60"/>
    <n v="9.3000000000000007"/>
    <n v="1038.94"/>
    <n v="37.5"/>
    <s v="Current"/>
    <n v="0"/>
    <x v="0"/>
  </r>
  <r>
    <x v="358"/>
    <s v="BRW-0297"/>
    <d v="2025-04-07T00:00:00"/>
    <x v="2"/>
    <n v="18800"/>
    <n v="36"/>
    <n v="9"/>
    <n v="597.83000000000004"/>
    <n v="26.7"/>
    <s v="Current"/>
    <n v="0"/>
    <x v="0"/>
  </r>
  <r>
    <x v="359"/>
    <s v="BRW-0298"/>
    <d v="2024-07-22T00:00:00"/>
    <x v="5"/>
    <n v="19000"/>
    <n v="48"/>
    <n v="6.03"/>
    <n v="446.48"/>
    <n v="54.1"/>
    <s v="Default"/>
    <n v="128"/>
    <x v="1"/>
  </r>
  <r>
    <x v="360"/>
    <s v="BRW-0299"/>
    <d v="2025-06-14T00:00:00"/>
    <x v="7"/>
    <n v="8100"/>
    <n v="48"/>
    <n v="8.1999999999999993"/>
    <n v="198.51"/>
    <n v="64.099999999999994"/>
    <s v="Default"/>
    <n v="113"/>
    <x v="1"/>
  </r>
  <r>
    <x v="361"/>
    <s v="BRW-0300"/>
    <d v="2025-05-04T00:00:00"/>
    <x v="1"/>
    <n v="49500"/>
    <n v="24"/>
    <n v="13.08"/>
    <n v="2355.1799999999998"/>
    <n v="86.4"/>
    <s v="Paid Off"/>
    <n v="0"/>
    <x v="0"/>
  </r>
  <r>
    <x v="362"/>
    <s v="BRW-0300"/>
    <d v="2025-05-01T00:00:00"/>
    <x v="7"/>
    <n v="9200"/>
    <n v="48"/>
    <n v="14.49"/>
    <n v="253.67"/>
    <n v="55.4"/>
    <s v="Default"/>
    <n v="177"/>
    <x v="1"/>
  </r>
  <r>
    <x v="363"/>
    <s v="BRW-0301"/>
    <d v="2024-01-08T00:00:00"/>
    <x v="9"/>
    <n v="26800"/>
    <n v="48"/>
    <n v="7.81"/>
    <n v="651.88"/>
    <n v="55.1"/>
    <s v="Paid Off"/>
    <n v="0"/>
    <x v="0"/>
  </r>
  <r>
    <x v="364"/>
    <s v="BRW-0301"/>
    <d v="2025-04-16T00:00:00"/>
    <x v="9"/>
    <n v="27200"/>
    <n v="60"/>
    <n v="10.83"/>
    <n v="589.09"/>
    <n v="54"/>
    <s v="Current"/>
    <n v="0"/>
    <x v="0"/>
  </r>
  <r>
    <x v="365"/>
    <s v="BRW-0302"/>
    <d v="2024-06-28T00:00:00"/>
    <x v="0"/>
    <n v="33100"/>
    <n v="36"/>
    <n v="12.62"/>
    <n v="1109.22"/>
    <n v="67.8"/>
    <s v="Default"/>
    <n v="75"/>
    <x v="1"/>
  </r>
  <r>
    <x v="366"/>
    <s v="BRW-0303"/>
    <d v="2024-04-07T00:00:00"/>
    <x v="1"/>
    <n v="45700"/>
    <n v="24"/>
    <n v="9.33"/>
    <n v="2094.7199999999998"/>
    <n v="76"/>
    <s v="Late"/>
    <n v="15"/>
    <x v="0"/>
  </r>
  <r>
    <x v="367"/>
    <s v="BRW-0303"/>
    <d v="2024-03-09T00:00:00"/>
    <x v="5"/>
    <n v="32100"/>
    <n v="36"/>
    <n v="9.17"/>
    <n v="1023.31"/>
    <n v="63.2"/>
    <s v="Current"/>
    <n v="0"/>
    <x v="0"/>
  </r>
  <r>
    <x v="368"/>
    <s v="BRW-0304"/>
    <d v="2024-11-29T00:00:00"/>
    <x v="2"/>
    <n v="14600"/>
    <n v="12"/>
    <n v="8.36"/>
    <n v="1272.46"/>
    <n v="66.099999999999994"/>
    <s v="Current"/>
    <n v="0"/>
    <x v="0"/>
  </r>
  <r>
    <x v="369"/>
    <s v="BRW-0305"/>
    <d v="2025-02-12T00:00:00"/>
    <x v="8"/>
    <n v="6200"/>
    <n v="48"/>
    <n v="7.94"/>
    <n v="151.19"/>
    <n v="50.7"/>
    <s v="Current"/>
    <n v="0"/>
    <x v="0"/>
  </r>
  <r>
    <x v="370"/>
    <s v="BRW-0306"/>
    <d v="2024-03-25T00:00:00"/>
    <x v="5"/>
    <n v="12300"/>
    <n v="48"/>
    <n v="9.32"/>
    <n v="307.95999999999998"/>
    <n v="34.200000000000003"/>
    <s v="Paid Off"/>
    <n v="0"/>
    <x v="0"/>
  </r>
  <r>
    <x v="371"/>
    <s v="BRW-0307"/>
    <d v="2024-06-30T00:00:00"/>
    <x v="3"/>
    <n v="8800"/>
    <n v="12"/>
    <n v="13.28"/>
    <n v="787.15"/>
    <n v="48.2"/>
    <s v="Default"/>
    <n v="166"/>
    <x v="1"/>
  </r>
  <r>
    <x v="372"/>
    <s v="BRW-0308"/>
    <d v="2025-01-01T00:00:00"/>
    <x v="5"/>
    <n v="11000"/>
    <n v="36"/>
    <n v="7.78"/>
    <n v="343.58"/>
    <n v="45.1"/>
    <s v="Paid Off"/>
    <n v="0"/>
    <x v="0"/>
  </r>
  <r>
    <x v="373"/>
    <s v="BRW-0309"/>
    <d v="2024-04-15T00:00:00"/>
    <x v="0"/>
    <n v="42200"/>
    <n v="60"/>
    <n v="13.39"/>
    <n v="968.63"/>
    <n v="69.7"/>
    <s v="Default"/>
    <n v="108"/>
    <x v="1"/>
  </r>
  <r>
    <x v="374"/>
    <s v="BRW-0310"/>
    <d v="2025-01-18T00:00:00"/>
    <x v="9"/>
    <n v="13400"/>
    <n v="24"/>
    <n v="14.29"/>
    <n v="645.21"/>
    <n v="51.9"/>
    <s v="Current"/>
    <n v="0"/>
    <x v="0"/>
  </r>
  <r>
    <x v="375"/>
    <s v="BRW-0311"/>
    <d v="2024-04-08T00:00:00"/>
    <x v="8"/>
    <n v="10100"/>
    <n v="12"/>
    <n v="9.89"/>
    <n v="887.43"/>
    <n v="67.099999999999994"/>
    <s v="Current"/>
    <n v="0"/>
    <x v="0"/>
  </r>
  <r>
    <x v="376"/>
    <s v="BRW-0312"/>
    <d v="2024-07-13T00:00:00"/>
    <x v="1"/>
    <n v="23900"/>
    <n v="36"/>
    <n v="10.64"/>
    <n v="778.39"/>
    <n v="76.8"/>
    <s v="Late"/>
    <n v="15"/>
    <x v="0"/>
  </r>
  <r>
    <x v="377"/>
    <s v="BRW-0313"/>
    <d v="2024-11-19T00:00:00"/>
    <x v="7"/>
    <n v="8300"/>
    <n v="24"/>
    <n v="8.84"/>
    <n v="378.57"/>
    <n v="41"/>
    <s v="Default"/>
    <n v="84"/>
    <x v="1"/>
  </r>
  <r>
    <x v="378"/>
    <s v="BRW-0314"/>
    <d v="2024-03-09T00:00:00"/>
    <x v="6"/>
    <n v="15400"/>
    <n v="60"/>
    <n v="8.19"/>
    <n v="313.66000000000003"/>
    <n v="20.9"/>
    <s v="Paid Off"/>
    <n v="0"/>
    <x v="0"/>
  </r>
  <r>
    <x v="379"/>
    <s v="BRW-0315"/>
    <d v="2024-04-07T00:00:00"/>
    <x v="6"/>
    <n v="38100"/>
    <n v="60"/>
    <n v="9.17"/>
    <n v="794.04"/>
    <n v="64.5"/>
    <s v="Late"/>
    <n v="30"/>
    <x v="0"/>
  </r>
  <r>
    <x v="380"/>
    <s v="BRW-0316"/>
    <d v="2025-05-08T00:00:00"/>
    <x v="5"/>
    <n v="13700"/>
    <n v="36"/>
    <n v="15.64"/>
    <n v="479.22"/>
    <n v="36.200000000000003"/>
    <s v="Default"/>
    <n v="34"/>
    <x v="1"/>
  </r>
  <r>
    <x v="381"/>
    <s v="BRW-0317"/>
    <d v="2024-01-14T00:00:00"/>
    <x v="9"/>
    <n v="26500"/>
    <n v="24"/>
    <n v="12.88"/>
    <n v="1258.3699999999999"/>
    <n v="30.3"/>
    <s v="Default"/>
    <n v="61"/>
    <x v="1"/>
  </r>
  <r>
    <x v="382"/>
    <s v="BRW-0318"/>
    <d v="2025-05-25T00:00:00"/>
    <x v="1"/>
    <n v="21000"/>
    <n v="12"/>
    <n v="9.4499999999999993"/>
    <n v="1840.87"/>
    <n v="121.8"/>
    <s v="Current"/>
    <n v="0"/>
    <x v="0"/>
  </r>
  <r>
    <x v="383"/>
    <s v="BRW-0319"/>
    <d v="2024-11-21T00:00:00"/>
    <x v="9"/>
    <n v="22800"/>
    <n v="36"/>
    <n v="10.199999999999999"/>
    <n v="737.83"/>
    <n v="37.200000000000003"/>
    <s v="Current"/>
    <n v="0"/>
    <x v="0"/>
  </r>
  <r>
    <x v="384"/>
    <s v="BRW-0320"/>
    <d v="2024-07-29T00:00:00"/>
    <x v="3"/>
    <n v="13000"/>
    <n v="36"/>
    <n v="11.03"/>
    <n v="425.79"/>
    <n v="16.3"/>
    <s v="Late"/>
    <n v="15"/>
    <x v="0"/>
  </r>
  <r>
    <x v="385"/>
    <s v="BRW-0320"/>
    <d v="2025-01-25T00:00:00"/>
    <x v="7"/>
    <n v="35400"/>
    <n v="24"/>
    <n v="12.36"/>
    <n v="1672.36"/>
    <n v="36.299999999999997"/>
    <s v="Late"/>
    <n v="0"/>
    <x v="0"/>
  </r>
  <r>
    <x v="386"/>
    <s v="BRW-0321"/>
    <d v="2024-05-08T00:00:00"/>
    <x v="0"/>
    <n v="5800"/>
    <n v="24"/>
    <n v="14.02"/>
    <n v="278.52999999999997"/>
    <n v="28.6"/>
    <s v="Default"/>
    <n v="170"/>
    <x v="1"/>
  </r>
  <r>
    <x v="387"/>
    <s v="BRW-0322"/>
    <d v="2024-07-21T00:00:00"/>
    <x v="7"/>
    <n v="4200"/>
    <n v="48"/>
    <n v="11.24"/>
    <n v="109.04"/>
    <n v="44.9"/>
    <s v="Default"/>
    <n v="75"/>
    <x v="1"/>
  </r>
  <r>
    <x v="388"/>
    <s v="BRW-0322"/>
    <d v="2024-07-25T00:00:00"/>
    <x v="9"/>
    <n v="10200"/>
    <n v="48"/>
    <n v="14.52"/>
    <n v="281.39999999999998"/>
    <n v="49"/>
    <s v="Default"/>
    <n v="153"/>
    <x v="1"/>
  </r>
  <r>
    <x v="389"/>
    <s v="BRW-0323"/>
    <d v="2025-03-19T00:00:00"/>
    <x v="4"/>
    <n v="8200"/>
    <n v="48"/>
    <n v="12.25"/>
    <n v="216.95"/>
    <n v="16.7"/>
    <s v="Paid Off"/>
    <n v="0"/>
    <x v="0"/>
  </r>
  <r>
    <x v="390"/>
    <s v="BRW-0324"/>
    <d v="2024-06-05T00:00:00"/>
    <x v="1"/>
    <n v="4900"/>
    <n v="36"/>
    <n v="9.18"/>
    <n v="156.22999999999999"/>
    <n v="59"/>
    <s v="Current"/>
    <n v="0"/>
    <x v="0"/>
  </r>
  <r>
    <x v="391"/>
    <s v="BRW-0325"/>
    <d v="2025-04-25T00:00:00"/>
    <x v="3"/>
    <n v="30600"/>
    <n v="12"/>
    <n v="9.93"/>
    <n v="2689.23"/>
    <n v="100.4"/>
    <s v="Default"/>
    <n v="78"/>
    <x v="1"/>
  </r>
  <r>
    <x v="392"/>
    <s v="BRW-0326"/>
    <d v="2025-02-08T00:00:00"/>
    <x v="2"/>
    <n v="20000"/>
    <n v="48"/>
    <n v="12.16"/>
    <n v="528.25"/>
    <n v="30.1"/>
    <s v="Current"/>
    <n v="0"/>
    <x v="0"/>
  </r>
  <r>
    <x v="393"/>
    <s v="BRW-0327"/>
    <d v="2024-06-15T00:00:00"/>
    <x v="9"/>
    <n v="6100"/>
    <n v="12"/>
    <n v="10.74"/>
    <n v="538.39"/>
    <n v="47.2"/>
    <s v="Default"/>
    <n v="141"/>
    <x v="1"/>
  </r>
  <r>
    <x v="394"/>
    <s v="BRW-0328"/>
    <d v="2025-01-29T00:00:00"/>
    <x v="4"/>
    <n v="24900"/>
    <n v="36"/>
    <n v="10.17"/>
    <n v="805.44"/>
    <n v="24"/>
    <s v="Current"/>
    <n v="0"/>
    <x v="0"/>
  </r>
  <r>
    <x v="395"/>
    <s v="BRW-0328"/>
    <d v="2024-05-31T00:00:00"/>
    <x v="8"/>
    <n v="19300"/>
    <n v="12"/>
    <n v="10.17"/>
    <n v="1698.3"/>
    <n v="44"/>
    <s v="Late"/>
    <n v="0"/>
    <x v="0"/>
  </r>
  <r>
    <x v="396"/>
    <s v="BRW-0329"/>
    <d v="2024-04-04T00:00:00"/>
    <x v="9"/>
    <n v="33800"/>
    <n v="24"/>
    <n v="6.85"/>
    <n v="1511.02"/>
    <n v="36.4"/>
    <s v="Late"/>
    <n v="15"/>
    <x v="0"/>
  </r>
  <r>
    <x v="397"/>
    <s v="BRW-0330"/>
    <d v="2025-03-13T00:00:00"/>
    <x v="6"/>
    <n v="11100"/>
    <n v="48"/>
    <n v="9.5299999999999994"/>
    <n v="279.02999999999997"/>
    <n v="48.1"/>
    <s v="Default"/>
    <n v="107"/>
    <x v="1"/>
  </r>
  <r>
    <x v="398"/>
    <s v="BRW-0331"/>
    <d v="2024-04-01T00:00:00"/>
    <x v="2"/>
    <n v="20400"/>
    <n v="36"/>
    <n v="12.24"/>
    <n v="679.91"/>
    <n v="60.2"/>
    <s v="Default"/>
    <n v="176"/>
    <x v="1"/>
  </r>
  <r>
    <x v="399"/>
    <s v="BRW-0332"/>
    <d v="2025-02-11T00:00:00"/>
    <x v="4"/>
    <n v="14900"/>
    <n v="24"/>
    <n v="14.15"/>
    <n v="716.45"/>
    <n v="32"/>
    <s v="Current"/>
    <n v="0"/>
    <x v="0"/>
  </r>
  <r>
    <x v="400"/>
    <s v="BRW-0333"/>
    <d v="2024-10-22T00:00:00"/>
    <x v="6"/>
    <n v="15500"/>
    <n v="60"/>
    <n v="8.4499999999999993"/>
    <n v="317.63"/>
    <n v="52.3"/>
    <s v="Current"/>
    <n v="0"/>
    <x v="0"/>
  </r>
  <r>
    <x v="401"/>
    <s v="BRW-0334"/>
    <d v="2024-08-05T00:00:00"/>
    <x v="7"/>
    <n v="20100"/>
    <n v="12"/>
    <n v="12.95"/>
    <n v="1794.81"/>
    <n v="55.1"/>
    <s v="Default"/>
    <n v="45"/>
    <x v="1"/>
  </r>
  <r>
    <x v="402"/>
    <s v="BRW-0335"/>
    <d v="2024-04-21T00:00:00"/>
    <x v="7"/>
    <n v="34700"/>
    <n v="48"/>
    <n v="10.54"/>
    <n v="889.11"/>
    <n v="29.1"/>
    <s v="Current"/>
    <n v="0"/>
    <x v="0"/>
  </r>
  <r>
    <x v="403"/>
    <s v="BRW-0336"/>
    <d v="2024-04-13T00:00:00"/>
    <x v="3"/>
    <n v="3400"/>
    <n v="24"/>
    <n v="10.039999999999999"/>
    <n v="156.96"/>
    <n v="13.2"/>
    <s v="Default"/>
    <n v="98"/>
    <x v="1"/>
  </r>
  <r>
    <x v="404"/>
    <s v="BRW-0337"/>
    <d v="2025-06-18T00:00:00"/>
    <x v="8"/>
    <n v="39900"/>
    <n v="12"/>
    <n v="7.25"/>
    <n v="3457.02"/>
    <n v="77.599999999999994"/>
    <s v="Current"/>
    <n v="0"/>
    <x v="0"/>
  </r>
  <r>
    <x v="405"/>
    <s v="BRW-0338"/>
    <d v="2024-12-10T00:00:00"/>
    <x v="3"/>
    <n v="24700"/>
    <n v="36"/>
    <n v="12.46"/>
    <n v="825.83"/>
    <n v="23.3"/>
    <s v="Late"/>
    <n v="15"/>
    <x v="0"/>
  </r>
  <r>
    <x v="406"/>
    <s v="BRW-0338"/>
    <d v="2024-12-30T00:00:00"/>
    <x v="7"/>
    <n v="33900"/>
    <n v="48"/>
    <n v="12.49"/>
    <n v="900.89"/>
    <n v="24.2"/>
    <s v="Current"/>
    <n v="0"/>
    <x v="0"/>
  </r>
  <r>
    <x v="407"/>
    <s v="BRW-0339"/>
    <d v="2024-05-05T00:00:00"/>
    <x v="1"/>
    <n v="44600"/>
    <n v="24"/>
    <n v="6.46"/>
    <n v="1985.96"/>
    <n v="98.4"/>
    <s v="Late"/>
    <n v="0"/>
    <x v="0"/>
  </r>
  <r>
    <x v="408"/>
    <s v="BRW-0339"/>
    <d v="2024-07-11T00:00:00"/>
    <x v="7"/>
    <n v="25000"/>
    <n v="48"/>
    <n v="8.91"/>
    <n v="621.05999999999995"/>
    <n v="67.400000000000006"/>
    <s v="Default"/>
    <n v="112"/>
    <x v="1"/>
  </r>
  <r>
    <x v="409"/>
    <s v="BRW-0340"/>
    <d v="2024-08-27T00:00:00"/>
    <x v="4"/>
    <n v="48500"/>
    <n v="36"/>
    <n v="11.66"/>
    <n v="1603.03"/>
    <n v="75.900000000000006"/>
    <s v="Late"/>
    <n v="0"/>
    <x v="0"/>
  </r>
  <r>
    <x v="410"/>
    <s v="BRW-0341"/>
    <d v="2024-04-12T00:00:00"/>
    <x v="1"/>
    <n v="47200"/>
    <n v="48"/>
    <n v="13"/>
    <n v="1266.26"/>
    <n v="21.4"/>
    <s v="Current"/>
    <n v="0"/>
    <x v="0"/>
  </r>
  <r>
    <x v="411"/>
    <s v="BRW-0342"/>
    <d v="2025-05-24T00:00:00"/>
    <x v="2"/>
    <n v="39700"/>
    <n v="60"/>
    <n v="7.59"/>
    <n v="797.21"/>
    <n v="65.400000000000006"/>
    <s v="Late"/>
    <n v="0"/>
    <x v="0"/>
  </r>
  <r>
    <x v="412"/>
    <s v="BRW-0343"/>
    <d v="2024-09-03T00:00:00"/>
    <x v="0"/>
    <n v="17000"/>
    <n v="12"/>
    <n v="8.58"/>
    <n v="1483.37"/>
    <n v="33.700000000000003"/>
    <s v="Paid Off"/>
    <n v="0"/>
    <x v="0"/>
  </r>
  <r>
    <x v="413"/>
    <s v="BRW-0344"/>
    <d v="2024-11-30T00:00:00"/>
    <x v="6"/>
    <n v="36400"/>
    <n v="24"/>
    <n v="15.11"/>
    <n v="1766.82"/>
    <n v="37.6"/>
    <s v="Current"/>
    <n v="0"/>
    <x v="0"/>
  </r>
  <r>
    <x v="414"/>
    <s v="BRW-0345"/>
    <d v="2025-05-18T00:00:00"/>
    <x v="0"/>
    <n v="34200"/>
    <n v="24"/>
    <n v="15.53"/>
    <n v="1666.87"/>
    <n v="73.900000000000006"/>
    <s v="Default"/>
    <n v="115"/>
    <x v="1"/>
  </r>
  <r>
    <x v="415"/>
    <s v="BRW-0346"/>
    <d v="2025-01-25T00:00:00"/>
    <x v="9"/>
    <n v="22100"/>
    <n v="36"/>
    <n v="8.42"/>
    <n v="696.82"/>
    <n v="47.8"/>
    <s v="Paid Off"/>
    <n v="0"/>
    <x v="0"/>
  </r>
  <r>
    <x v="416"/>
    <s v="BRW-0346"/>
    <d v="2024-04-24T00:00:00"/>
    <x v="1"/>
    <n v="9800"/>
    <n v="12"/>
    <n v="7.99"/>
    <n v="852.44"/>
    <n v="54.2"/>
    <s v="Default"/>
    <n v="78"/>
    <x v="1"/>
  </r>
  <r>
    <x v="417"/>
    <s v="BRW-0347"/>
    <d v="2024-01-02T00:00:00"/>
    <x v="6"/>
    <n v="7000"/>
    <n v="36"/>
    <n v="11.75"/>
    <n v="231.67"/>
    <n v="26.4"/>
    <s v="Current"/>
    <n v="0"/>
    <x v="0"/>
  </r>
  <r>
    <x v="418"/>
    <s v="BRW-0348"/>
    <d v="2024-08-15T00:00:00"/>
    <x v="1"/>
    <n v="12900"/>
    <n v="24"/>
    <n v="12.02"/>
    <n v="607.37"/>
    <n v="26.4"/>
    <s v="Default"/>
    <n v="32"/>
    <x v="1"/>
  </r>
  <r>
    <x v="419"/>
    <s v="BRW-0349"/>
    <d v="2025-05-26T00:00:00"/>
    <x v="0"/>
    <n v="32200"/>
    <n v="36"/>
    <n v="10.02"/>
    <n v="1039.31"/>
    <n v="45.1"/>
    <s v="Current"/>
    <n v="0"/>
    <x v="0"/>
  </r>
  <r>
    <x v="420"/>
    <s v="BRW-0350"/>
    <d v="2025-05-04T00:00:00"/>
    <x v="8"/>
    <n v="11300"/>
    <n v="12"/>
    <n v="10.33"/>
    <n v="995.18"/>
    <n v="47.5"/>
    <s v="Current"/>
    <n v="0"/>
    <x v="0"/>
  </r>
  <r>
    <x v="421"/>
    <s v="BRW-0351"/>
    <d v="2024-08-18T00:00:00"/>
    <x v="8"/>
    <n v="18000"/>
    <n v="24"/>
    <n v="10.31"/>
    <n v="833.19"/>
    <n v="44.6"/>
    <s v="Paid Off"/>
    <n v="0"/>
    <x v="0"/>
  </r>
  <r>
    <x v="422"/>
    <s v="BRW-0351"/>
    <d v="2024-06-12T00:00:00"/>
    <x v="5"/>
    <n v="36900"/>
    <n v="36"/>
    <n v="10.99"/>
    <n v="1207.8800000000001"/>
    <n v="50.7"/>
    <s v="Current"/>
    <n v="0"/>
    <x v="0"/>
  </r>
  <r>
    <x v="423"/>
    <s v="BRW-0352"/>
    <d v="2024-10-16T00:00:00"/>
    <x v="4"/>
    <n v="20800"/>
    <n v="60"/>
    <n v="12.8"/>
    <n v="471.14"/>
    <n v="52.9"/>
    <s v="Paid Off"/>
    <n v="0"/>
    <x v="0"/>
  </r>
  <r>
    <x v="424"/>
    <s v="BRW-0353"/>
    <d v="2024-11-07T00:00:00"/>
    <x v="5"/>
    <n v="40000"/>
    <n v="12"/>
    <n v="10.08"/>
    <n v="3518.12"/>
    <n v="107.2"/>
    <s v="Current"/>
    <n v="0"/>
    <x v="0"/>
  </r>
  <r>
    <x v="425"/>
    <s v="BRW-0354"/>
    <d v="2024-01-10T00:00:00"/>
    <x v="3"/>
    <n v="12100"/>
    <n v="24"/>
    <n v="11.16"/>
    <n v="564.85"/>
    <n v="54.6"/>
    <s v="Late"/>
    <n v="15"/>
    <x v="0"/>
  </r>
  <r>
    <x v="426"/>
    <s v="BRW-0355"/>
    <d v="2024-04-08T00:00:00"/>
    <x v="5"/>
    <n v="49200"/>
    <n v="24"/>
    <n v="14.9"/>
    <n v="2383.21"/>
    <n v="69.400000000000006"/>
    <s v="Default"/>
    <n v="151"/>
    <x v="1"/>
  </r>
  <r>
    <x v="427"/>
    <s v="BRW-0356"/>
    <d v="2024-06-01T00:00:00"/>
    <x v="8"/>
    <n v="21600"/>
    <n v="36"/>
    <n v="8.8000000000000007"/>
    <n v="684.87"/>
    <n v="21.5"/>
    <s v="Current"/>
    <n v="0"/>
    <x v="0"/>
  </r>
  <r>
    <x v="428"/>
    <s v="BRW-0357"/>
    <d v="2025-01-19T00:00:00"/>
    <x v="0"/>
    <n v="12000"/>
    <n v="24"/>
    <n v="13.61"/>
    <n v="573.95000000000005"/>
    <n v="46.6"/>
    <s v="Late"/>
    <n v="30"/>
    <x v="0"/>
  </r>
  <r>
    <x v="429"/>
    <s v="BRW-0358"/>
    <d v="2025-03-31T00:00:00"/>
    <x v="0"/>
    <n v="33200"/>
    <n v="36"/>
    <n v="10.3"/>
    <n v="1075.95"/>
    <n v="58.6"/>
    <s v="Current"/>
    <n v="0"/>
    <x v="0"/>
  </r>
  <r>
    <x v="430"/>
    <s v="BRW-0359"/>
    <d v="2024-04-06T00:00:00"/>
    <x v="2"/>
    <n v="30200"/>
    <n v="60"/>
    <n v="11.38"/>
    <n v="662.36"/>
    <n v="31.8"/>
    <s v="Current"/>
    <n v="0"/>
    <x v="0"/>
  </r>
  <r>
    <x v="431"/>
    <s v="BRW-0360"/>
    <d v="2024-07-08T00:00:00"/>
    <x v="1"/>
    <n v="8000"/>
    <n v="36"/>
    <n v="7.22"/>
    <n v="247.82"/>
    <n v="23.8"/>
    <s v="Current"/>
    <n v="0"/>
    <x v="0"/>
  </r>
  <r>
    <x v="432"/>
    <s v="BRW-0361"/>
    <d v="2024-05-07T00:00:00"/>
    <x v="2"/>
    <n v="26900"/>
    <n v="60"/>
    <n v="8.5299999999999994"/>
    <n v="552.28"/>
    <n v="51.9"/>
    <s v="Late"/>
    <n v="0"/>
    <x v="0"/>
  </r>
  <r>
    <x v="433"/>
    <s v="BRW-0361"/>
    <d v="2025-04-02T00:00:00"/>
    <x v="6"/>
    <n v="30800"/>
    <n v="24"/>
    <n v="5.86"/>
    <n v="1363.13"/>
    <n v="60.2"/>
    <s v="Current"/>
    <n v="0"/>
    <x v="0"/>
  </r>
  <r>
    <x v="434"/>
    <s v="BRW-0362"/>
    <d v="2024-05-07T00:00:00"/>
    <x v="5"/>
    <n v="14300"/>
    <n v="12"/>
    <n v="6.87"/>
    <n v="1236.48"/>
    <n v="23.6"/>
    <s v="Current"/>
    <n v="0"/>
    <x v="0"/>
  </r>
  <r>
    <x v="435"/>
    <s v="BRW-0363"/>
    <d v="2024-10-27T00:00:00"/>
    <x v="8"/>
    <n v="3900"/>
    <n v="60"/>
    <n v="13.91"/>
    <n v="90.56"/>
    <n v="24.5"/>
    <s v="Current"/>
    <n v="0"/>
    <x v="0"/>
  </r>
  <r>
    <x v="436"/>
    <s v="BRW-0364"/>
    <d v="2024-08-02T00:00:00"/>
    <x v="2"/>
    <n v="49800"/>
    <n v="60"/>
    <n v="8.52"/>
    <n v="1022.2"/>
    <n v="52.7"/>
    <s v="Current"/>
    <n v="0"/>
    <x v="0"/>
  </r>
  <r>
    <x v="437"/>
    <s v="BRW-0365"/>
    <d v="2024-08-09T00:00:00"/>
    <x v="5"/>
    <n v="24000"/>
    <n v="24"/>
    <n v="11.19"/>
    <n v="1120.71"/>
    <n v="77.8"/>
    <s v="Paid Off"/>
    <n v="0"/>
    <x v="0"/>
  </r>
  <r>
    <x v="438"/>
    <s v="BRW-0366"/>
    <d v="2024-03-26T00:00:00"/>
    <x v="2"/>
    <n v="9800"/>
    <n v="24"/>
    <n v="8.3800000000000008"/>
    <n v="444.93"/>
    <n v="29.8"/>
    <s v="Paid Off"/>
    <n v="0"/>
    <x v="0"/>
  </r>
  <r>
    <x v="439"/>
    <s v="BRW-0367"/>
    <d v="2025-06-07T00:00:00"/>
    <x v="7"/>
    <n v="26000"/>
    <n v="24"/>
    <n v="14.51"/>
    <n v="1254.6099999999999"/>
    <n v="61.7"/>
    <s v="Current"/>
    <n v="0"/>
    <x v="0"/>
  </r>
  <r>
    <x v="440"/>
    <s v="BRW-0368"/>
    <d v="2024-05-07T00:00:00"/>
    <x v="1"/>
    <n v="31700"/>
    <n v="24"/>
    <n v="6.22"/>
    <n v="1408.11"/>
    <n v="66.8"/>
    <s v="Current"/>
    <n v="0"/>
    <x v="0"/>
  </r>
  <r>
    <x v="441"/>
    <s v="BRW-0368"/>
    <d v="2024-05-29T00:00:00"/>
    <x v="4"/>
    <n v="18100"/>
    <n v="36"/>
    <n v="9.7200000000000006"/>
    <n v="581.66"/>
    <n v="44"/>
    <s v="Current"/>
    <n v="0"/>
    <x v="0"/>
  </r>
  <r>
    <x v="442"/>
    <s v="BRW-0369"/>
    <d v="2024-11-09T00:00:00"/>
    <x v="7"/>
    <n v="7000"/>
    <n v="12"/>
    <n v="8.5"/>
    <n v="610.54"/>
    <n v="54.8"/>
    <s v="Current"/>
    <n v="0"/>
    <x v="0"/>
  </r>
  <r>
    <x v="443"/>
    <s v="BRW-0370"/>
    <d v="2024-02-19T00:00:00"/>
    <x v="9"/>
    <n v="25100"/>
    <n v="60"/>
    <n v="10.83"/>
    <n v="543.61"/>
    <n v="68"/>
    <s v="Default"/>
    <n v="129"/>
    <x v="1"/>
  </r>
  <r>
    <x v="444"/>
    <s v="BRW-0371"/>
    <d v="2024-05-10T00:00:00"/>
    <x v="2"/>
    <n v="42100"/>
    <n v="48"/>
    <n v="11.95"/>
    <n v="1107.6199999999999"/>
    <n v="72.2"/>
    <s v="Default"/>
    <n v="161"/>
    <x v="1"/>
  </r>
  <r>
    <x v="445"/>
    <s v="BRW-0372"/>
    <d v="2025-01-14T00:00:00"/>
    <x v="5"/>
    <n v="14100"/>
    <n v="36"/>
    <n v="11.21"/>
    <n v="463.02"/>
    <n v="36.4"/>
    <s v="Late"/>
    <n v="0"/>
    <x v="0"/>
  </r>
  <r>
    <x v="446"/>
    <s v="BRW-0373"/>
    <d v="2024-10-09T00:00:00"/>
    <x v="5"/>
    <n v="17600"/>
    <n v="48"/>
    <n v="10.76"/>
    <n v="452.83"/>
    <n v="60.1"/>
    <s v="Paid Off"/>
    <n v="0"/>
    <x v="0"/>
  </r>
  <r>
    <x v="447"/>
    <s v="BRW-0374"/>
    <d v="2024-11-16T00:00:00"/>
    <x v="7"/>
    <n v="29700"/>
    <n v="36"/>
    <n v="8.4499999999999993"/>
    <n v="936.87"/>
    <n v="39.799999999999997"/>
    <s v="Current"/>
    <n v="0"/>
    <x v="0"/>
  </r>
  <r>
    <x v="448"/>
    <s v="BRW-0374"/>
    <d v="2024-10-19T00:00:00"/>
    <x v="7"/>
    <n v="9900"/>
    <n v="12"/>
    <n v="6.84"/>
    <n v="855.88"/>
    <n v="37.9"/>
    <s v="Paid Off"/>
    <n v="0"/>
    <x v="0"/>
  </r>
  <r>
    <x v="449"/>
    <s v="BRW-0375"/>
    <d v="2025-06-11T00:00:00"/>
    <x v="1"/>
    <n v="46800"/>
    <n v="24"/>
    <n v="10.46"/>
    <n v="2169.5300000000002"/>
    <n v="43.4"/>
    <s v="Current"/>
    <n v="0"/>
    <x v="0"/>
  </r>
  <r>
    <x v="450"/>
    <s v="BRW-0375"/>
    <d v="2024-12-19T00:00:00"/>
    <x v="6"/>
    <n v="31600"/>
    <n v="12"/>
    <n v="11.64"/>
    <n v="2802.3"/>
    <n v="50.1"/>
    <s v="Paid Off"/>
    <n v="0"/>
    <x v="0"/>
  </r>
  <r>
    <x v="451"/>
    <s v="BRW-0376"/>
    <d v="2025-06-20T00:00:00"/>
    <x v="2"/>
    <n v="3700"/>
    <n v="48"/>
    <n v="15.07"/>
    <n v="103.11"/>
    <n v="55.4"/>
    <s v="Current"/>
    <n v="0"/>
    <x v="0"/>
  </r>
  <r>
    <x v="452"/>
    <s v="BRW-0376"/>
    <d v="2024-06-23T00:00:00"/>
    <x v="5"/>
    <n v="33800"/>
    <n v="48"/>
    <n v="12.73"/>
    <n v="902.25"/>
    <n v="80.2"/>
    <s v="Default"/>
    <n v="58"/>
    <x v="1"/>
  </r>
  <r>
    <x v="453"/>
    <s v="BRW-0377"/>
    <d v="2025-05-09T00:00:00"/>
    <x v="7"/>
    <n v="42800"/>
    <n v="12"/>
    <n v="9.3699999999999992"/>
    <n v="3750.27"/>
    <n v="105.8"/>
    <s v="Paid Off"/>
    <n v="0"/>
    <x v="0"/>
  </r>
  <r>
    <x v="454"/>
    <s v="BRW-0378"/>
    <d v="2024-02-06T00:00:00"/>
    <x v="7"/>
    <n v="46600"/>
    <n v="60"/>
    <n v="11.4"/>
    <n v="1022.52"/>
    <n v="38"/>
    <s v="Late"/>
    <n v="15"/>
    <x v="0"/>
  </r>
  <r>
    <x v="455"/>
    <s v="BRW-0379"/>
    <d v="2024-12-24T00:00:00"/>
    <x v="8"/>
    <n v="17800"/>
    <n v="36"/>
    <n v="11.5"/>
    <n v="586.97"/>
    <n v="42.5"/>
    <s v="Current"/>
    <n v="0"/>
    <x v="0"/>
  </r>
  <r>
    <x v="456"/>
    <s v="BRW-0380"/>
    <d v="2025-05-14T00:00:00"/>
    <x v="0"/>
    <n v="14100"/>
    <n v="24"/>
    <n v="7.99"/>
    <n v="637.64"/>
    <n v="45.4"/>
    <s v="Default"/>
    <n v="94"/>
    <x v="1"/>
  </r>
  <r>
    <x v="457"/>
    <s v="BRW-0381"/>
    <d v="2024-10-02T00:00:00"/>
    <x v="1"/>
    <n v="11000"/>
    <n v="24"/>
    <n v="13.82"/>
    <n v="527.21"/>
    <n v="56.6"/>
    <s v="Default"/>
    <n v="142"/>
    <x v="1"/>
  </r>
  <r>
    <x v="458"/>
    <s v="BRW-0382"/>
    <d v="2024-07-22T00:00:00"/>
    <x v="0"/>
    <n v="19000"/>
    <n v="48"/>
    <n v="8.2100000000000009"/>
    <n v="465.72"/>
    <n v="17.600000000000001"/>
    <s v="Current"/>
    <n v="0"/>
    <x v="0"/>
  </r>
  <r>
    <x v="459"/>
    <s v="BRW-0383"/>
    <d v="2024-09-29T00:00:00"/>
    <x v="4"/>
    <n v="9700"/>
    <n v="24"/>
    <n v="10.74"/>
    <n v="450.93"/>
    <n v="20.3"/>
    <s v="Current"/>
    <n v="0"/>
    <x v="0"/>
  </r>
  <r>
    <x v="460"/>
    <s v="BRW-0384"/>
    <d v="2025-02-02T00:00:00"/>
    <x v="5"/>
    <n v="38700"/>
    <n v="48"/>
    <n v="9.99"/>
    <n v="981.35"/>
    <n v="27.2"/>
    <s v="Late"/>
    <n v="30"/>
    <x v="0"/>
  </r>
  <r>
    <x v="461"/>
    <s v="BRW-0385"/>
    <d v="2024-12-16T00:00:00"/>
    <x v="4"/>
    <n v="38800"/>
    <n v="24"/>
    <n v="11.03"/>
    <n v="1808.92"/>
    <n v="70.099999999999994"/>
    <s v="Default"/>
    <n v="32"/>
    <x v="1"/>
  </r>
  <r>
    <x v="462"/>
    <s v="BRW-0386"/>
    <d v="2024-06-05T00:00:00"/>
    <x v="3"/>
    <n v="6000"/>
    <n v="48"/>
    <n v="11.91"/>
    <n v="157.74"/>
    <n v="12.6"/>
    <s v="Current"/>
    <n v="0"/>
    <x v="0"/>
  </r>
  <r>
    <x v="463"/>
    <s v="BRW-0387"/>
    <d v="2024-04-15T00:00:00"/>
    <x v="3"/>
    <n v="13900"/>
    <n v="48"/>
    <n v="6.83"/>
    <n v="331.76"/>
    <n v="35.700000000000003"/>
    <s v="Current"/>
    <n v="0"/>
    <x v="0"/>
  </r>
  <r>
    <x v="464"/>
    <s v="BRW-0388"/>
    <d v="2024-02-09T00:00:00"/>
    <x v="9"/>
    <n v="9100"/>
    <n v="12"/>
    <n v="10.78"/>
    <n v="803.34"/>
    <n v="54.5"/>
    <s v="Default"/>
    <n v="79"/>
    <x v="1"/>
  </r>
  <r>
    <x v="465"/>
    <s v="BRW-0388"/>
    <d v="2025-01-24T00:00:00"/>
    <x v="5"/>
    <n v="31600"/>
    <n v="12"/>
    <n v="14.44"/>
    <n v="2843.82"/>
    <n v="80.7"/>
    <s v="Default"/>
    <n v="108"/>
    <x v="1"/>
  </r>
  <r>
    <x v="466"/>
    <s v="BRW-0389"/>
    <d v="2024-02-22T00:00:00"/>
    <x v="7"/>
    <n v="8800"/>
    <n v="12"/>
    <n v="9.35"/>
    <n v="771"/>
    <n v="36.200000000000003"/>
    <s v="Current"/>
    <n v="0"/>
    <x v="0"/>
  </r>
  <r>
    <x v="467"/>
    <s v="BRW-0390"/>
    <d v="2024-02-23T00:00:00"/>
    <x v="1"/>
    <n v="45000"/>
    <n v="24"/>
    <n v="9.1999999999999993"/>
    <n v="2059.9499999999998"/>
    <n v="72.5"/>
    <s v="Current"/>
    <n v="0"/>
    <x v="0"/>
  </r>
  <r>
    <x v="468"/>
    <s v="BRW-0391"/>
    <d v="2024-11-07T00:00:00"/>
    <x v="9"/>
    <n v="5800"/>
    <n v="48"/>
    <n v="12.35"/>
    <n v="153.72999999999999"/>
    <n v="57.8"/>
    <s v="Default"/>
    <n v="33"/>
    <x v="1"/>
  </r>
  <r>
    <x v="469"/>
    <s v="BRW-0392"/>
    <d v="2025-06-25T00:00:00"/>
    <x v="5"/>
    <n v="35100"/>
    <n v="36"/>
    <n v="14.46"/>
    <n v="1207.49"/>
    <n v="63.5"/>
    <s v="Current"/>
    <n v="0"/>
    <x v="0"/>
  </r>
  <r>
    <x v="470"/>
    <s v="BRW-0393"/>
    <d v="2024-07-14T00:00:00"/>
    <x v="6"/>
    <n v="8300"/>
    <n v="60"/>
    <n v="10.6"/>
    <n v="178.81"/>
    <n v="40"/>
    <s v="Default"/>
    <n v="144"/>
    <x v="1"/>
  </r>
  <r>
    <x v="471"/>
    <s v="BRW-0394"/>
    <d v="2024-07-25T00:00:00"/>
    <x v="6"/>
    <n v="26300"/>
    <n v="36"/>
    <n v="11.46"/>
    <n v="866.77"/>
    <n v="75.599999999999994"/>
    <s v="Current"/>
    <n v="0"/>
    <x v="0"/>
  </r>
  <r>
    <x v="472"/>
    <s v="BRW-0394"/>
    <d v="2025-01-09T00:00:00"/>
    <x v="1"/>
    <n v="8500"/>
    <n v="60"/>
    <n v="12.71"/>
    <n v="192.14"/>
    <n v="47.5"/>
    <s v="Paid Off"/>
    <n v="0"/>
    <x v="0"/>
  </r>
  <r>
    <x v="473"/>
    <s v="BRW-0395"/>
    <d v="2024-10-07T00:00:00"/>
    <x v="1"/>
    <n v="47700"/>
    <n v="12"/>
    <n v="10.97"/>
    <n v="4215.1400000000003"/>
    <n v="122"/>
    <s v="Current"/>
    <n v="0"/>
    <x v="0"/>
  </r>
  <r>
    <x v="474"/>
    <s v="BRW-0396"/>
    <d v="2024-03-17T00:00:00"/>
    <x v="7"/>
    <n v="21100"/>
    <n v="60"/>
    <n v="11.78"/>
    <n v="467.02"/>
    <n v="17.5"/>
    <s v="Current"/>
    <n v="0"/>
    <x v="0"/>
  </r>
  <r>
    <x v="475"/>
    <s v="BRW-0397"/>
    <d v="2024-08-11T00:00:00"/>
    <x v="1"/>
    <n v="11900"/>
    <n v="12"/>
    <n v="7.52"/>
    <n v="1032.52"/>
    <n v="17.600000000000001"/>
    <s v="Paid Off"/>
    <n v="0"/>
    <x v="0"/>
  </r>
  <r>
    <x v="476"/>
    <s v="BRW-0398"/>
    <d v="2024-10-30T00:00:00"/>
    <x v="2"/>
    <n v="27200"/>
    <n v="36"/>
    <n v="10.43"/>
    <n v="883.17"/>
    <n v="48.4"/>
    <s v="Current"/>
    <n v="0"/>
    <x v="0"/>
  </r>
  <r>
    <x v="477"/>
    <s v="BRW-0399"/>
    <d v="2024-10-03T00:00:00"/>
    <x v="7"/>
    <n v="32700"/>
    <n v="36"/>
    <n v="13.44"/>
    <n v="1108.74"/>
    <n v="24.4"/>
    <s v="Paid Off"/>
    <n v="0"/>
    <x v="0"/>
  </r>
  <r>
    <x v="478"/>
    <s v="BRW-0400"/>
    <d v="2025-01-12T00:00:00"/>
    <x v="7"/>
    <n v="2000"/>
    <n v="36"/>
    <n v="13.08"/>
    <n v="67.459999999999994"/>
    <n v="15.9"/>
    <s v="Late"/>
    <n v="15"/>
    <x v="0"/>
  </r>
  <r>
    <x v="479"/>
    <s v="BRW-0400"/>
    <d v="2024-02-28T00:00:00"/>
    <x v="3"/>
    <n v="15700"/>
    <n v="60"/>
    <n v="11.39"/>
    <n v="344.42"/>
    <n v="26.8"/>
    <s v="Current"/>
    <n v="0"/>
    <x v="0"/>
  </r>
  <r>
    <x v="480"/>
    <s v="BRW-0401"/>
    <d v="2024-04-18T00:00:00"/>
    <x v="3"/>
    <n v="21100"/>
    <n v="60"/>
    <n v="10.14"/>
    <n v="449.77"/>
    <n v="29.5"/>
    <s v="Paid Off"/>
    <n v="0"/>
    <x v="0"/>
  </r>
  <r>
    <x v="481"/>
    <s v="BRW-0402"/>
    <d v="2024-07-27T00:00:00"/>
    <x v="9"/>
    <n v="20300"/>
    <n v="24"/>
    <n v="8.6199999999999992"/>
    <n v="923.86"/>
    <n v="49.5"/>
    <s v="Paid Off"/>
    <n v="0"/>
    <x v="0"/>
  </r>
  <r>
    <x v="482"/>
    <s v="BRW-0403"/>
    <d v="2024-04-05T00:00:00"/>
    <x v="7"/>
    <n v="12500"/>
    <n v="24"/>
    <n v="14.99"/>
    <n v="606.02"/>
    <n v="82"/>
    <s v="Default"/>
    <n v="147"/>
    <x v="1"/>
  </r>
  <r>
    <x v="483"/>
    <s v="BRW-0404"/>
    <d v="2024-01-22T00:00:00"/>
    <x v="5"/>
    <n v="20000"/>
    <n v="24"/>
    <n v="11.22"/>
    <n v="934.2"/>
    <n v="48.3"/>
    <s v="Late"/>
    <n v="15"/>
    <x v="0"/>
  </r>
  <r>
    <x v="484"/>
    <s v="BRW-0405"/>
    <d v="2025-02-16T00:00:00"/>
    <x v="7"/>
    <n v="3600"/>
    <n v="24"/>
    <n v="9.51"/>
    <n v="165.31"/>
    <n v="25.2"/>
    <s v="Paid Off"/>
    <n v="0"/>
    <x v="0"/>
  </r>
  <r>
    <x v="485"/>
    <s v="BRW-0406"/>
    <d v="2024-02-14T00:00:00"/>
    <x v="9"/>
    <n v="20400"/>
    <n v="12"/>
    <n v="14.07"/>
    <n v="1832.33"/>
    <n v="59"/>
    <s v="Default"/>
    <n v="51"/>
    <x v="1"/>
  </r>
  <r>
    <x v="486"/>
    <s v="BRW-0406"/>
    <d v="2024-01-10T00:00:00"/>
    <x v="3"/>
    <n v="32100"/>
    <n v="12"/>
    <n v="13.9"/>
    <n v="2880.66"/>
    <n v="69.400000000000006"/>
    <s v="Paid Off"/>
    <n v="0"/>
    <x v="0"/>
  </r>
  <r>
    <x v="487"/>
    <s v="BRW-0407"/>
    <d v="2024-06-16T00:00:00"/>
    <x v="6"/>
    <n v="14900"/>
    <n v="60"/>
    <n v="14.61"/>
    <n v="351.43"/>
    <n v="48.8"/>
    <s v="Default"/>
    <n v="152"/>
    <x v="1"/>
  </r>
  <r>
    <x v="488"/>
    <s v="BRW-0408"/>
    <d v="2024-02-15T00:00:00"/>
    <x v="8"/>
    <n v="14800"/>
    <n v="60"/>
    <n v="6.52"/>
    <n v="289.72000000000003"/>
    <n v="37.6"/>
    <s v="Default"/>
    <n v="105"/>
    <x v="1"/>
  </r>
  <r>
    <x v="489"/>
    <s v="BRW-0409"/>
    <d v="2025-01-29T00:00:00"/>
    <x v="1"/>
    <n v="17800"/>
    <n v="12"/>
    <n v="11.9"/>
    <n v="1580.68"/>
    <n v="90.2"/>
    <s v="Default"/>
    <n v="103"/>
    <x v="1"/>
  </r>
  <r>
    <x v="490"/>
    <s v="BRW-0410"/>
    <d v="2024-04-22T00:00:00"/>
    <x v="1"/>
    <n v="36300"/>
    <n v="12"/>
    <n v="12.58"/>
    <n v="3235.07"/>
    <n v="72.099999999999994"/>
    <s v="Default"/>
    <n v="102"/>
    <x v="1"/>
  </r>
  <r>
    <x v="491"/>
    <s v="BRW-0411"/>
    <d v="2024-06-03T00:00:00"/>
    <x v="9"/>
    <n v="13100"/>
    <n v="12"/>
    <n v="13.53"/>
    <n v="1173.32"/>
    <n v="57.8"/>
    <s v="Default"/>
    <n v="165"/>
    <x v="1"/>
  </r>
  <r>
    <x v="492"/>
    <s v="BRW-0412"/>
    <d v="2024-10-20T00:00:00"/>
    <x v="5"/>
    <n v="6600"/>
    <n v="36"/>
    <n v="10.01"/>
    <n v="212.99"/>
    <n v="49.3"/>
    <s v="Paid Off"/>
    <n v="0"/>
    <x v="0"/>
  </r>
  <r>
    <x v="493"/>
    <s v="BRW-0413"/>
    <d v="2024-06-01T00:00:00"/>
    <x v="3"/>
    <n v="36100"/>
    <n v="12"/>
    <n v="12.48"/>
    <n v="3215.55"/>
    <n v="85.5"/>
    <s v="Current"/>
    <n v="0"/>
    <x v="0"/>
  </r>
  <r>
    <x v="494"/>
    <s v="BRW-0414"/>
    <d v="2024-10-12T00:00:00"/>
    <x v="0"/>
    <n v="7400"/>
    <n v="48"/>
    <n v="14.9"/>
    <n v="205.57"/>
    <n v="56.2"/>
    <s v="Default"/>
    <n v="112"/>
    <x v="1"/>
  </r>
  <r>
    <x v="495"/>
    <s v="BRW-0415"/>
    <d v="2025-02-27T00:00:00"/>
    <x v="5"/>
    <n v="18900"/>
    <n v="48"/>
    <n v="10.69"/>
    <n v="485.64"/>
    <n v="30.2"/>
    <s v="Current"/>
    <n v="0"/>
    <x v="0"/>
  </r>
  <r>
    <x v="496"/>
    <s v="BRW-0415"/>
    <d v="2025-06-29T00:00:00"/>
    <x v="7"/>
    <n v="28400"/>
    <n v="60"/>
    <n v="11.24"/>
    <n v="620.89"/>
    <n v="31.9"/>
    <s v="Current"/>
    <n v="0"/>
    <x v="0"/>
  </r>
  <r>
    <x v="497"/>
    <s v="BRW-0416"/>
    <d v="2024-08-28T00:00:00"/>
    <x v="2"/>
    <n v="35300"/>
    <n v="24"/>
    <n v="13.15"/>
    <n v="1680.71"/>
    <n v="62.3"/>
    <s v="Paid Off"/>
    <n v="0"/>
    <x v="0"/>
  </r>
  <r>
    <x v="498"/>
    <s v="BRW-0417"/>
    <d v="2025-01-04T00:00:00"/>
    <x v="0"/>
    <n v="46200"/>
    <n v="12"/>
    <n v="11.87"/>
    <n v="4102"/>
    <n v="155.30000000000001"/>
    <s v="Late"/>
    <n v="15"/>
    <x v="0"/>
  </r>
  <r>
    <x v="499"/>
    <s v="BRW-0418"/>
    <d v="2024-08-17T00:00:00"/>
    <x v="5"/>
    <n v="28500"/>
    <n v="48"/>
    <n v="9.76"/>
    <n v="719.55"/>
    <n v="53.9"/>
    <s v="Default"/>
    <n v="65"/>
    <x v="1"/>
  </r>
  <r>
    <x v="500"/>
    <s v="BRW-0419"/>
    <d v="2024-04-18T00:00:00"/>
    <x v="5"/>
    <n v="2300"/>
    <n v="48"/>
    <n v="11.06"/>
    <n v="59.51"/>
    <n v="31.5"/>
    <s v="Paid Off"/>
    <n v="0"/>
    <x v="0"/>
  </r>
  <r>
    <x v="501"/>
    <s v="BRW-0420"/>
    <d v="2025-03-02T00:00:00"/>
    <x v="8"/>
    <n v="8800"/>
    <n v="24"/>
    <n v="6.29"/>
    <n v="391.17"/>
    <n v="18.100000000000001"/>
    <s v="Paid Off"/>
    <n v="0"/>
    <x v="0"/>
  </r>
  <r>
    <x v="502"/>
    <s v="BRW-0420"/>
    <d v="2025-03-30T00:00:00"/>
    <x v="2"/>
    <n v="16400"/>
    <n v="48"/>
    <n v="9.51"/>
    <n v="412.1"/>
    <n v="18.399999999999999"/>
    <s v="Current"/>
    <n v="0"/>
    <x v="0"/>
  </r>
  <r>
    <x v="503"/>
    <s v="BRW-0421"/>
    <d v="2025-03-09T00:00:00"/>
    <x v="8"/>
    <n v="6800"/>
    <n v="24"/>
    <n v="10.29"/>
    <n v="314.7"/>
    <n v="24.5"/>
    <s v="Late"/>
    <n v="15"/>
    <x v="0"/>
  </r>
  <r>
    <x v="504"/>
    <s v="BRW-0422"/>
    <d v="2024-10-05T00:00:00"/>
    <x v="9"/>
    <n v="36000"/>
    <n v="48"/>
    <n v="14.34"/>
    <n v="989.9"/>
    <n v="56.2"/>
    <s v="Paid Off"/>
    <n v="0"/>
    <x v="0"/>
  </r>
  <r>
    <x v="505"/>
    <s v="BRW-0422"/>
    <d v="2024-07-07T00:00:00"/>
    <x v="5"/>
    <n v="21200"/>
    <n v="12"/>
    <n v="10.78"/>
    <n v="1871.52"/>
    <n v="67.400000000000006"/>
    <s v="Late"/>
    <n v="30"/>
    <x v="0"/>
  </r>
  <r>
    <x v="506"/>
    <s v="BRW-0423"/>
    <d v="2024-06-17T00:00:00"/>
    <x v="0"/>
    <n v="33300"/>
    <n v="48"/>
    <n v="10.34"/>
    <n v="850.02"/>
    <n v="45.4"/>
    <s v="Default"/>
    <n v="125"/>
    <x v="1"/>
  </r>
  <r>
    <x v="507"/>
    <s v="BRW-0424"/>
    <d v="2024-12-09T00:00:00"/>
    <x v="7"/>
    <n v="5100"/>
    <n v="36"/>
    <n v="9.5500000000000007"/>
    <n v="163.49"/>
    <n v="19.5"/>
    <s v="Default"/>
    <n v="102"/>
    <x v="1"/>
  </r>
  <r>
    <x v="508"/>
    <s v="BRW-0425"/>
    <d v="2024-07-25T00:00:00"/>
    <x v="6"/>
    <n v="17400"/>
    <n v="36"/>
    <n v="6.77"/>
    <n v="535.42999999999995"/>
    <n v="62.8"/>
    <s v="Current"/>
    <n v="0"/>
    <x v="0"/>
  </r>
  <r>
    <x v="509"/>
    <s v="BRW-0426"/>
    <d v="2024-11-18T00:00:00"/>
    <x v="9"/>
    <n v="10800"/>
    <n v="48"/>
    <n v="6.06"/>
    <n v="253.94"/>
    <n v="49"/>
    <s v="Default"/>
    <n v="109"/>
    <x v="1"/>
  </r>
  <r>
    <x v="510"/>
    <s v="BRW-0426"/>
    <d v="2024-11-18T00:00:00"/>
    <x v="8"/>
    <n v="34800"/>
    <n v="48"/>
    <n v="8.33"/>
    <n v="854.97"/>
    <n v="72.400000000000006"/>
    <s v="Paid Off"/>
    <n v="0"/>
    <x v="0"/>
  </r>
  <r>
    <x v="511"/>
    <s v="BRW-0427"/>
    <d v="2024-06-02T00:00:00"/>
    <x v="6"/>
    <n v="30100"/>
    <n v="60"/>
    <n v="9.49"/>
    <n v="632.01"/>
    <n v="61.9"/>
    <s v="Default"/>
    <n v="127"/>
    <x v="1"/>
  </r>
  <r>
    <x v="512"/>
    <s v="BRW-0428"/>
    <d v="2024-04-05T00:00:00"/>
    <x v="8"/>
    <n v="8700"/>
    <n v="48"/>
    <n v="8.9600000000000009"/>
    <n v="216.33"/>
    <n v="13.4"/>
    <s v="Current"/>
    <n v="0"/>
    <x v="0"/>
  </r>
  <r>
    <x v="513"/>
    <s v="BRW-0429"/>
    <d v="2025-06-19T00:00:00"/>
    <x v="5"/>
    <n v="7500"/>
    <n v="60"/>
    <n v="8.4600000000000009"/>
    <n v="153.72999999999999"/>
    <n v="21.5"/>
    <s v="Paid Off"/>
    <n v="0"/>
    <x v="0"/>
  </r>
  <r>
    <x v="514"/>
    <s v="BRW-0430"/>
    <d v="2025-01-31T00:00:00"/>
    <x v="4"/>
    <n v="47100"/>
    <n v="12"/>
    <n v="14.85"/>
    <n v="4247.83"/>
    <n v="64.8"/>
    <s v="Default"/>
    <n v="49"/>
    <x v="1"/>
  </r>
  <r>
    <x v="515"/>
    <s v="BRW-0431"/>
    <d v="2024-11-12T00:00:00"/>
    <x v="9"/>
    <n v="14000"/>
    <n v="12"/>
    <n v="10.029999999999999"/>
    <n v="1231.02"/>
    <n v="86"/>
    <s v="Late"/>
    <n v="30"/>
    <x v="0"/>
  </r>
  <r>
    <x v="516"/>
    <s v="BRW-0431"/>
    <d v="2024-06-14T00:00:00"/>
    <x v="6"/>
    <n v="11300"/>
    <n v="24"/>
    <n v="13.99"/>
    <n v="542.49"/>
    <n v="52.8"/>
    <s v="Default"/>
    <n v="177"/>
    <x v="1"/>
  </r>
  <r>
    <x v="517"/>
    <s v="BRW-0432"/>
    <d v="2025-04-29T00:00:00"/>
    <x v="6"/>
    <n v="11800"/>
    <n v="48"/>
    <n v="7.19"/>
    <n v="283.61"/>
    <n v="55.7"/>
    <s v="Current"/>
    <n v="0"/>
    <x v="0"/>
  </r>
  <r>
    <x v="518"/>
    <s v="BRW-0433"/>
    <d v="2025-02-14T00:00:00"/>
    <x v="6"/>
    <n v="25400"/>
    <n v="36"/>
    <n v="12.56"/>
    <n v="850.45"/>
    <n v="32.4"/>
    <s v="Late"/>
    <n v="0"/>
    <x v="0"/>
  </r>
  <r>
    <x v="519"/>
    <s v="BRW-0433"/>
    <d v="2025-02-27T00:00:00"/>
    <x v="0"/>
    <n v="42600"/>
    <n v="36"/>
    <n v="10.14"/>
    <n v="1377.38"/>
    <n v="37.6"/>
    <s v="Paid Off"/>
    <n v="0"/>
    <x v="0"/>
  </r>
  <r>
    <x v="520"/>
    <s v="BRW-0434"/>
    <d v="2024-01-09T00:00:00"/>
    <x v="9"/>
    <n v="4400"/>
    <n v="24"/>
    <n v="11.42"/>
    <n v="205.93"/>
    <n v="47.1"/>
    <s v="Current"/>
    <n v="0"/>
    <x v="0"/>
  </r>
  <r>
    <x v="521"/>
    <s v="BRW-0435"/>
    <d v="2025-04-24T00:00:00"/>
    <x v="6"/>
    <n v="12600"/>
    <n v="12"/>
    <n v="8.26"/>
    <n v="1097.57"/>
    <n v="77.8"/>
    <s v="Late"/>
    <n v="15"/>
    <x v="0"/>
  </r>
  <r>
    <x v="522"/>
    <s v="BRW-0436"/>
    <d v="2024-12-02T00:00:00"/>
    <x v="6"/>
    <n v="46300"/>
    <n v="48"/>
    <n v="8.98"/>
    <n v="1151.74"/>
    <n v="23.8"/>
    <s v="Late"/>
    <n v="0"/>
    <x v="0"/>
  </r>
  <r>
    <x v="523"/>
    <s v="BRW-0437"/>
    <d v="2025-04-26T00:00:00"/>
    <x v="0"/>
    <n v="8700"/>
    <n v="60"/>
    <n v="10.5"/>
    <n v="187"/>
    <n v="48.4"/>
    <s v="Default"/>
    <n v="84"/>
    <x v="1"/>
  </r>
  <r>
    <x v="524"/>
    <s v="BRW-0438"/>
    <d v="2025-01-05T00:00:00"/>
    <x v="8"/>
    <n v="39200"/>
    <n v="12"/>
    <n v="15.28"/>
    <n v="3543.31"/>
    <n v="124.5"/>
    <s v="Late"/>
    <n v="30"/>
    <x v="0"/>
  </r>
  <r>
    <x v="525"/>
    <s v="BRW-0439"/>
    <d v="2024-06-29T00:00:00"/>
    <x v="8"/>
    <n v="26200"/>
    <n v="36"/>
    <n v="7.23"/>
    <n v="811.74"/>
    <n v="59"/>
    <s v="Default"/>
    <n v="47"/>
    <x v="1"/>
  </r>
  <r>
    <x v="526"/>
    <s v="BRW-0440"/>
    <d v="2024-09-22T00:00:00"/>
    <x v="6"/>
    <n v="14900"/>
    <n v="48"/>
    <n v="10.77"/>
    <n v="383.44"/>
    <n v="32.4"/>
    <s v="Paid Off"/>
    <n v="0"/>
    <x v="0"/>
  </r>
  <r>
    <x v="527"/>
    <s v="BRW-0441"/>
    <d v="2024-06-13T00:00:00"/>
    <x v="3"/>
    <n v="8800"/>
    <n v="48"/>
    <n v="10.51"/>
    <n v="225.35"/>
    <n v="34.4"/>
    <s v="Paid Off"/>
    <n v="0"/>
    <x v="0"/>
  </r>
  <r>
    <x v="528"/>
    <s v="BRW-0442"/>
    <d v="2024-05-28T00:00:00"/>
    <x v="8"/>
    <n v="44900"/>
    <n v="24"/>
    <n v="6.22"/>
    <n v="1994.45"/>
    <n v="49.4"/>
    <s v="Late"/>
    <n v="30"/>
    <x v="0"/>
  </r>
  <r>
    <x v="529"/>
    <s v="BRW-0443"/>
    <d v="2024-11-20T00:00:00"/>
    <x v="4"/>
    <n v="12800"/>
    <n v="24"/>
    <n v="13.03"/>
    <n v="608.72"/>
    <n v="50.5"/>
    <s v="Default"/>
    <n v="134"/>
    <x v="1"/>
  </r>
  <r>
    <x v="530"/>
    <s v="BRW-0444"/>
    <d v="2024-04-09T00:00:00"/>
    <x v="8"/>
    <n v="47300"/>
    <n v="24"/>
    <n v="12.12"/>
    <n v="2229.23"/>
    <n v="90.1"/>
    <s v="Default"/>
    <n v="78"/>
    <x v="1"/>
  </r>
  <r>
    <x v="531"/>
    <s v="BRW-0445"/>
    <d v="2024-07-14T00:00:00"/>
    <x v="2"/>
    <n v="30800"/>
    <n v="24"/>
    <n v="10.36"/>
    <n v="1426.39"/>
    <n v="45.1"/>
    <s v="Current"/>
    <n v="0"/>
    <x v="0"/>
  </r>
  <r>
    <x v="532"/>
    <s v="BRW-0446"/>
    <d v="2025-04-11T00:00:00"/>
    <x v="8"/>
    <n v="16700"/>
    <n v="12"/>
    <n v="9.33"/>
    <n v="1463"/>
    <n v="32"/>
    <s v="Paid Off"/>
    <n v="0"/>
    <x v="0"/>
  </r>
  <r>
    <x v="533"/>
    <s v="BRW-0446"/>
    <d v="2025-04-14T00:00:00"/>
    <x v="1"/>
    <n v="38700"/>
    <n v="12"/>
    <n v="10.47"/>
    <n v="3410.81"/>
    <n v="57.4"/>
    <s v="Current"/>
    <n v="0"/>
    <x v="0"/>
  </r>
  <r>
    <x v="534"/>
    <s v="BRW-0447"/>
    <d v="2024-04-11T00:00:00"/>
    <x v="1"/>
    <n v="33700"/>
    <n v="48"/>
    <n v="9.89"/>
    <n v="852.94"/>
    <n v="15.6"/>
    <s v="Current"/>
    <n v="0"/>
    <x v="0"/>
  </r>
  <r>
    <x v="535"/>
    <s v="BRW-0448"/>
    <d v="2024-04-12T00:00:00"/>
    <x v="9"/>
    <n v="7000"/>
    <n v="60"/>
    <n v="12.74"/>
    <n v="158.34"/>
    <n v="10.5"/>
    <s v="Paid Off"/>
    <n v="0"/>
    <x v="0"/>
  </r>
  <r>
    <x v="536"/>
    <s v="BRW-0449"/>
    <d v="2024-07-19T00:00:00"/>
    <x v="1"/>
    <n v="23500"/>
    <n v="60"/>
    <n v="10.74"/>
    <n v="507.91"/>
    <n v="49.1"/>
    <s v="Late"/>
    <n v="30"/>
    <x v="0"/>
  </r>
  <r>
    <x v="537"/>
    <s v="BRW-0450"/>
    <d v="2025-01-18T00:00:00"/>
    <x v="0"/>
    <n v="30100"/>
    <n v="48"/>
    <n v="9.07"/>
    <n v="750.04"/>
    <n v="42.4"/>
    <s v="Current"/>
    <n v="0"/>
    <x v="0"/>
  </r>
  <r>
    <x v="538"/>
    <s v="BRW-0451"/>
    <d v="2024-01-05T00:00:00"/>
    <x v="3"/>
    <n v="40200"/>
    <n v="48"/>
    <n v="10.18"/>
    <n v="1023.05"/>
    <n v="52.7"/>
    <s v="Current"/>
    <n v="0"/>
    <x v="0"/>
  </r>
  <r>
    <x v="539"/>
    <s v="BRW-0452"/>
    <d v="2024-06-23T00:00:00"/>
    <x v="4"/>
    <n v="26900"/>
    <n v="60"/>
    <n v="11.75"/>
    <n v="594.98"/>
    <n v="45.4"/>
    <s v="Late"/>
    <n v="30"/>
    <x v="0"/>
  </r>
  <r>
    <x v="540"/>
    <s v="BRW-0453"/>
    <d v="2025-03-15T00:00:00"/>
    <x v="7"/>
    <n v="19600"/>
    <n v="12"/>
    <n v="11.67"/>
    <n v="1738.41"/>
    <n v="59.4"/>
    <s v="Default"/>
    <n v="129"/>
    <x v="1"/>
  </r>
  <r>
    <x v="541"/>
    <s v="BRW-0453"/>
    <d v="2024-04-11T00:00:00"/>
    <x v="5"/>
    <n v="12600"/>
    <n v="24"/>
    <n v="9.85"/>
    <n v="580.54999999999995"/>
    <n v="28.5"/>
    <s v="Current"/>
    <n v="0"/>
    <x v="0"/>
  </r>
  <r>
    <x v="542"/>
    <s v="BRW-0454"/>
    <d v="2024-06-11T00:00:00"/>
    <x v="1"/>
    <n v="32100"/>
    <n v="36"/>
    <n v="13.94"/>
    <n v="1096.17"/>
    <n v="61.3"/>
    <s v="Current"/>
    <n v="0"/>
    <x v="0"/>
  </r>
  <r>
    <x v="543"/>
    <s v="BRW-0455"/>
    <d v="2024-03-21T00:00:00"/>
    <x v="9"/>
    <n v="26800"/>
    <n v="60"/>
    <n v="13.19"/>
    <n v="612.39"/>
    <n v="56.8"/>
    <s v="Paid Off"/>
    <n v="0"/>
    <x v="0"/>
  </r>
  <r>
    <x v="544"/>
    <s v="BRW-0456"/>
    <d v="2024-09-08T00:00:00"/>
    <x v="4"/>
    <n v="13000"/>
    <n v="24"/>
    <n v="7.77"/>
    <n v="586.59"/>
    <n v="32.9"/>
    <s v="Current"/>
    <n v="0"/>
    <x v="0"/>
  </r>
  <r>
    <x v="545"/>
    <s v="BRW-0456"/>
    <d v="2024-04-15T00:00:00"/>
    <x v="3"/>
    <n v="12200"/>
    <n v="24"/>
    <n v="9.42"/>
    <n v="559.71"/>
    <n v="32"/>
    <s v="Late"/>
    <n v="15"/>
    <x v="0"/>
  </r>
  <r>
    <x v="546"/>
    <s v="BRW-0457"/>
    <d v="2024-07-31T00:00:00"/>
    <x v="3"/>
    <n v="6500"/>
    <n v="48"/>
    <n v="13.44"/>
    <n v="175.8"/>
    <n v="34.799999999999997"/>
    <s v="Current"/>
    <n v="0"/>
    <x v="0"/>
  </r>
  <r>
    <x v="547"/>
    <s v="BRW-0458"/>
    <d v="2025-04-06T00:00:00"/>
    <x v="6"/>
    <n v="19500"/>
    <n v="36"/>
    <n v="12.75"/>
    <n v="654.69000000000005"/>
    <n v="54.1"/>
    <s v="Current"/>
    <n v="0"/>
    <x v="0"/>
  </r>
  <r>
    <x v="548"/>
    <s v="BRW-0459"/>
    <d v="2024-12-21T00:00:00"/>
    <x v="9"/>
    <n v="43000"/>
    <n v="12"/>
    <n v="10.71"/>
    <n v="3794.6"/>
    <n v="79.900000000000006"/>
    <s v="Current"/>
    <n v="0"/>
    <x v="0"/>
  </r>
  <r>
    <x v="549"/>
    <s v="BRW-0460"/>
    <d v="2025-06-14T00:00:00"/>
    <x v="3"/>
    <n v="11300"/>
    <n v="12"/>
    <n v="9.33"/>
    <n v="989.93"/>
    <n v="70.8"/>
    <s v="Paid Off"/>
    <n v="0"/>
    <x v="0"/>
  </r>
  <r>
    <x v="550"/>
    <s v="BRW-0461"/>
    <d v="2024-05-09T00:00:00"/>
    <x v="7"/>
    <n v="5900"/>
    <n v="12"/>
    <n v="9.74"/>
    <n v="517.99"/>
    <n v="23.6"/>
    <s v="Paid Off"/>
    <n v="0"/>
    <x v="0"/>
  </r>
  <r>
    <x v="551"/>
    <s v="BRW-0462"/>
    <d v="2025-02-13T00:00:00"/>
    <x v="2"/>
    <n v="24400"/>
    <n v="48"/>
    <n v="11.75"/>
    <n v="639.54999999999995"/>
    <n v="47"/>
    <s v="Current"/>
    <n v="0"/>
    <x v="0"/>
  </r>
  <r>
    <x v="552"/>
    <s v="BRW-0463"/>
    <d v="2024-07-29T00:00:00"/>
    <x v="3"/>
    <n v="6900"/>
    <n v="60"/>
    <n v="10.039999999999999"/>
    <n v="146.74"/>
    <n v="38"/>
    <s v="Paid Off"/>
    <n v="0"/>
    <x v="0"/>
  </r>
  <r>
    <x v="553"/>
    <s v="BRW-0463"/>
    <d v="2025-01-27T00:00:00"/>
    <x v="1"/>
    <n v="14300"/>
    <n v="36"/>
    <n v="11.6"/>
    <n v="472.24"/>
    <n v="46.4"/>
    <s v="Current"/>
    <n v="0"/>
    <x v="0"/>
  </r>
  <r>
    <x v="554"/>
    <s v="BRW-0464"/>
    <d v="2025-02-23T00:00:00"/>
    <x v="6"/>
    <n v="44700"/>
    <n v="60"/>
    <n v="9.92"/>
    <n v="947.98"/>
    <n v="46.1"/>
    <s v="Late"/>
    <n v="0"/>
    <x v="0"/>
  </r>
  <r>
    <x v="555"/>
    <s v="BRW-0465"/>
    <d v="2024-07-09T00:00:00"/>
    <x v="4"/>
    <n v="4600"/>
    <n v="36"/>
    <n v="10.78"/>
    <n v="150.12"/>
    <n v="17.600000000000001"/>
    <s v="Late"/>
    <n v="0"/>
    <x v="0"/>
  </r>
  <r>
    <x v="556"/>
    <s v="BRW-0465"/>
    <d v="2024-01-12T00:00:00"/>
    <x v="4"/>
    <n v="6000"/>
    <n v="12"/>
    <n v="10.23"/>
    <n v="528.14"/>
    <n v="32.200000000000003"/>
    <s v="Current"/>
    <n v="0"/>
    <x v="0"/>
  </r>
  <r>
    <x v="557"/>
    <s v="BRW-0466"/>
    <d v="2024-08-10T00:00:00"/>
    <x v="7"/>
    <n v="20000"/>
    <n v="60"/>
    <n v="10.86"/>
    <n v="433.45"/>
    <n v="55.4"/>
    <s v="Default"/>
    <n v="101"/>
    <x v="1"/>
  </r>
  <r>
    <x v="558"/>
    <s v="BRW-0467"/>
    <d v="2024-11-23T00:00:00"/>
    <x v="6"/>
    <n v="33000"/>
    <n v="48"/>
    <n v="7.42"/>
    <n v="796.67"/>
    <n v="70.099999999999994"/>
    <s v="Default"/>
    <n v="42"/>
    <x v="1"/>
  </r>
  <r>
    <x v="559"/>
    <s v="BRW-0468"/>
    <d v="2024-06-24T00:00:00"/>
    <x v="0"/>
    <n v="4900"/>
    <n v="12"/>
    <n v="6.69"/>
    <n v="423.28"/>
    <n v="50"/>
    <s v="Current"/>
    <n v="0"/>
    <x v="0"/>
  </r>
  <r>
    <x v="560"/>
    <s v="BRW-0468"/>
    <d v="2025-04-17T00:00:00"/>
    <x v="8"/>
    <n v="15400"/>
    <n v="60"/>
    <n v="11.01"/>
    <n v="334.91"/>
    <n v="47"/>
    <s v="Current"/>
    <n v="0"/>
    <x v="0"/>
  </r>
  <r>
    <x v="561"/>
    <s v="BRW-0469"/>
    <d v="2025-03-01T00:00:00"/>
    <x v="2"/>
    <n v="5000"/>
    <n v="12"/>
    <n v="12.2"/>
    <n v="444.71"/>
    <n v="79.2"/>
    <s v="Paid Off"/>
    <n v="0"/>
    <x v="0"/>
  </r>
  <r>
    <x v="562"/>
    <s v="BRW-0469"/>
    <d v="2025-02-06T00:00:00"/>
    <x v="1"/>
    <n v="6300"/>
    <n v="48"/>
    <n v="12.91"/>
    <n v="168.73"/>
    <n v="62"/>
    <s v="Default"/>
    <n v="146"/>
    <x v="1"/>
  </r>
  <r>
    <x v="563"/>
    <s v="BRW-0470"/>
    <d v="2024-02-18T00:00:00"/>
    <x v="6"/>
    <n v="47000"/>
    <n v="12"/>
    <n v="6.91"/>
    <n v="4064.81"/>
    <n v="102.4"/>
    <s v="Paid Off"/>
    <n v="0"/>
    <x v="0"/>
  </r>
  <r>
    <x v="564"/>
    <s v="BRW-0471"/>
    <d v="2024-01-06T00:00:00"/>
    <x v="1"/>
    <n v="6200"/>
    <n v="36"/>
    <n v="11.68"/>
    <n v="204.98"/>
    <n v="33.5"/>
    <s v="Late"/>
    <n v="15"/>
    <x v="0"/>
  </r>
  <r>
    <x v="565"/>
    <s v="BRW-0471"/>
    <d v="2025-01-23T00:00:00"/>
    <x v="8"/>
    <n v="39200"/>
    <n v="12"/>
    <n v="8.92"/>
    <n v="3426.64"/>
    <n v="74"/>
    <s v="Default"/>
    <n v="73"/>
    <x v="1"/>
  </r>
  <r>
    <x v="566"/>
    <s v="BRW-0472"/>
    <d v="2025-02-27T00:00:00"/>
    <x v="9"/>
    <n v="5200"/>
    <n v="24"/>
    <n v="10.25"/>
    <n v="240.55"/>
    <n v="44.2"/>
    <s v="Current"/>
    <n v="0"/>
    <x v="0"/>
  </r>
  <r>
    <x v="567"/>
    <s v="BRW-0472"/>
    <d v="2025-05-09T00:00:00"/>
    <x v="7"/>
    <n v="22000"/>
    <n v="36"/>
    <n v="8.09"/>
    <n v="690.31"/>
    <n v="60.9"/>
    <s v="Current"/>
    <n v="0"/>
    <x v="0"/>
  </r>
  <r>
    <x v="568"/>
    <s v="BRW-0473"/>
    <d v="2024-03-17T00:00:00"/>
    <x v="2"/>
    <n v="13600"/>
    <n v="24"/>
    <n v="13.16"/>
    <n v="647.59"/>
    <n v="38.700000000000003"/>
    <s v="Current"/>
    <n v="0"/>
    <x v="0"/>
  </r>
  <r>
    <x v="569"/>
    <s v="BRW-0474"/>
    <d v="2025-06-24T00:00:00"/>
    <x v="1"/>
    <n v="6100"/>
    <n v="24"/>
    <n v="10.25"/>
    <n v="282.19"/>
    <n v="47.8"/>
    <s v="Paid Off"/>
    <n v="0"/>
    <x v="0"/>
  </r>
  <r>
    <x v="570"/>
    <s v="BRW-0475"/>
    <d v="2025-01-07T00:00:00"/>
    <x v="5"/>
    <n v="7100"/>
    <n v="24"/>
    <n v="7.01"/>
    <n v="317.92"/>
    <n v="40"/>
    <s v="Late"/>
    <n v="0"/>
    <x v="0"/>
  </r>
  <r>
    <x v="571"/>
    <s v="BRW-0476"/>
    <d v="2024-04-14T00:00:00"/>
    <x v="1"/>
    <n v="10300"/>
    <n v="24"/>
    <n v="11.51"/>
    <n v="482.5"/>
    <n v="26.9"/>
    <s v="Late"/>
    <n v="15"/>
    <x v="0"/>
  </r>
  <r>
    <x v="572"/>
    <s v="BRW-0477"/>
    <d v="2024-09-28T00:00:00"/>
    <x v="0"/>
    <n v="2900"/>
    <n v="60"/>
    <n v="8.6300000000000008"/>
    <n v="59.68"/>
    <n v="34.799999999999997"/>
    <s v="Current"/>
    <n v="0"/>
    <x v="0"/>
  </r>
  <r>
    <x v="573"/>
    <s v="BRW-0478"/>
    <d v="2025-01-13T00:00:00"/>
    <x v="1"/>
    <n v="26400"/>
    <n v="12"/>
    <n v="8.7899999999999991"/>
    <n v="2306.15"/>
    <n v="39.1"/>
    <s v="Paid Off"/>
    <n v="0"/>
    <x v="0"/>
  </r>
  <r>
    <x v="574"/>
    <s v="BRW-0479"/>
    <d v="2025-05-20T00:00:00"/>
    <x v="3"/>
    <n v="7000"/>
    <n v="36"/>
    <n v="12.5"/>
    <n v="234.18"/>
    <n v="43"/>
    <s v="Current"/>
    <n v="0"/>
    <x v="0"/>
  </r>
  <r>
    <x v="575"/>
    <s v="BRW-0480"/>
    <d v="2024-09-01T00:00:00"/>
    <x v="6"/>
    <n v="3600"/>
    <n v="12"/>
    <n v="9.94"/>
    <n v="316.39999999999998"/>
    <n v="55.8"/>
    <s v="Default"/>
    <n v="55"/>
    <x v="1"/>
  </r>
  <r>
    <x v="576"/>
    <s v="BRW-0481"/>
    <d v="2024-10-01T00:00:00"/>
    <x v="9"/>
    <n v="21400"/>
    <n v="48"/>
    <n v="6.99"/>
    <n v="512.35"/>
    <n v="12.1"/>
    <s v="Current"/>
    <n v="0"/>
    <x v="0"/>
  </r>
  <r>
    <x v="577"/>
    <s v="BRW-0482"/>
    <d v="2025-05-03T00:00:00"/>
    <x v="9"/>
    <n v="2100"/>
    <n v="24"/>
    <n v="10.25"/>
    <n v="97.15"/>
    <n v="12.6"/>
    <s v="Late"/>
    <n v="15"/>
    <x v="0"/>
  </r>
  <r>
    <x v="578"/>
    <s v="BRW-0483"/>
    <d v="2024-01-14T00:00:00"/>
    <x v="6"/>
    <n v="8200"/>
    <n v="48"/>
    <n v="10.09"/>
    <n v="208.33"/>
    <n v="54.1"/>
    <s v="Current"/>
    <n v="0"/>
    <x v="0"/>
  </r>
  <r>
    <x v="579"/>
    <s v="BRW-0484"/>
    <d v="2025-04-30T00:00:00"/>
    <x v="6"/>
    <n v="27600"/>
    <n v="12"/>
    <n v="8.84"/>
    <n v="2411.61"/>
    <n v="66.900000000000006"/>
    <s v="Current"/>
    <n v="0"/>
    <x v="0"/>
  </r>
  <r>
    <x v="580"/>
    <s v="BRW-0484"/>
    <d v="2025-06-21T00:00:00"/>
    <x v="6"/>
    <n v="2400"/>
    <n v="36"/>
    <n v="10.039999999999999"/>
    <n v="77.489999999999995"/>
    <n v="27.3"/>
    <s v="Paid Off"/>
    <n v="0"/>
    <x v="0"/>
  </r>
  <r>
    <x v="581"/>
    <s v="BRW-0485"/>
    <d v="2025-05-13T00:00:00"/>
    <x v="4"/>
    <n v="37300"/>
    <n v="60"/>
    <n v="7.5"/>
    <n v="747.42"/>
    <n v="22.9"/>
    <s v="Paid Off"/>
    <n v="0"/>
    <x v="0"/>
  </r>
  <r>
    <x v="582"/>
    <s v="BRW-0486"/>
    <d v="2024-10-03T00:00:00"/>
    <x v="4"/>
    <n v="39200"/>
    <n v="60"/>
    <n v="11.84"/>
    <n v="868.82"/>
    <n v="60.1"/>
    <s v="Current"/>
    <n v="0"/>
    <x v="0"/>
  </r>
  <r>
    <x v="583"/>
    <s v="BRW-0487"/>
    <d v="2025-03-17T00:00:00"/>
    <x v="7"/>
    <n v="8800"/>
    <n v="48"/>
    <n v="5.99"/>
    <n v="206.63"/>
    <n v="22.5"/>
    <s v="Current"/>
    <n v="0"/>
    <x v="0"/>
  </r>
  <r>
    <x v="584"/>
    <s v="BRW-0487"/>
    <d v="2025-04-05T00:00:00"/>
    <x v="1"/>
    <n v="48300"/>
    <n v="60"/>
    <n v="10.33"/>
    <n v="1034.0899999999999"/>
    <n v="32.700000000000003"/>
    <s v="Late"/>
    <n v="15"/>
    <x v="0"/>
  </r>
  <r>
    <x v="585"/>
    <s v="BRW-0488"/>
    <d v="2024-10-09T00:00:00"/>
    <x v="4"/>
    <n v="20800"/>
    <n v="48"/>
    <n v="14.43"/>
    <n v="572.89"/>
    <n v="47.4"/>
    <s v="Current"/>
    <n v="0"/>
    <x v="0"/>
  </r>
  <r>
    <x v="586"/>
    <s v="BRW-0488"/>
    <d v="2024-12-21T00:00:00"/>
    <x v="4"/>
    <n v="7900"/>
    <n v="48"/>
    <n v="12.53"/>
    <n v="210.1"/>
    <n v="40.5"/>
    <s v="Late"/>
    <n v="30"/>
    <x v="0"/>
  </r>
  <r>
    <x v="587"/>
    <s v="BRW-0489"/>
    <d v="2024-06-15T00:00:00"/>
    <x v="0"/>
    <n v="27100"/>
    <n v="36"/>
    <n v="9.3699999999999992"/>
    <n v="866.45"/>
    <n v="23.2"/>
    <s v="Paid Off"/>
    <n v="0"/>
    <x v="0"/>
  </r>
  <r>
    <x v="588"/>
    <s v="BRW-0490"/>
    <d v="2024-11-09T00:00:00"/>
    <x v="8"/>
    <n v="41600"/>
    <n v="12"/>
    <n v="6.52"/>
    <n v="3590.31"/>
    <n v="72.7"/>
    <s v="Default"/>
    <n v="120"/>
    <x v="1"/>
  </r>
  <r>
    <x v="589"/>
    <s v="BRW-0491"/>
    <d v="2025-05-29T00:00:00"/>
    <x v="8"/>
    <n v="4800"/>
    <n v="36"/>
    <n v="9.7799999999999994"/>
    <n v="154.38999999999999"/>
    <n v="40"/>
    <s v="Current"/>
    <n v="0"/>
    <x v="0"/>
  </r>
  <r>
    <x v="590"/>
    <s v="BRW-0492"/>
    <d v="2024-03-23T00:00:00"/>
    <x v="3"/>
    <n v="13200"/>
    <n v="48"/>
    <n v="13.58"/>
    <n v="357.93"/>
    <n v="49.4"/>
    <s v="Default"/>
    <n v="38"/>
    <x v="1"/>
  </r>
  <r>
    <x v="591"/>
    <s v="BRW-0493"/>
    <d v="2024-04-10T00:00:00"/>
    <x v="4"/>
    <n v="10000"/>
    <n v="48"/>
    <n v="9.58"/>
    <n v="251.61"/>
    <n v="38.700000000000003"/>
    <s v="Late"/>
    <n v="15"/>
    <x v="0"/>
  </r>
  <r>
    <x v="592"/>
    <s v="BRW-0494"/>
    <d v="2024-07-23T00:00:00"/>
    <x v="1"/>
    <n v="17500"/>
    <n v="60"/>
    <n v="9.65"/>
    <n v="368.82"/>
    <n v="30.8"/>
    <s v="Current"/>
    <n v="0"/>
    <x v="0"/>
  </r>
  <r>
    <x v="593"/>
    <s v="BRW-0495"/>
    <d v="2025-03-23T00:00:00"/>
    <x v="3"/>
    <n v="26400"/>
    <n v="60"/>
    <n v="11.87"/>
    <n v="585.52"/>
    <n v="52.7"/>
    <s v="Default"/>
    <n v="164"/>
    <x v="1"/>
  </r>
  <r>
    <x v="594"/>
    <s v="BRW-0496"/>
    <d v="2025-03-13T00:00:00"/>
    <x v="4"/>
    <n v="34900"/>
    <n v="36"/>
    <n v="11.33"/>
    <n v="1148.04"/>
    <n v="69.7"/>
    <s v="Late"/>
    <n v="30"/>
    <x v="0"/>
  </r>
  <r>
    <x v="595"/>
    <s v="BRW-0497"/>
    <d v="2024-11-05T00:00:00"/>
    <x v="8"/>
    <n v="22200"/>
    <n v="24"/>
    <n v="10.19"/>
    <n v="1026.3699999999999"/>
    <n v="55"/>
    <s v="Current"/>
    <n v="0"/>
    <x v="0"/>
  </r>
  <r>
    <x v="596"/>
    <s v="BRW-0497"/>
    <d v="2025-02-06T00:00:00"/>
    <x v="9"/>
    <n v="29100"/>
    <n v="36"/>
    <n v="7.38"/>
    <n v="903.59"/>
    <n v="52.3"/>
    <s v="Default"/>
    <n v="31"/>
    <x v="1"/>
  </r>
  <r>
    <x v="597"/>
    <s v="BRW-0498"/>
    <d v="2024-04-19T00:00:00"/>
    <x v="2"/>
    <n v="4600"/>
    <n v="12"/>
    <n v="7.27"/>
    <n v="398.6"/>
    <n v="32.4"/>
    <s v="Current"/>
    <n v="0"/>
    <x v="0"/>
  </r>
  <r>
    <x v="598"/>
    <s v="BRW-0499"/>
    <d v="2024-02-24T00:00:00"/>
    <x v="4"/>
    <n v="7800"/>
    <n v="60"/>
    <n v="9.86"/>
    <n v="165.19"/>
    <n v="28.8"/>
    <s v="Current"/>
    <n v="0"/>
    <x v="0"/>
  </r>
  <r>
    <x v="599"/>
    <s v="BRW-0500"/>
    <d v="2024-11-14T00:00:00"/>
    <x v="5"/>
    <n v="26400"/>
    <n v="24"/>
    <n v="11.44"/>
    <n v="1235.8499999999999"/>
    <n v="73.2"/>
    <s v="Late"/>
    <n v="15"/>
    <x v="0"/>
  </r>
  <r>
    <x v="600"/>
    <s v="BRW-0500"/>
    <d v="2024-05-03T00:00:00"/>
    <x v="9"/>
    <n v="7500"/>
    <n v="12"/>
    <n v="10.7"/>
    <n v="661.81"/>
    <n v="62.9"/>
    <s v="Current"/>
    <n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s v="BRW-0001"/>
    <d v="2024-01-08T00:00:00"/>
    <s v="Vacation"/>
    <n v="16100"/>
    <n v="36"/>
    <n v="13.05"/>
    <n v="542.86"/>
    <n v="55.5"/>
    <s v="Paid Off"/>
    <n v="0"/>
    <x v="0"/>
    <x v="0"/>
  </r>
  <r>
    <x v="1"/>
    <s v="BRW-0001"/>
    <d v="2024-08-13T00:00:00"/>
    <s v="Major Purchase"/>
    <n v="5600"/>
    <n v="48"/>
    <n v="14.21"/>
    <n v="153.62"/>
    <n v="40.4"/>
    <s v="Default"/>
    <n v="138"/>
    <x v="1"/>
    <x v="1"/>
  </r>
  <r>
    <x v="2"/>
    <s v="BRW-0002"/>
    <d v="2025-06-28T00:00:00"/>
    <s v="Moving"/>
    <n v="44700"/>
    <n v="36"/>
    <n v="12.37"/>
    <n v="1492.59"/>
    <n v="70.5"/>
    <s v="Paid Off"/>
    <n v="0"/>
    <x v="0"/>
    <x v="0"/>
  </r>
  <r>
    <x v="3"/>
    <s v="BRW-0003"/>
    <d v="2025-05-18T00:00:00"/>
    <s v="Auto Loan"/>
    <n v="9200"/>
    <n v="48"/>
    <n v="11.18"/>
    <n v="238.58"/>
    <n v="59.8"/>
    <s v="Default"/>
    <n v="34"/>
    <x v="1"/>
    <x v="0"/>
  </r>
  <r>
    <x v="4"/>
    <s v="BRW-0004"/>
    <d v="2025-03-24T00:00:00"/>
    <s v="Moving"/>
    <n v="11200"/>
    <n v="36"/>
    <n v="9.66"/>
    <n v="359.61"/>
    <n v="44.1"/>
    <s v="Current"/>
    <n v="0"/>
    <x v="0"/>
    <x v="1"/>
  </r>
  <r>
    <x v="5"/>
    <s v="BRW-0005"/>
    <d v="2025-04-19T00:00:00"/>
    <s v="Education"/>
    <n v="28600"/>
    <n v="48"/>
    <n v="13.07"/>
    <n v="768.26"/>
    <n v="37.1"/>
    <s v="Current"/>
    <n v="0"/>
    <x v="0"/>
    <x v="1"/>
  </r>
  <r>
    <x v="6"/>
    <s v="BRW-0006"/>
    <d v="2024-07-04T00:00:00"/>
    <s v="Medical Expenses"/>
    <n v="39200"/>
    <n v="12"/>
    <n v="10.23"/>
    <n v="3450.5"/>
    <n v="49.9"/>
    <s v="Paid Off"/>
    <n v="0"/>
    <x v="0"/>
    <x v="1"/>
  </r>
  <r>
    <x v="7"/>
    <s v="BRW-0007"/>
    <d v="2025-03-29T00:00:00"/>
    <s v="Home Improvement"/>
    <n v="36300"/>
    <n v="48"/>
    <n v="14.26"/>
    <n v="996.69"/>
    <n v="38.200000000000003"/>
    <s v="Default"/>
    <n v="38"/>
    <x v="1"/>
    <x v="1"/>
  </r>
  <r>
    <x v="8"/>
    <s v="BRW-0007"/>
    <d v="2024-08-01T00:00:00"/>
    <s v="Business Loan"/>
    <n v="39000"/>
    <n v="60"/>
    <n v="13.73"/>
    <n v="902.01"/>
    <n v="36.799999999999997"/>
    <s v="Current"/>
    <n v="0"/>
    <x v="0"/>
    <x v="1"/>
  </r>
  <r>
    <x v="9"/>
    <s v="BRW-0008"/>
    <d v="2024-11-01T00:00:00"/>
    <s v="Debt Consolidation"/>
    <n v="28400"/>
    <n v="12"/>
    <n v="11.88"/>
    <n v="2521.71"/>
    <n v="67.8"/>
    <s v="Default"/>
    <n v="43"/>
    <x v="1"/>
    <x v="0"/>
  </r>
  <r>
    <x v="10"/>
    <s v="BRW-0009"/>
    <d v="2024-06-20T00:00:00"/>
    <s v="Business Loan"/>
    <n v="13300"/>
    <n v="48"/>
    <n v="10.91"/>
    <n v="343.16"/>
    <n v="18.600000000000001"/>
    <s v="Current"/>
    <n v="0"/>
    <x v="0"/>
    <x v="2"/>
  </r>
  <r>
    <x v="11"/>
    <s v="BRW-0009"/>
    <d v="2024-06-07T00:00:00"/>
    <s v="Business Loan"/>
    <n v="2700"/>
    <n v="48"/>
    <n v="12.73"/>
    <n v="72.069999999999993"/>
    <n v="13.5"/>
    <s v="Current"/>
    <n v="0"/>
    <x v="0"/>
    <x v="2"/>
  </r>
  <r>
    <x v="12"/>
    <s v="BRW-0010"/>
    <d v="2024-06-06T00:00:00"/>
    <s v="Wedding"/>
    <n v="15700"/>
    <n v="12"/>
    <n v="6.57"/>
    <n v="1355.36"/>
    <n v="126"/>
    <s v="Current"/>
    <n v="0"/>
    <x v="0"/>
    <x v="3"/>
  </r>
  <r>
    <x v="13"/>
    <s v="BRW-0011"/>
    <d v="2024-01-22T00:00:00"/>
    <s v="Moving"/>
    <n v="38300"/>
    <n v="48"/>
    <n v="13.9"/>
    <n v="1044.68"/>
    <n v="63.6"/>
    <s v="Current"/>
    <n v="0"/>
    <x v="0"/>
    <x v="0"/>
  </r>
  <r>
    <x v="14"/>
    <s v="BRW-0012"/>
    <d v="2024-07-13T00:00:00"/>
    <s v="Vacation"/>
    <n v="28800"/>
    <n v="60"/>
    <n v="9.94"/>
    <n v="611.05999999999995"/>
    <n v="48.3"/>
    <s v="Current"/>
    <n v="0"/>
    <x v="0"/>
    <x v="1"/>
  </r>
  <r>
    <x v="15"/>
    <s v="BRW-0012"/>
    <d v="2025-06-27T00:00:00"/>
    <s v="Vacation"/>
    <n v="23700"/>
    <n v="60"/>
    <n v="7.25"/>
    <n v="472.09"/>
    <n v="44.5"/>
    <s v="Default"/>
    <n v="105"/>
    <x v="1"/>
    <x v="1"/>
  </r>
  <r>
    <x v="16"/>
    <s v="BRW-0013"/>
    <d v="2024-07-08T00:00:00"/>
    <s v="Moving"/>
    <n v="2000"/>
    <n v="60"/>
    <n v="11.65"/>
    <n v="44.14"/>
    <n v="18.8"/>
    <s v="Current"/>
    <n v="0"/>
    <x v="0"/>
    <x v="2"/>
  </r>
  <r>
    <x v="17"/>
    <s v="BRW-0013"/>
    <d v="2024-07-13T00:00:00"/>
    <s v="Wedding"/>
    <n v="34300"/>
    <n v="60"/>
    <n v="13.85"/>
    <n v="795.44"/>
    <n v="30.1"/>
    <s v="Current"/>
    <n v="0"/>
    <x v="0"/>
    <x v="1"/>
  </r>
  <r>
    <x v="18"/>
    <s v="BRW-0014"/>
    <d v="2024-03-09T00:00:00"/>
    <s v="Education"/>
    <n v="17500"/>
    <n v="12"/>
    <n v="8.4499999999999993"/>
    <n v="1525.94"/>
    <n v="41.4"/>
    <s v="Default"/>
    <n v="63"/>
    <x v="1"/>
    <x v="1"/>
  </r>
  <r>
    <x v="19"/>
    <s v="BRW-0015"/>
    <d v="2025-02-01T00:00:00"/>
    <s v="Debt Consolidation"/>
    <n v="20600"/>
    <n v="12"/>
    <n v="11.24"/>
    <n v="1822.97"/>
    <n v="52.5"/>
    <s v="Paid Off"/>
    <n v="0"/>
    <x v="0"/>
    <x v="0"/>
  </r>
  <r>
    <x v="20"/>
    <s v="BRW-0016"/>
    <d v="2024-08-01T00:00:00"/>
    <s v="Education"/>
    <n v="23100"/>
    <n v="12"/>
    <n v="15.15"/>
    <n v="2086.6"/>
    <n v="88.1"/>
    <s v="Late"/>
    <n v="15"/>
    <x v="0"/>
    <x v="4"/>
  </r>
  <r>
    <x v="21"/>
    <s v="BRW-0017"/>
    <d v="2024-02-29T00:00:00"/>
    <s v="Debt Consolidation"/>
    <n v="23300"/>
    <n v="48"/>
    <n v="13.03"/>
    <n v="625.42999999999995"/>
    <n v="69.400000000000006"/>
    <s v="Current"/>
    <n v="0"/>
    <x v="0"/>
    <x v="0"/>
  </r>
  <r>
    <x v="22"/>
    <s v="BRW-0018"/>
    <d v="2024-08-24T00:00:00"/>
    <s v="Auto Loan"/>
    <n v="7200"/>
    <n v="60"/>
    <n v="8.39"/>
    <n v="147.34"/>
    <n v="18.899999999999999"/>
    <s v="Current"/>
    <n v="0"/>
    <x v="0"/>
    <x v="2"/>
  </r>
  <r>
    <x v="23"/>
    <s v="BRW-0019"/>
    <d v="2025-01-01T00:00:00"/>
    <s v="Medical Expenses"/>
    <n v="13700"/>
    <n v="12"/>
    <n v="15.03"/>
    <n v="1236.73"/>
    <n v="112.8"/>
    <s v="Current"/>
    <n v="0"/>
    <x v="0"/>
    <x v="5"/>
  </r>
  <r>
    <x v="24"/>
    <s v="BRW-0020"/>
    <d v="2025-03-29T00:00:00"/>
    <s v="Medical Expenses"/>
    <n v="23300"/>
    <n v="24"/>
    <n v="12.02"/>
    <n v="1097.03"/>
    <n v="62.4"/>
    <s v="Late"/>
    <n v="15"/>
    <x v="0"/>
    <x v="0"/>
  </r>
  <r>
    <x v="25"/>
    <s v="BRW-0021"/>
    <d v="2024-08-07T00:00:00"/>
    <s v="Education"/>
    <n v="32400"/>
    <n v="36"/>
    <n v="13.31"/>
    <n v="1096.53"/>
    <n v="60"/>
    <s v="Default"/>
    <n v="170"/>
    <x v="1"/>
    <x v="0"/>
  </r>
  <r>
    <x v="26"/>
    <s v="BRW-0021"/>
    <d v="2024-02-05T00:00:00"/>
    <s v="Auto Loan"/>
    <n v="23700"/>
    <n v="48"/>
    <n v="10.27"/>
    <n v="604.16999999999996"/>
    <n v="51.7"/>
    <s v="Current"/>
    <n v="0"/>
    <x v="0"/>
    <x v="0"/>
  </r>
  <r>
    <x v="27"/>
    <s v="BRW-0022"/>
    <d v="2024-01-23T00:00:00"/>
    <s v="Auto Loan"/>
    <n v="7400"/>
    <n v="24"/>
    <n v="12.65"/>
    <n v="350.59"/>
    <n v="29.2"/>
    <s v="Late"/>
    <n v="15"/>
    <x v="0"/>
    <x v="1"/>
  </r>
  <r>
    <x v="28"/>
    <s v="BRW-0022"/>
    <d v="2024-02-08T00:00:00"/>
    <s v="Moving"/>
    <n v="13600"/>
    <n v="60"/>
    <n v="9.14"/>
    <n v="283.24"/>
    <n v="25.9"/>
    <s v="Current"/>
    <n v="0"/>
    <x v="0"/>
    <x v="1"/>
  </r>
  <r>
    <x v="29"/>
    <s v="BRW-0023"/>
    <d v="2024-08-10T00:00:00"/>
    <s v="Business Loan"/>
    <n v="34200"/>
    <n v="12"/>
    <n v="10.17"/>
    <n v="3009.43"/>
    <n v="87.7"/>
    <s v="Paid Off"/>
    <n v="0"/>
    <x v="0"/>
    <x v="4"/>
  </r>
  <r>
    <x v="30"/>
    <s v="BRW-0023"/>
    <d v="2024-04-07T00:00:00"/>
    <s v="Medical Expenses"/>
    <n v="45200"/>
    <n v="60"/>
    <n v="11.41"/>
    <n v="992.02"/>
    <n v="54.1"/>
    <s v="Paid Off"/>
    <n v="0"/>
    <x v="0"/>
    <x v="0"/>
  </r>
  <r>
    <x v="31"/>
    <s v="BRW-0024"/>
    <d v="2025-03-20T00:00:00"/>
    <s v="Home Improvement"/>
    <n v="46200"/>
    <n v="36"/>
    <n v="10.72"/>
    <n v="1506.41"/>
    <n v="47.5"/>
    <s v="Late"/>
    <n v="15"/>
    <x v="0"/>
    <x v="1"/>
  </r>
  <r>
    <x v="32"/>
    <s v="BRW-0025"/>
    <d v="2025-06-20T00:00:00"/>
    <s v="Wedding"/>
    <n v="32400"/>
    <n v="48"/>
    <n v="7.65"/>
    <n v="785.67"/>
    <n v="58.9"/>
    <s v="Default"/>
    <n v="168"/>
    <x v="1"/>
    <x v="0"/>
  </r>
  <r>
    <x v="33"/>
    <s v="BRW-0026"/>
    <d v="2025-02-06T00:00:00"/>
    <s v="Education"/>
    <n v="12400"/>
    <n v="12"/>
    <n v="14.05"/>
    <n v="1113.6500000000001"/>
    <n v="58.7"/>
    <s v="Current"/>
    <n v="0"/>
    <x v="0"/>
    <x v="0"/>
  </r>
  <r>
    <x v="34"/>
    <s v="BRW-0027"/>
    <d v="2025-05-02T00:00:00"/>
    <s v="Major Purchase"/>
    <n v="16400"/>
    <n v="24"/>
    <n v="8.51"/>
    <n v="745.55"/>
    <n v="53.8"/>
    <s v="Current"/>
    <n v="0"/>
    <x v="0"/>
    <x v="0"/>
  </r>
  <r>
    <x v="35"/>
    <s v="BRW-0028"/>
    <d v="2024-07-21T00:00:00"/>
    <s v="Moving"/>
    <n v="27100"/>
    <n v="24"/>
    <n v="8.64"/>
    <n v="1233.5899999999999"/>
    <n v="65.3"/>
    <s v="Current"/>
    <n v="0"/>
    <x v="0"/>
    <x v="0"/>
  </r>
  <r>
    <x v="36"/>
    <s v="BRW-0029"/>
    <d v="2024-04-01T00:00:00"/>
    <s v="Moving"/>
    <n v="5400"/>
    <n v="48"/>
    <n v="10.5"/>
    <n v="138.26"/>
    <n v="29.3"/>
    <s v="Default"/>
    <n v="135"/>
    <x v="1"/>
    <x v="1"/>
  </r>
  <r>
    <x v="37"/>
    <s v="BRW-0030"/>
    <d v="2024-06-22T00:00:00"/>
    <s v="Education"/>
    <n v="5500"/>
    <n v="12"/>
    <n v="14.25"/>
    <n v="494.48"/>
    <n v="77.2"/>
    <s v="Paid Off"/>
    <n v="0"/>
    <x v="0"/>
    <x v="4"/>
  </r>
  <r>
    <x v="38"/>
    <s v="BRW-0031"/>
    <d v="2025-01-17T00:00:00"/>
    <s v="Medical Expenses"/>
    <n v="46400"/>
    <n v="24"/>
    <n v="7.45"/>
    <n v="2086.9299999999998"/>
    <n v="42.1"/>
    <s v="Current"/>
    <n v="0"/>
    <x v="0"/>
    <x v="1"/>
  </r>
  <r>
    <x v="39"/>
    <s v="BRW-0032"/>
    <d v="2024-04-23T00:00:00"/>
    <s v="Business Loan"/>
    <n v="46500"/>
    <n v="36"/>
    <n v="10.02"/>
    <n v="1500.86"/>
    <n v="37.5"/>
    <s v="Current"/>
    <n v="0"/>
    <x v="0"/>
    <x v="1"/>
  </r>
  <r>
    <x v="40"/>
    <s v="BRW-0033"/>
    <d v="2024-05-24T00:00:00"/>
    <s v="Business Loan"/>
    <n v="16200"/>
    <n v="36"/>
    <n v="8.58"/>
    <n v="511.99"/>
    <n v="58.8"/>
    <s v="Current"/>
    <n v="0"/>
    <x v="0"/>
    <x v="0"/>
  </r>
  <r>
    <x v="41"/>
    <s v="BRW-0034"/>
    <d v="2024-10-04T00:00:00"/>
    <s v="Moving"/>
    <n v="4300"/>
    <n v="36"/>
    <n v="9.34"/>
    <n v="137.41999999999999"/>
    <n v="30.9"/>
    <s v="Default"/>
    <n v="32"/>
    <x v="1"/>
    <x v="1"/>
  </r>
  <r>
    <x v="42"/>
    <s v="BRW-0034"/>
    <d v="2024-01-20T00:00:00"/>
    <s v="Home Improvement"/>
    <n v="10500"/>
    <n v="36"/>
    <n v="12.65"/>
    <n v="352.02"/>
    <n v="36.799999999999997"/>
    <s v="Late"/>
    <n v="15"/>
    <x v="0"/>
    <x v="1"/>
  </r>
  <r>
    <x v="43"/>
    <s v="BRW-0035"/>
    <d v="2025-06-28T00:00:00"/>
    <s v="Moving"/>
    <n v="6800"/>
    <n v="36"/>
    <n v="12.32"/>
    <n v="226.9"/>
    <n v="18.399999999999999"/>
    <s v="Default"/>
    <n v="80"/>
    <x v="1"/>
    <x v="2"/>
  </r>
  <r>
    <x v="44"/>
    <s v="BRW-0035"/>
    <d v="2025-06-26T00:00:00"/>
    <s v="Moving"/>
    <n v="28900"/>
    <n v="12"/>
    <n v="10.1"/>
    <n v="2542.11"/>
    <n v="79.599999999999994"/>
    <s v="Default"/>
    <n v="155"/>
    <x v="1"/>
    <x v="4"/>
  </r>
  <r>
    <x v="45"/>
    <s v="BRW-0036"/>
    <d v="2024-08-29T00:00:00"/>
    <s v="Medical Expenses"/>
    <n v="12800"/>
    <n v="36"/>
    <n v="13.96"/>
    <n v="437.23"/>
    <n v="32.200000000000003"/>
    <s v="Late"/>
    <n v="30"/>
    <x v="0"/>
    <x v="1"/>
  </r>
  <r>
    <x v="46"/>
    <s v="BRW-0037"/>
    <d v="2024-10-13T00:00:00"/>
    <s v="Auto Loan"/>
    <n v="44700"/>
    <n v="12"/>
    <n v="14.32"/>
    <n v="4020.22"/>
    <n v="93.8"/>
    <s v="Default"/>
    <n v="117"/>
    <x v="1"/>
    <x v="4"/>
  </r>
  <r>
    <x v="47"/>
    <s v="BRW-0038"/>
    <d v="2024-08-20T00:00:00"/>
    <s v="Medical Expenses"/>
    <n v="5900"/>
    <n v="60"/>
    <n v="12.11"/>
    <n v="131.57"/>
    <n v="29.4"/>
    <s v="Current"/>
    <n v="0"/>
    <x v="0"/>
    <x v="1"/>
  </r>
  <r>
    <x v="48"/>
    <s v="BRW-0038"/>
    <d v="2024-05-21T00:00:00"/>
    <s v="Auto Loan"/>
    <n v="15100"/>
    <n v="60"/>
    <n v="8.41"/>
    <n v="309.14999999999998"/>
    <n v="36.5"/>
    <s v="Current"/>
    <n v="0"/>
    <x v="0"/>
    <x v="1"/>
  </r>
  <r>
    <x v="49"/>
    <s v="BRW-0039"/>
    <d v="2024-06-10T00:00:00"/>
    <s v="Moving"/>
    <n v="22600"/>
    <n v="24"/>
    <n v="10.199999999999999"/>
    <n v="1044.96"/>
    <n v="26.2"/>
    <s v="Paid Off"/>
    <n v="0"/>
    <x v="0"/>
    <x v="1"/>
  </r>
  <r>
    <x v="50"/>
    <s v="BRW-0040"/>
    <d v="2025-02-27T00:00:00"/>
    <s v="Education"/>
    <n v="9000"/>
    <n v="12"/>
    <n v="12.63"/>
    <n v="802.29"/>
    <n v="65.400000000000006"/>
    <s v="Paid Off"/>
    <n v="0"/>
    <x v="0"/>
    <x v="0"/>
  </r>
  <r>
    <x v="51"/>
    <s v="BRW-0041"/>
    <d v="2024-09-30T00:00:00"/>
    <s v="Auto Loan"/>
    <n v="11000"/>
    <n v="24"/>
    <n v="10.24"/>
    <n v="508.81"/>
    <n v="39.299999999999997"/>
    <s v="Current"/>
    <n v="0"/>
    <x v="0"/>
    <x v="1"/>
  </r>
  <r>
    <x v="52"/>
    <s v="BRW-0041"/>
    <d v="2025-04-25T00:00:00"/>
    <s v="Business Loan"/>
    <n v="19200"/>
    <n v="48"/>
    <n v="9.99"/>
    <n v="486.87"/>
    <n v="39.1"/>
    <s v="Paid Off"/>
    <n v="0"/>
    <x v="0"/>
    <x v="1"/>
  </r>
  <r>
    <x v="53"/>
    <s v="BRW-0042"/>
    <d v="2024-01-16T00:00:00"/>
    <s v="Medical Expenses"/>
    <n v="12900"/>
    <n v="48"/>
    <n v="10.39"/>
    <n v="329.6"/>
    <n v="10.9"/>
    <s v="Late"/>
    <n v="30"/>
    <x v="0"/>
    <x v="2"/>
  </r>
  <r>
    <x v="54"/>
    <s v="BRW-0043"/>
    <d v="2025-05-16T00:00:00"/>
    <s v="Business Loan"/>
    <n v="3900"/>
    <n v="48"/>
    <n v="13.92"/>
    <n v="106.42"/>
    <n v="41.3"/>
    <s v="Late"/>
    <n v="15"/>
    <x v="0"/>
    <x v="1"/>
  </r>
  <r>
    <x v="55"/>
    <s v="BRW-0044"/>
    <d v="2025-06-21T00:00:00"/>
    <s v="Debt Consolidation"/>
    <n v="41600"/>
    <n v="36"/>
    <n v="10.34"/>
    <n v="1348.97"/>
    <n v="31.5"/>
    <s v="Current"/>
    <n v="0"/>
    <x v="0"/>
    <x v="1"/>
  </r>
  <r>
    <x v="56"/>
    <s v="BRW-0045"/>
    <d v="2025-02-09T00:00:00"/>
    <s v="Vacation"/>
    <n v="4000"/>
    <n v="24"/>
    <n v="12.11"/>
    <n v="188.5"/>
    <n v="7.6"/>
    <s v="Current"/>
    <n v="0"/>
    <x v="0"/>
    <x v="2"/>
  </r>
  <r>
    <x v="57"/>
    <s v="BRW-0046"/>
    <d v="2024-10-19T00:00:00"/>
    <s v="Debt Consolidation"/>
    <n v="14400"/>
    <n v="36"/>
    <n v="12.3"/>
    <n v="480.35"/>
    <n v="38.700000000000003"/>
    <s v="Late"/>
    <n v="0"/>
    <x v="0"/>
    <x v="1"/>
  </r>
  <r>
    <x v="58"/>
    <s v="BRW-0047"/>
    <d v="2025-05-27T00:00:00"/>
    <s v="Moving"/>
    <n v="24300"/>
    <n v="48"/>
    <n v="6.29"/>
    <n v="573.91999999999996"/>
    <n v="28.8"/>
    <s v="Paid Off"/>
    <n v="0"/>
    <x v="0"/>
    <x v="1"/>
  </r>
  <r>
    <x v="59"/>
    <s v="BRW-0048"/>
    <d v="2024-07-25T00:00:00"/>
    <s v="Medical Expenses"/>
    <n v="15600"/>
    <n v="12"/>
    <n v="6.86"/>
    <n v="1348.81"/>
    <n v="64.900000000000006"/>
    <s v="Current"/>
    <n v="0"/>
    <x v="0"/>
    <x v="0"/>
  </r>
  <r>
    <x v="60"/>
    <s v="BRW-0049"/>
    <d v="2025-01-06T00:00:00"/>
    <s v="Medical Expenses"/>
    <n v="7900"/>
    <n v="12"/>
    <n v="13.28"/>
    <n v="706.64"/>
    <n v="53"/>
    <s v="Default"/>
    <n v="128"/>
    <x v="1"/>
    <x v="0"/>
  </r>
  <r>
    <x v="61"/>
    <s v="BRW-0050"/>
    <d v="2024-06-23T00:00:00"/>
    <s v="Moving"/>
    <n v="9700"/>
    <n v="60"/>
    <n v="8.32"/>
    <n v="198.17"/>
    <n v="13"/>
    <s v="Late"/>
    <n v="0"/>
    <x v="0"/>
    <x v="2"/>
  </r>
  <r>
    <x v="62"/>
    <s v="BRW-0051"/>
    <d v="2025-04-01T00:00:00"/>
    <s v="Medical Expenses"/>
    <n v="36200"/>
    <n v="48"/>
    <n v="7.37"/>
    <n v="873.08"/>
    <n v="53.3"/>
    <s v="Paid Off"/>
    <n v="0"/>
    <x v="0"/>
    <x v="0"/>
  </r>
  <r>
    <x v="63"/>
    <s v="BRW-0052"/>
    <d v="2025-05-25T00:00:00"/>
    <s v="Debt Consolidation"/>
    <n v="14100"/>
    <n v="48"/>
    <n v="12.22"/>
    <n v="372.83"/>
    <n v="43.4"/>
    <s v="Paid Off"/>
    <n v="0"/>
    <x v="0"/>
    <x v="1"/>
  </r>
  <r>
    <x v="64"/>
    <s v="BRW-0052"/>
    <d v="2024-03-22T00:00:00"/>
    <s v="Business Loan"/>
    <n v="26200"/>
    <n v="48"/>
    <n v="11.78"/>
    <n v="687.12"/>
    <n v="48.8"/>
    <s v="Paid Off"/>
    <n v="0"/>
    <x v="0"/>
    <x v="1"/>
  </r>
  <r>
    <x v="65"/>
    <s v="BRW-0053"/>
    <d v="2024-12-23T00:00:00"/>
    <s v="Moving"/>
    <n v="12000"/>
    <n v="24"/>
    <n v="9.39"/>
    <n v="550.37"/>
    <n v="18.600000000000001"/>
    <s v="Default"/>
    <n v="38"/>
    <x v="1"/>
    <x v="2"/>
  </r>
  <r>
    <x v="66"/>
    <s v="BRW-0054"/>
    <d v="2024-07-01T00:00:00"/>
    <s v="Wedding"/>
    <n v="37700"/>
    <n v="12"/>
    <n v="11.09"/>
    <n v="3333.57"/>
    <n v="72.599999999999994"/>
    <s v="Default"/>
    <n v="102"/>
    <x v="1"/>
    <x v="0"/>
  </r>
  <r>
    <x v="67"/>
    <s v="BRW-0055"/>
    <d v="2025-01-03T00:00:00"/>
    <s v="Wedding"/>
    <n v="29000"/>
    <n v="48"/>
    <n v="14.5"/>
    <n v="799.76"/>
    <n v="14.8"/>
    <s v="Current"/>
    <n v="0"/>
    <x v="0"/>
    <x v="2"/>
  </r>
  <r>
    <x v="68"/>
    <s v="BRW-0056"/>
    <d v="2025-04-27T00:00:00"/>
    <s v="Major Purchase"/>
    <n v="38400"/>
    <n v="60"/>
    <n v="7.84"/>
    <n v="775.68"/>
    <n v="63.1"/>
    <s v="Default"/>
    <n v="100"/>
    <x v="1"/>
    <x v="0"/>
  </r>
  <r>
    <x v="69"/>
    <s v="BRW-0057"/>
    <d v="2025-06-25T00:00:00"/>
    <s v="Major Purchase"/>
    <n v="20500"/>
    <n v="60"/>
    <n v="8.67"/>
    <n v="422.27"/>
    <n v="27.8"/>
    <s v="Late"/>
    <n v="0"/>
    <x v="0"/>
    <x v="1"/>
  </r>
  <r>
    <x v="70"/>
    <s v="BRW-0058"/>
    <d v="2024-12-28T00:00:00"/>
    <s v="Auto Loan"/>
    <n v="42700"/>
    <n v="36"/>
    <n v="13.49"/>
    <n v="1448.83"/>
    <n v="36.299999999999997"/>
    <s v="Current"/>
    <n v="0"/>
    <x v="0"/>
    <x v="1"/>
  </r>
  <r>
    <x v="71"/>
    <s v="BRW-0058"/>
    <d v="2024-10-24T00:00:00"/>
    <s v="Vacation"/>
    <n v="10600"/>
    <n v="60"/>
    <n v="12.03"/>
    <n v="235.95"/>
    <n v="17.7"/>
    <s v="Current"/>
    <n v="0"/>
    <x v="0"/>
    <x v="2"/>
  </r>
  <r>
    <x v="72"/>
    <s v="BRW-0059"/>
    <d v="2025-02-27T00:00:00"/>
    <s v="Home Improvement"/>
    <n v="12000"/>
    <n v="60"/>
    <n v="12.84"/>
    <n v="272.06"/>
    <n v="52"/>
    <s v="Default"/>
    <n v="119"/>
    <x v="1"/>
    <x v="0"/>
  </r>
  <r>
    <x v="73"/>
    <s v="BRW-0060"/>
    <d v="2024-03-10T00:00:00"/>
    <s v="Business Loan"/>
    <n v="5200"/>
    <n v="36"/>
    <n v="9.4600000000000009"/>
    <n v="166.47"/>
    <n v="10.5"/>
    <s v="Current"/>
    <n v="0"/>
    <x v="0"/>
    <x v="2"/>
  </r>
  <r>
    <x v="74"/>
    <s v="BRW-0061"/>
    <d v="2024-06-28T00:00:00"/>
    <s v="Education"/>
    <n v="29500"/>
    <n v="60"/>
    <n v="14.67"/>
    <n v="696.7"/>
    <n v="67.2"/>
    <s v="Default"/>
    <n v="116"/>
    <x v="1"/>
    <x v="0"/>
  </r>
  <r>
    <x v="75"/>
    <s v="BRW-0062"/>
    <d v="2025-04-16T00:00:00"/>
    <s v="Vacation"/>
    <n v="40300"/>
    <n v="24"/>
    <n v="8.41"/>
    <n v="1830.2"/>
    <n v="53.2"/>
    <s v="Current"/>
    <n v="0"/>
    <x v="0"/>
    <x v="0"/>
  </r>
  <r>
    <x v="76"/>
    <s v="BRW-0062"/>
    <d v="2024-11-19T00:00:00"/>
    <s v="Major Purchase"/>
    <n v="4700"/>
    <n v="60"/>
    <n v="7.5"/>
    <n v="94.18"/>
    <n v="12.6"/>
    <s v="Current"/>
    <n v="0"/>
    <x v="0"/>
    <x v="2"/>
  </r>
  <r>
    <x v="77"/>
    <s v="BRW-0063"/>
    <d v="2025-01-19T00:00:00"/>
    <s v="Education"/>
    <n v="5800"/>
    <n v="12"/>
    <n v="9.58"/>
    <n v="508.78"/>
    <n v="47.9"/>
    <s v="Current"/>
    <n v="0"/>
    <x v="0"/>
    <x v="1"/>
  </r>
  <r>
    <x v="78"/>
    <s v="BRW-0064"/>
    <d v="2024-11-18T00:00:00"/>
    <s v="Wedding"/>
    <n v="15400"/>
    <n v="36"/>
    <n v="9.58"/>
    <n v="493.88"/>
    <n v="36"/>
    <s v="Current"/>
    <n v="0"/>
    <x v="0"/>
    <x v="1"/>
  </r>
  <r>
    <x v="79"/>
    <s v="BRW-0065"/>
    <d v="2024-06-28T00:00:00"/>
    <s v="Education"/>
    <n v="47600"/>
    <n v="24"/>
    <n v="13.53"/>
    <n v="2274.86"/>
    <n v="86.4"/>
    <s v="Default"/>
    <n v="39"/>
    <x v="1"/>
    <x v="4"/>
  </r>
  <r>
    <x v="80"/>
    <s v="BRW-0065"/>
    <d v="2025-05-27T00:00:00"/>
    <s v="Business Loan"/>
    <n v="23300"/>
    <n v="12"/>
    <n v="14.9"/>
    <n v="2101.92"/>
    <n v="83.8"/>
    <s v="Default"/>
    <n v="117"/>
    <x v="1"/>
    <x v="4"/>
  </r>
  <r>
    <x v="81"/>
    <s v="BRW-0066"/>
    <d v="2025-06-12T00:00:00"/>
    <s v="Moving"/>
    <n v="16300"/>
    <n v="12"/>
    <n v="13.69"/>
    <n v="1461.15"/>
    <n v="76.900000000000006"/>
    <s v="Paid Off"/>
    <n v="0"/>
    <x v="0"/>
    <x v="4"/>
  </r>
  <r>
    <x v="82"/>
    <s v="BRW-0066"/>
    <d v="2024-02-15T00:00:00"/>
    <s v="Vacation"/>
    <n v="43500"/>
    <n v="12"/>
    <n v="9.6"/>
    <n v="3816.25"/>
    <n v="118.6"/>
    <s v="Current"/>
    <n v="0"/>
    <x v="0"/>
    <x v="5"/>
  </r>
  <r>
    <x v="83"/>
    <s v="BRW-0067"/>
    <d v="2024-11-15T00:00:00"/>
    <s v="Debt Consolidation"/>
    <n v="25900"/>
    <n v="36"/>
    <n v="8.4499999999999993"/>
    <n v="817"/>
    <n v="40"/>
    <s v="Current"/>
    <n v="0"/>
    <x v="0"/>
    <x v="1"/>
  </r>
  <r>
    <x v="84"/>
    <s v="BRW-0068"/>
    <d v="2024-06-10T00:00:00"/>
    <s v="Moving"/>
    <n v="19800"/>
    <n v="12"/>
    <n v="8.23"/>
    <n v="1724.48"/>
    <n v="51.2"/>
    <s v="Late"/>
    <n v="0"/>
    <x v="0"/>
    <x v="0"/>
  </r>
  <r>
    <x v="85"/>
    <s v="BRW-0069"/>
    <d v="2024-10-17T00:00:00"/>
    <s v="Business Loan"/>
    <n v="28400"/>
    <n v="36"/>
    <n v="11.71"/>
    <n v="939.36"/>
    <n v="39.700000000000003"/>
    <s v="Current"/>
    <n v="0"/>
    <x v="0"/>
    <x v="1"/>
  </r>
  <r>
    <x v="86"/>
    <s v="BRW-0070"/>
    <d v="2024-02-21T00:00:00"/>
    <s v="Moving"/>
    <n v="8200"/>
    <n v="48"/>
    <n v="11.25"/>
    <n v="212.93"/>
    <n v="27.5"/>
    <s v="Current"/>
    <n v="0"/>
    <x v="0"/>
    <x v="1"/>
  </r>
  <r>
    <x v="87"/>
    <s v="BRW-0070"/>
    <d v="2024-11-15T00:00:00"/>
    <s v="Medical Expenses"/>
    <n v="44800"/>
    <n v="48"/>
    <n v="9.81"/>
    <n v="1132.1600000000001"/>
    <n v="37.6"/>
    <s v="Paid Off"/>
    <n v="0"/>
    <x v="0"/>
    <x v="1"/>
  </r>
  <r>
    <x v="88"/>
    <s v="BRW-0071"/>
    <d v="2024-04-05T00:00:00"/>
    <s v="Home Improvement"/>
    <n v="31800"/>
    <n v="48"/>
    <n v="9.57"/>
    <n v="799.98"/>
    <n v="56.6"/>
    <s v="Late"/>
    <n v="15"/>
    <x v="0"/>
    <x v="0"/>
  </r>
  <r>
    <x v="89"/>
    <s v="BRW-0071"/>
    <d v="2024-08-17T00:00:00"/>
    <s v="Vacation"/>
    <n v="12900"/>
    <n v="48"/>
    <n v="9.09"/>
    <n v="321.57"/>
    <n v="36.200000000000003"/>
    <s v="Late"/>
    <n v="15"/>
    <x v="0"/>
    <x v="1"/>
  </r>
  <r>
    <x v="90"/>
    <s v="BRW-0072"/>
    <d v="2024-01-31T00:00:00"/>
    <s v="Medical Expenses"/>
    <n v="27200"/>
    <n v="36"/>
    <n v="11.88"/>
    <n v="901.87"/>
    <n v="70.400000000000006"/>
    <s v="Default"/>
    <n v="58"/>
    <x v="1"/>
    <x v="0"/>
  </r>
  <r>
    <x v="91"/>
    <s v="BRW-0073"/>
    <d v="2024-05-10T00:00:00"/>
    <s v="Vacation"/>
    <n v="15500"/>
    <n v="36"/>
    <n v="9.64"/>
    <n v="497.53"/>
    <n v="29.3"/>
    <s v="Paid Off"/>
    <n v="0"/>
    <x v="0"/>
    <x v="1"/>
  </r>
  <r>
    <x v="92"/>
    <s v="BRW-0074"/>
    <d v="2025-02-27T00:00:00"/>
    <s v="Moving"/>
    <n v="35700"/>
    <n v="60"/>
    <n v="11.14"/>
    <n v="778.7"/>
    <n v="74.900000000000006"/>
    <s v="Default"/>
    <n v="92"/>
    <x v="1"/>
    <x v="0"/>
  </r>
  <r>
    <x v="93"/>
    <s v="BRW-0075"/>
    <d v="2025-03-21T00:00:00"/>
    <s v="Vacation"/>
    <n v="18400"/>
    <n v="60"/>
    <n v="8.11"/>
    <n v="374.06"/>
    <n v="56.7"/>
    <s v="Late"/>
    <n v="0"/>
    <x v="0"/>
    <x v="0"/>
  </r>
  <r>
    <x v="94"/>
    <s v="BRW-0076"/>
    <d v="2025-04-19T00:00:00"/>
    <s v="Home Improvement"/>
    <n v="36200"/>
    <n v="48"/>
    <n v="7.99"/>
    <n v="883.58"/>
    <n v="21.1"/>
    <s v="Current"/>
    <n v="0"/>
    <x v="0"/>
    <x v="2"/>
  </r>
  <r>
    <x v="95"/>
    <s v="BRW-0077"/>
    <d v="2025-01-23T00:00:00"/>
    <s v="Major Purchase"/>
    <n v="4900"/>
    <n v="60"/>
    <n v="10.19"/>
    <n v="104.57"/>
    <n v="45.4"/>
    <s v="Current"/>
    <n v="0"/>
    <x v="0"/>
    <x v="1"/>
  </r>
  <r>
    <x v="96"/>
    <s v="BRW-0078"/>
    <d v="2024-06-01T00:00:00"/>
    <s v="Medical Expenses"/>
    <n v="45400"/>
    <n v="12"/>
    <n v="11.14"/>
    <n v="4015.49"/>
    <n v="92.5"/>
    <s v="Late"/>
    <n v="0"/>
    <x v="0"/>
    <x v="4"/>
  </r>
  <r>
    <x v="97"/>
    <s v="BRW-0079"/>
    <d v="2024-11-07T00:00:00"/>
    <s v="Business Loan"/>
    <n v="17200"/>
    <n v="60"/>
    <n v="13.11"/>
    <n v="392.32"/>
    <n v="37.799999999999997"/>
    <s v="Late"/>
    <n v="15"/>
    <x v="0"/>
    <x v="1"/>
  </r>
  <r>
    <x v="98"/>
    <s v="BRW-0080"/>
    <d v="2024-05-10T00:00:00"/>
    <s v="Home Improvement"/>
    <n v="31400"/>
    <n v="60"/>
    <n v="10.79"/>
    <n v="679.43"/>
    <n v="58.2"/>
    <s v="Paid Off"/>
    <n v="0"/>
    <x v="0"/>
    <x v="0"/>
  </r>
  <r>
    <x v="99"/>
    <s v="BRW-0080"/>
    <d v="2024-10-15T00:00:00"/>
    <s v="Debt Consolidation"/>
    <n v="10800"/>
    <n v="36"/>
    <n v="9.32"/>
    <n v="345.05"/>
    <n v="51.4"/>
    <s v="Paid Off"/>
    <n v="0"/>
    <x v="0"/>
    <x v="0"/>
  </r>
  <r>
    <x v="100"/>
    <s v="BRW-0081"/>
    <d v="2024-06-26T00:00:00"/>
    <s v="Education"/>
    <n v="21500"/>
    <n v="48"/>
    <n v="12.93"/>
    <n v="576.04"/>
    <n v="59.3"/>
    <s v="Default"/>
    <n v="78"/>
    <x v="1"/>
    <x v="0"/>
  </r>
  <r>
    <x v="101"/>
    <s v="BRW-0082"/>
    <d v="2024-03-14T00:00:00"/>
    <s v="Education"/>
    <n v="9400"/>
    <n v="24"/>
    <n v="6.99"/>
    <n v="420.82"/>
    <n v="51.6"/>
    <s v="Paid Off"/>
    <n v="0"/>
    <x v="0"/>
    <x v="0"/>
  </r>
  <r>
    <x v="102"/>
    <s v="BRW-0083"/>
    <d v="2025-03-11T00:00:00"/>
    <s v="Medical Expenses"/>
    <n v="12500"/>
    <n v="48"/>
    <n v="15.13"/>
    <n v="348.71"/>
    <n v="18.7"/>
    <s v="Current"/>
    <n v="0"/>
    <x v="0"/>
    <x v="2"/>
  </r>
  <r>
    <x v="103"/>
    <s v="BRW-0084"/>
    <d v="2025-05-25T00:00:00"/>
    <s v="Major Purchase"/>
    <n v="10900"/>
    <n v="60"/>
    <n v="8.84"/>
    <n v="225.42"/>
    <n v="41.2"/>
    <s v="Current"/>
    <n v="0"/>
    <x v="0"/>
    <x v="1"/>
  </r>
  <r>
    <x v="104"/>
    <s v="BRW-0084"/>
    <d v="2025-05-09T00:00:00"/>
    <s v="Major Purchase"/>
    <n v="29700"/>
    <n v="12"/>
    <n v="13.69"/>
    <n v="2662.35"/>
    <n v="80.2"/>
    <s v="Current"/>
    <n v="0"/>
    <x v="0"/>
    <x v="4"/>
  </r>
  <r>
    <x v="105"/>
    <s v="BRW-0085"/>
    <d v="2024-03-21T00:00:00"/>
    <s v="Medical Expenses"/>
    <n v="16200"/>
    <n v="36"/>
    <n v="9.39"/>
    <n v="518.1"/>
    <n v="63.7"/>
    <s v="Current"/>
    <n v="0"/>
    <x v="0"/>
    <x v="0"/>
  </r>
  <r>
    <x v="106"/>
    <s v="BRW-0086"/>
    <d v="2024-02-24T00:00:00"/>
    <s v="Home Improvement"/>
    <n v="26700"/>
    <n v="60"/>
    <n v="9.31"/>
    <n v="558.27"/>
    <n v="33.299999999999997"/>
    <s v="Current"/>
    <n v="0"/>
    <x v="0"/>
    <x v="1"/>
  </r>
  <r>
    <x v="107"/>
    <s v="BRW-0087"/>
    <d v="2024-10-28T00:00:00"/>
    <s v="Vacation"/>
    <n v="17900"/>
    <n v="36"/>
    <n v="15.64"/>
    <n v="626.13"/>
    <n v="29.3"/>
    <s v="Default"/>
    <n v="39"/>
    <x v="1"/>
    <x v="1"/>
  </r>
  <r>
    <x v="108"/>
    <s v="BRW-0088"/>
    <d v="2025-04-29T00:00:00"/>
    <s v="Wedding"/>
    <n v="36900"/>
    <n v="60"/>
    <n v="7.79"/>
    <n v="744.5"/>
    <n v="45.9"/>
    <s v="Late"/>
    <n v="0"/>
    <x v="0"/>
    <x v="1"/>
  </r>
  <r>
    <x v="109"/>
    <s v="BRW-0089"/>
    <d v="2024-10-11T00:00:00"/>
    <s v="Wedding"/>
    <n v="9100"/>
    <n v="24"/>
    <n v="12.34"/>
    <n v="429.81"/>
    <n v="26.5"/>
    <s v="Default"/>
    <n v="101"/>
    <x v="1"/>
    <x v="1"/>
  </r>
  <r>
    <x v="110"/>
    <s v="BRW-0090"/>
    <d v="2024-06-03T00:00:00"/>
    <s v="Auto Loan"/>
    <n v="5100"/>
    <n v="24"/>
    <n v="11.3"/>
    <n v="238.41"/>
    <n v="32.200000000000003"/>
    <s v="Current"/>
    <n v="0"/>
    <x v="0"/>
    <x v="1"/>
  </r>
  <r>
    <x v="111"/>
    <s v="BRW-0091"/>
    <d v="2024-03-27T00:00:00"/>
    <s v="Business Loan"/>
    <n v="18700"/>
    <n v="12"/>
    <n v="7.86"/>
    <n v="1625.47"/>
    <n v="94.1"/>
    <s v="Paid Off"/>
    <n v="0"/>
    <x v="0"/>
    <x v="4"/>
  </r>
  <r>
    <x v="112"/>
    <s v="BRW-0092"/>
    <d v="2024-06-20T00:00:00"/>
    <s v="Major Purchase"/>
    <n v="13400"/>
    <n v="48"/>
    <n v="14.78"/>
    <n v="371.44"/>
    <n v="65.599999999999994"/>
    <s v="Default"/>
    <n v="118"/>
    <x v="1"/>
    <x v="0"/>
  </r>
  <r>
    <x v="113"/>
    <s v="BRW-0092"/>
    <d v="2025-04-20T00:00:00"/>
    <s v="Debt Consolidation"/>
    <n v="34300"/>
    <n v="12"/>
    <n v="11.41"/>
    <n v="3038.05"/>
    <n v="142.30000000000001"/>
    <s v="Default"/>
    <n v="107"/>
    <x v="1"/>
    <x v="3"/>
  </r>
  <r>
    <x v="114"/>
    <s v="BRW-0093"/>
    <d v="2024-05-28T00:00:00"/>
    <s v="Moving"/>
    <n v="34800"/>
    <n v="48"/>
    <n v="10.54"/>
    <n v="891.67"/>
    <n v="65.2"/>
    <s v="Current"/>
    <n v="0"/>
    <x v="0"/>
    <x v="0"/>
  </r>
  <r>
    <x v="115"/>
    <s v="BRW-0094"/>
    <d v="2025-06-28T00:00:00"/>
    <s v="Major Purchase"/>
    <n v="48200"/>
    <n v="12"/>
    <n v="11.12"/>
    <n v="4262.6899999999996"/>
    <n v="80.8"/>
    <s v="Late"/>
    <n v="30"/>
    <x v="0"/>
    <x v="4"/>
  </r>
  <r>
    <x v="116"/>
    <s v="BRW-0095"/>
    <d v="2025-02-04T00:00:00"/>
    <s v="Auto Loan"/>
    <n v="14100"/>
    <n v="12"/>
    <n v="12.06"/>
    <n v="1253.1600000000001"/>
    <n v="32.200000000000003"/>
    <s v="Current"/>
    <n v="0"/>
    <x v="0"/>
    <x v="1"/>
  </r>
  <r>
    <x v="117"/>
    <s v="BRW-0095"/>
    <d v="2024-01-11T00:00:00"/>
    <s v="Wedding"/>
    <n v="27000"/>
    <n v="24"/>
    <n v="12.35"/>
    <n v="1275.4000000000001"/>
    <n v="32.6"/>
    <s v="Current"/>
    <n v="0"/>
    <x v="0"/>
    <x v="1"/>
  </r>
  <r>
    <x v="118"/>
    <s v="BRW-0096"/>
    <d v="2024-02-04T00:00:00"/>
    <s v="Home Improvement"/>
    <n v="10300"/>
    <n v="36"/>
    <n v="11.29"/>
    <n v="338.63"/>
    <n v="61.8"/>
    <s v="Default"/>
    <n v="53"/>
    <x v="1"/>
    <x v="0"/>
  </r>
  <r>
    <x v="119"/>
    <s v="BRW-0097"/>
    <d v="2024-05-02T00:00:00"/>
    <s v="Wedding"/>
    <n v="42100"/>
    <n v="60"/>
    <n v="11.56"/>
    <n v="927.16"/>
    <n v="68.099999999999994"/>
    <s v="Default"/>
    <n v="63"/>
    <x v="1"/>
    <x v="0"/>
  </r>
  <r>
    <x v="120"/>
    <s v="BRW-0098"/>
    <d v="2024-09-16T00:00:00"/>
    <s v="Wedding"/>
    <n v="10900"/>
    <n v="12"/>
    <n v="9.31"/>
    <n v="954.79"/>
    <n v="72.8"/>
    <s v="Current"/>
    <n v="0"/>
    <x v="0"/>
    <x v="0"/>
  </r>
  <r>
    <x v="121"/>
    <s v="BRW-0099"/>
    <d v="2024-03-16T00:00:00"/>
    <s v="Auto Loan"/>
    <n v="35200"/>
    <n v="36"/>
    <n v="9.82"/>
    <n v="1132.83"/>
    <n v="42.6"/>
    <s v="Default"/>
    <n v="45"/>
    <x v="1"/>
    <x v="1"/>
  </r>
  <r>
    <x v="122"/>
    <s v="BRW-0100"/>
    <d v="2024-03-12T00:00:00"/>
    <s v="Education"/>
    <n v="14400"/>
    <n v="36"/>
    <n v="10.52"/>
    <n v="468.17"/>
    <n v="49.3"/>
    <s v="Late"/>
    <n v="15"/>
    <x v="0"/>
    <x v="1"/>
  </r>
  <r>
    <x v="123"/>
    <s v="BRW-0101"/>
    <d v="2024-04-18T00:00:00"/>
    <s v="Vacation"/>
    <n v="8000"/>
    <n v="48"/>
    <n v="6.93"/>
    <n v="191.31"/>
    <n v="52.7"/>
    <s v="Current"/>
    <n v="0"/>
    <x v="0"/>
    <x v="0"/>
  </r>
  <r>
    <x v="124"/>
    <s v="BRW-0102"/>
    <d v="2024-06-01T00:00:00"/>
    <s v="Wedding"/>
    <n v="39300"/>
    <n v="12"/>
    <n v="12.63"/>
    <n v="3503.35"/>
    <n v="88.9"/>
    <s v="Current"/>
    <n v="0"/>
    <x v="0"/>
    <x v="4"/>
  </r>
  <r>
    <x v="125"/>
    <s v="BRW-0103"/>
    <d v="2025-05-17T00:00:00"/>
    <s v="Medical Expenses"/>
    <n v="40800"/>
    <n v="60"/>
    <n v="9.25"/>
    <n v="851.9"/>
    <n v="65.900000000000006"/>
    <s v="Paid Off"/>
    <n v="0"/>
    <x v="0"/>
    <x v="0"/>
  </r>
  <r>
    <x v="126"/>
    <s v="BRW-0104"/>
    <d v="2025-01-02T00:00:00"/>
    <s v="Home Improvement"/>
    <n v="2200"/>
    <n v="48"/>
    <n v="6.79"/>
    <n v="52.47"/>
    <n v="50.9"/>
    <s v="Current"/>
    <n v="0"/>
    <x v="0"/>
    <x v="0"/>
  </r>
  <r>
    <x v="127"/>
    <s v="BRW-0104"/>
    <d v="2025-04-15T00:00:00"/>
    <s v="Home Improvement"/>
    <n v="43000"/>
    <n v="36"/>
    <n v="6.59"/>
    <n v="1319.67"/>
    <n v="66.8"/>
    <s v="Current"/>
    <n v="0"/>
    <x v="0"/>
    <x v="0"/>
  </r>
  <r>
    <x v="128"/>
    <s v="BRW-0105"/>
    <d v="2025-01-02T00:00:00"/>
    <s v="Major Purchase"/>
    <n v="16300"/>
    <n v="48"/>
    <n v="13.45"/>
    <n v="440.94"/>
    <n v="45.3"/>
    <s v="Late"/>
    <n v="15"/>
    <x v="0"/>
    <x v="1"/>
  </r>
  <r>
    <x v="129"/>
    <s v="BRW-0106"/>
    <d v="2025-02-02T00:00:00"/>
    <s v="Debt Consolidation"/>
    <n v="18500"/>
    <n v="60"/>
    <n v="7.03"/>
    <n v="366.58"/>
    <n v="32.6"/>
    <s v="Default"/>
    <n v="168"/>
    <x v="1"/>
    <x v="1"/>
  </r>
  <r>
    <x v="130"/>
    <s v="BRW-0107"/>
    <d v="2024-01-17T00:00:00"/>
    <s v="Vacation"/>
    <n v="38600"/>
    <n v="48"/>
    <n v="14.52"/>
    <n v="1064.9000000000001"/>
    <n v="49.5"/>
    <s v="Default"/>
    <n v="44"/>
    <x v="1"/>
    <x v="1"/>
  </r>
  <r>
    <x v="131"/>
    <s v="BRW-0108"/>
    <d v="2024-06-01T00:00:00"/>
    <s v="Debt Consolidation"/>
    <n v="12200"/>
    <n v="60"/>
    <n v="9.2799999999999994"/>
    <n v="254.91"/>
    <n v="32.4"/>
    <s v="Current"/>
    <n v="0"/>
    <x v="0"/>
    <x v="1"/>
  </r>
  <r>
    <x v="132"/>
    <s v="BRW-0109"/>
    <d v="2024-05-13T00:00:00"/>
    <s v="Vacation"/>
    <n v="17200"/>
    <n v="60"/>
    <n v="8.1"/>
    <n v="349.58"/>
    <n v="38"/>
    <s v="Default"/>
    <n v="42"/>
    <x v="1"/>
    <x v="1"/>
  </r>
  <r>
    <x v="133"/>
    <s v="BRW-0110"/>
    <d v="2024-04-18T00:00:00"/>
    <s v="Home Improvement"/>
    <n v="10200"/>
    <n v="60"/>
    <n v="9.09"/>
    <n v="212.18"/>
    <n v="13.5"/>
    <s v="Default"/>
    <n v="86"/>
    <x v="1"/>
    <x v="2"/>
  </r>
  <r>
    <x v="134"/>
    <s v="BRW-0110"/>
    <d v="2024-05-20T00:00:00"/>
    <s v="Home Improvement"/>
    <n v="22500"/>
    <n v="48"/>
    <n v="10.39"/>
    <n v="574.88"/>
    <n v="18.7"/>
    <s v="Late"/>
    <n v="30"/>
    <x v="0"/>
    <x v="2"/>
  </r>
  <r>
    <x v="135"/>
    <s v="BRW-0111"/>
    <d v="2024-06-21T00:00:00"/>
    <s v="Medical Expenses"/>
    <n v="6500"/>
    <n v="24"/>
    <n v="12.17"/>
    <n v="306.49"/>
    <n v="57.1"/>
    <s v="Current"/>
    <n v="0"/>
    <x v="0"/>
    <x v="0"/>
  </r>
  <r>
    <x v="136"/>
    <s v="BRW-0112"/>
    <d v="2024-06-10T00:00:00"/>
    <s v="Debt Consolidation"/>
    <n v="16200"/>
    <n v="60"/>
    <n v="12.73"/>
    <n v="366.36"/>
    <n v="59.5"/>
    <s v="Default"/>
    <n v="154"/>
    <x v="1"/>
    <x v="0"/>
  </r>
  <r>
    <x v="137"/>
    <s v="BRW-0112"/>
    <d v="2024-10-17T00:00:00"/>
    <s v="Home Improvement"/>
    <n v="4000"/>
    <n v="12"/>
    <n v="14.38"/>
    <n v="359.86"/>
    <n v="59.3"/>
    <s v="Default"/>
    <n v="151"/>
    <x v="1"/>
    <x v="0"/>
  </r>
  <r>
    <x v="138"/>
    <s v="BRW-0113"/>
    <d v="2024-06-27T00:00:00"/>
    <s v="Business Loan"/>
    <n v="14400"/>
    <n v="48"/>
    <n v="8.3800000000000008"/>
    <n v="354.12"/>
    <n v="29.9"/>
    <s v="Current"/>
    <n v="0"/>
    <x v="0"/>
    <x v="1"/>
  </r>
  <r>
    <x v="139"/>
    <s v="BRW-0114"/>
    <d v="2024-08-29T00:00:00"/>
    <s v="Home Improvement"/>
    <n v="39600"/>
    <n v="36"/>
    <n v="10.79"/>
    <n v="1292.52"/>
    <n v="73.400000000000006"/>
    <s v="Default"/>
    <n v="165"/>
    <x v="1"/>
    <x v="0"/>
  </r>
  <r>
    <x v="140"/>
    <s v="BRW-0115"/>
    <d v="2025-04-20T00:00:00"/>
    <s v="Wedding"/>
    <n v="23700"/>
    <n v="60"/>
    <n v="8.3699999999999992"/>
    <n v="484.76"/>
    <n v="25.1"/>
    <s v="Current"/>
    <n v="0"/>
    <x v="0"/>
    <x v="1"/>
  </r>
  <r>
    <x v="141"/>
    <s v="BRW-0115"/>
    <d v="2024-06-12T00:00:00"/>
    <s v="Business Loan"/>
    <n v="4400"/>
    <n v="48"/>
    <n v="8.32"/>
    <n v="108.08"/>
    <n v="14.2"/>
    <s v="Late"/>
    <n v="0"/>
    <x v="0"/>
    <x v="2"/>
  </r>
  <r>
    <x v="142"/>
    <s v="BRW-0116"/>
    <d v="2024-02-23T00:00:00"/>
    <s v="Major Purchase"/>
    <n v="17400"/>
    <n v="48"/>
    <n v="11.22"/>
    <n v="451.57"/>
    <n v="56.4"/>
    <s v="Paid Off"/>
    <n v="0"/>
    <x v="0"/>
    <x v="0"/>
  </r>
  <r>
    <x v="143"/>
    <s v="BRW-0117"/>
    <d v="2024-11-29T00:00:00"/>
    <s v="Home Improvement"/>
    <n v="4200"/>
    <n v="48"/>
    <n v="12.38"/>
    <n v="111.39"/>
    <n v="39.299999999999997"/>
    <s v="Paid Off"/>
    <n v="0"/>
    <x v="0"/>
    <x v="1"/>
  </r>
  <r>
    <x v="144"/>
    <s v="BRW-0118"/>
    <d v="2025-01-19T00:00:00"/>
    <s v="Home Improvement"/>
    <n v="6300"/>
    <n v="48"/>
    <n v="13.3"/>
    <n v="169.95"/>
    <n v="8.8000000000000007"/>
    <s v="Current"/>
    <n v="0"/>
    <x v="0"/>
    <x v="2"/>
  </r>
  <r>
    <x v="145"/>
    <s v="BRW-0119"/>
    <d v="2025-01-17T00:00:00"/>
    <s v="Major Purchase"/>
    <n v="25400"/>
    <n v="48"/>
    <n v="10.99"/>
    <n v="656.35"/>
    <n v="41.1"/>
    <s v="Default"/>
    <n v="79"/>
    <x v="1"/>
    <x v="1"/>
  </r>
  <r>
    <x v="146"/>
    <s v="BRW-0120"/>
    <d v="2024-05-19T00:00:00"/>
    <s v="Auto Loan"/>
    <n v="6800"/>
    <n v="60"/>
    <n v="6.15"/>
    <n v="131.94"/>
    <n v="33.200000000000003"/>
    <s v="Default"/>
    <n v="149"/>
    <x v="1"/>
    <x v="1"/>
  </r>
  <r>
    <x v="147"/>
    <s v="BRW-0121"/>
    <d v="2024-06-23T00:00:00"/>
    <s v="Medical Expenses"/>
    <n v="12600"/>
    <n v="36"/>
    <n v="10.52"/>
    <n v="409.65"/>
    <n v="31.9"/>
    <s v="Current"/>
    <n v="0"/>
    <x v="0"/>
    <x v="1"/>
  </r>
  <r>
    <x v="148"/>
    <s v="BRW-0122"/>
    <d v="2025-04-18T00:00:00"/>
    <s v="Moving"/>
    <n v="31100"/>
    <n v="60"/>
    <n v="8.3000000000000007"/>
    <n v="635.07000000000005"/>
    <n v="49.3"/>
    <s v="Paid Off"/>
    <n v="0"/>
    <x v="0"/>
    <x v="1"/>
  </r>
  <r>
    <x v="149"/>
    <s v="BRW-0123"/>
    <d v="2024-01-06T00:00:00"/>
    <s v="Education"/>
    <n v="10300"/>
    <n v="60"/>
    <n v="11.2"/>
    <n v="224.98"/>
    <n v="27.6"/>
    <s v="Paid Off"/>
    <n v="0"/>
    <x v="0"/>
    <x v="1"/>
  </r>
  <r>
    <x v="150"/>
    <s v="BRW-0124"/>
    <d v="2024-04-10T00:00:00"/>
    <s v="Moving"/>
    <n v="11900"/>
    <n v="48"/>
    <n v="12.47"/>
    <n v="316.13"/>
    <n v="35"/>
    <s v="Current"/>
    <n v="0"/>
    <x v="0"/>
    <x v="1"/>
  </r>
  <r>
    <x v="151"/>
    <s v="BRW-0125"/>
    <d v="2024-04-02T00:00:00"/>
    <s v="Major Purchase"/>
    <n v="8400"/>
    <n v="36"/>
    <n v="9.11"/>
    <n v="267.55"/>
    <n v="38.200000000000003"/>
    <s v="Default"/>
    <n v="108"/>
    <x v="1"/>
    <x v="1"/>
  </r>
  <r>
    <x v="152"/>
    <s v="BRW-0126"/>
    <d v="2025-04-19T00:00:00"/>
    <s v="Vacation"/>
    <n v="37900"/>
    <n v="12"/>
    <n v="12.45"/>
    <n v="3375.35"/>
    <n v="98.6"/>
    <s v="Late"/>
    <n v="15"/>
    <x v="0"/>
    <x v="4"/>
  </r>
  <r>
    <x v="153"/>
    <s v="BRW-0127"/>
    <d v="2024-03-13T00:00:00"/>
    <s v="Education"/>
    <n v="30000"/>
    <n v="12"/>
    <n v="14.64"/>
    <n v="2702.66"/>
    <n v="100.5"/>
    <s v="Default"/>
    <n v="115"/>
    <x v="1"/>
    <x v="5"/>
  </r>
  <r>
    <x v="154"/>
    <s v="BRW-0128"/>
    <d v="2024-07-31T00:00:00"/>
    <s v="Auto Loan"/>
    <n v="14900"/>
    <n v="60"/>
    <n v="8.5500000000000007"/>
    <n v="306.06"/>
    <n v="21"/>
    <s v="Paid Off"/>
    <n v="0"/>
    <x v="0"/>
    <x v="2"/>
  </r>
  <r>
    <x v="155"/>
    <s v="BRW-0129"/>
    <d v="2024-04-23T00:00:00"/>
    <s v="Debt Consolidation"/>
    <n v="45700"/>
    <n v="36"/>
    <n v="12.54"/>
    <n v="1529.71"/>
    <n v="50.5"/>
    <s v="Current"/>
    <n v="0"/>
    <x v="0"/>
    <x v="0"/>
  </r>
  <r>
    <x v="156"/>
    <s v="BRW-0130"/>
    <d v="2024-12-08T00:00:00"/>
    <s v="Moving"/>
    <n v="25000"/>
    <n v="24"/>
    <n v="7.43"/>
    <n v="1124.19"/>
    <n v="59.5"/>
    <s v="Current"/>
    <n v="0"/>
    <x v="0"/>
    <x v="0"/>
  </r>
  <r>
    <x v="157"/>
    <s v="BRW-0131"/>
    <d v="2024-09-30T00:00:00"/>
    <s v="Wedding"/>
    <n v="32900"/>
    <n v="24"/>
    <n v="12.42"/>
    <n v="1555.18"/>
    <n v="63.7"/>
    <s v="Current"/>
    <n v="0"/>
    <x v="0"/>
    <x v="0"/>
  </r>
  <r>
    <x v="158"/>
    <s v="BRW-0131"/>
    <d v="2025-04-26T00:00:00"/>
    <s v="Education"/>
    <n v="12900"/>
    <n v="60"/>
    <n v="14.96"/>
    <n v="306.62"/>
    <n v="19.8"/>
    <s v="Current"/>
    <n v="0"/>
    <x v="0"/>
    <x v="2"/>
  </r>
  <r>
    <x v="159"/>
    <s v="BRW-0132"/>
    <d v="2025-04-13T00:00:00"/>
    <s v="Wedding"/>
    <n v="34300"/>
    <n v="12"/>
    <n v="9.7100000000000009"/>
    <n v="3010.89"/>
    <n v="63"/>
    <s v="Default"/>
    <n v="130"/>
    <x v="1"/>
    <x v="0"/>
  </r>
  <r>
    <x v="160"/>
    <s v="BRW-0133"/>
    <d v="2024-05-31T00:00:00"/>
    <s v="Auto Loan"/>
    <n v="5700"/>
    <n v="24"/>
    <n v="12"/>
    <n v="268.32"/>
    <n v="19.100000000000001"/>
    <s v="Late"/>
    <n v="15"/>
    <x v="0"/>
    <x v="2"/>
  </r>
  <r>
    <x v="161"/>
    <s v="BRW-0133"/>
    <d v="2025-04-30T00:00:00"/>
    <s v="Debt Consolidation"/>
    <n v="48500"/>
    <n v="60"/>
    <n v="15.28"/>
    <n v="1160.95"/>
    <n v="32"/>
    <s v="Late"/>
    <n v="0"/>
    <x v="0"/>
    <x v="1"/>
  </r>
  <r>
    <x v="162"/>
    <s v="BRW-0134"/>
    <d v="2025-02-25T00:00:00"/>
    <s v="Home Improvement"/>
    <n v="21200"/>
    <n v="60"/>
    <n v="13.29"/>
    <n v="485.52"/>
    <n v="31.3"/>
    <s v="Paid Off"/>
    <n v="0"/>
    <x v="0"/>
    <x v="1"/>
  </r>
  <r>
    <x v="163"/>
    <s v="BRW-0135"/>
    <d v="2024-11-09T00:00:00"/>
    <s v="Moving"/>
    <n v="20400"/>
    <n v="36"/>
    <n v="11.07"/>
    <n v="668.55"/>
    <n v="30.1"/>
    <s v="Current"/>
    <n v="0"/>
    <x v="0"/>
    <x v="1"/>
  </r>
  <r>
    <x v="164"/>
    <s v="BRW-0136"/>
    <d v="2024-06-13T00:00:00"/>
    <s v="Debt Consolidation"/>
    <n v="9200"/>
    <n v="24"/>
    <n v="8.93"/>
    <n v="420"/>
    <n v="30.1"/>
    <s v="Paid Off"/>
    <n v="0"/>
    <x v="0"/>
    <x v="1"/>
  </r>
  <r>
    <x v="165"/>
    <s v="BRW-0136"/>
    <d v="2025-03-27T00:00:00"/>
    <s v="Medical Expenses"/>
    <n v="5100"/>
    <n v="36"/>
    <n v="8.7100000000000009"/>
    <n v="161.49"/>
    <n v="24.6"/>
    <s v="Current"/>
    <n v="0"/>
    <x v="0"/>
    <x v="2"/>
  </r>
  <r>
    <x v="166"/>
    <s v="BRW-0137"/>
    <d v="2024-06-15T00:00:00"/>
    <s v="Education"/>
    <n v="9100"/>
    <n v="48"/>
    <n v="10.07"/>
    <n v="231.11"/>
    <n v="13.3"/>
    <s v="Current"/>
    <n v="0"/>
    <x v="0"/>
    <x v="2"/>
  </r>
  <r>
    <x v="167"/>
    <s v="BRW-0138"/>
    <d v="2025-06-03T00:00:00"/>
    <s v="Medical Expenses"/>
    <n v="46500"/>
    <n v="24"/>
    <n v="10.199999999999999"/>
    <n v="2150.0300000000002"/>
    <n v="71.5"/>
    <s v="Default"/>
    <n v="105"/>
    <x v="1"/>
    <x v="0"/>
  </r>
  <r>
    <x v="168"/>
    <s v="BRW-0138"/>
    <d v="2025-03-28T00:00:00"/>
    <s v="Vacation"/>
    <n v="48500"/>
    <n v="60"/>
    <n v="13.52"/>
    <n v="1116.48"/>
    <n v="61.3"/>
    <s v="Default"/>
    <n v="58"/>
    <x v="1"/>
    <x v="0"/>
  </r>
  <r>
    <x v="169"/>
    <s v="BRW-0139"/>
    <d v="2024-08-13T00:00:00"/>
    <s v="Debt Consolidation"/>
    <n v="13500"/>
    <n v="36"/>
    <n v="10.039999999999999"/>
    <n v="435.86"/>
    <n v="45.8"/>
    <s v="Current"/>
    <n v="0"/>
    <x v="0"/>
    <x v="1"/>
  </r>
  <r>
    <x v="170"/>
    <s v="BRW-0140"/>
    <d v="2024-03-26T00:00:00"/>
    <s v="Wedding"/>
    <n v="19900"/>
    <n v="36"/>
    <n v="8.2799999999999994"/>
    <n v="626.16999999999996"/>
    <n v="64.900000000000006"/>
    <s v="Late"/>
    <n v="0"/>
    <x v="0"/>
    <x v="0"/>
  </r>
  <r>
    <x v="171"/>
    <s v="BRW-0141"/>
    <d v="2024-02-27T00:00:00"/>
    <s v="Moving"/>
    <n v="11000"/>
    <n v="60"/>
    <n v="10.53"/>
    <n v="236.6"/>
    <n v="29.5"/>
    <s v="Current"/>
    <n v="0"/>
    <x v="0"/>
    <x v="1"/>
  </r>
  <r>
    <x v="172"/>
    <s v="BRW-0142"/>
    <d v="2025-04-01T00:00:00"/>
    <s v="Education"/>
    <n v="2600"/>
    <n v="36"/>
    <n v="12.52"/>
    <n v="87"/>
    <n v="49.7"/>
    <s v="Paid Off"/>
    <n v="0"/>
    <x v="0"/>
    <x v="1"/>
  </r>
  <r>
    <x v="173"/>
    <s v="BRW-0142"/>
    <d v="2025-03-10T00:00:00"/>
    <s v="Vacation"/>
    <n v="21900"/>
    <n v="48"/>
    <n v="12.21"/>
    <n v="578.97"/>
    <n v="58.1"/>
    <s v="Paid Off"/>
    <n v="0"/>
    <x v="0"/>
    <x v="0"/>
  </r>
  <r>
    <x v="174"/>
    <s v="BRW-0143"/>
    <d v="2024-03-08T00:00:00"/>
    <s v="Medical Expenses"/>
    <n v="19300"/>
    <n v="60"/>
    <n v="11.3"/>
    <n v="422.52"/>
    <n v="21.6"/>
    <s v="Current"/>
    <n v="0"/>
    <x v="0"/>
    <x v="2"/>
  </r>
  <r>
    <x v="175"/>
    <s v="BRW-0144"/>
    <d v="2024-05-20T00:00:00"/>
    <s v="Auto Loan"/>
    <n v="20600"/>
    <n v="60"/>
    <n v="14.08"/>
    <n v="480.18"/>
    <n v="26.5"/>
    <s v="Default"/>
    <n v="127"/>
    <x v="1"/>
    <x v="1"/>
  </r>
  <r>
    <x v="176"/>
    <s v="BRW-0145"/>
    <d v="2025-04-19T00:00:00"/>
    <s v="Vacation"/>
    <n v="17700"/>
    <n v="60"/>
    <n v="7.49"/>
    <n v="354.59"/>
    <n v="32.6"/>
    <s v="Current"/>
    <n v="0"/>
    <x v="0"/>
    <x v="1"/>
  </r>
  <r>
    <x v="177"/>
    <s v="BRW-0146"/>
    <d v="2025-05-18T00:00:00"/>
    <s v="Vacation"/>
    <n v="24800"/>
    <n v="36"/>
    <n v="10.24"/>
    <n v="803.02"/>
    <n v="31.1"/>
    <s v="Current"/>
    <n v="0"/>
    <x v="0"/>
    <x v="1"/>
  </r>
  <r>
    <x v="178"/>
    <s v="BRW-0147"/>
    <d v="2025-03-22T00:00:00"/>
    <s v="Vacation"/>
    <n v="5200"/>
    <n v="36"/>
    <n v="12.72"/>
    <n v="174.51"/>
    <n v="25.8"/>
    <s v="Current"/>
    <n v="0"/>
    <x v="0"/>
    <x v="1"/>
  </r>
  <r>
    <x v="179"/>
    <s v="BRW-0148"/>
    <d v="2024-06-15T00:00:00"/>
    <s v="Home Improvement"/>
    <n v="37200"/>
    <n v="12"/>
    <n v="14.59"/>
    <n v="3350.42"/>
    <n v="96.8"/>
    <s v="Current"/>
    <n v="0"/>
    <x v="0"/>
    <x v="4"/>
  </r>
  <r>
    <x v="180"/>
    <s v="BRW-0149"/>
    <d v="2024-12-30T00:00:00"/>
    <s v="Education"/>
    <n v="12800"/>
    <n v="48"/>
    <n v="9.6999999999999993"/>
    <n v="322.8"/>
    <n v="10.5"/>
    <s v="Default"/>
    <n v="104"/>
    <x v="1"/>
    <x v="2"/>
  </r>
  <r>
    <x v="181"/>
    <s v="BRW-0150"/>
    <d v="2024-06-20T00:00:00"/>
    <s v="Home Improvement"/>
    <n v="38800"/>
    <n v="24"/>
    <n v="10.86"/>
    <n v="1805.86"/>
    <n v="58.6"/>
    <s v="Late"/>
    <n v="15"/>
    <x v="0"/>
    <x v="0"/>
  </r>
  <r>
    <x v="182"/>
    <s v="BRW-0151"/>
    <d v="2024-12-26T00:00:00"/>
    <s v="Auto Loan"/>
    <n v="35500"/>
    <n v="36"/>
    <n v="7"/>
    <n v="1096.1400000000001"/>
    <n v="26.5"/>
    <s v="Current"/>
    <n v="0"/>
    <x v="0"/>
    <x v="1"/>
  </r>
  <r>
    <x v="183"/>
    <s v="BRW-0152"/>
    <d v="2024-06-07T00:00:00"/>
    <s v="Vacation"/>
    <n v="34400"/>
    <n v="24"/>
    <n v="6.36"/>
    <n v="1530.22"/>
    <n v="64.8"/>
    <s v="Paid Off"/>
    <n v="0"/>
    <x v="0"/>
    <x v="0"/>
  </r>
  <r>
    <x v="184"/>
    <s v="BRW-0153"/>
    <d v="2024-03-19T00:00:00"/>
    <s v="Moving"/>
    <n v="36200"/>
    <n v="12"/>
    <n v="9.35"/>
    <n v="3171.62"/>
    <n v="103.5"/>
    <s v="Default"/>
    <n v="63"/>
    <x v="1"/>
    <x v="5"/>
  </r>
  <r>
    <x v="185"/>
    <s v="BRW-0154"/>
    <d v="2025-06-19T00:00:00"/>
    <s v="Vacation"/>
    <n v="31400"/>
    <n v="24"/>
    <n v="11.24"/>
    <n v="1466.99"/>
    <n v="54.3"/>
    <s v="Paid Off"/>
    <n v="0"/>
    <x v="0"/>
    <x v="0"/>
  </r>
  <r>
    <x v="186"/>
    <s v="BRW-0154"/>
    <d v="2024-05-25T00:00:00"/>
    <s v="Debt Consolidation"/>
    <n v="7700"/>
    <n v="24"/>
    <n v="11.43"/>
    <n v="360.42"/>
    <n v="32.9"/>
    <s v="Current"/>
    <n v="0"/>
    <x v="0"/>
    <x v="1"/>
  </r>
  <r>
    <x v="187"/>
    <s v="BRW-0155"/>
    <d v="2025-05-10T00:00:00"/>
    <s v="Major Purchase"/>
    <n v="39600"/>
    <n v="12"/>
    <n v="9.0399999999999991"/>
    <n v="3463.81"/>
    <n v="114.2"/>
    <s v="Current"/>
    <n v="0"/>
    <x v="0"/>
    <x v="5"/>
  </r>
  <r>
    <x v="188"/>
    <s v="BRW-0155"/>
    <d v="2024-11-04T00:00:00"/>
    <s v="Moving"/>
    <n v="24500"/>
    <n v="36"/>
    <n v="9.17"/>
    <n v="781.03"/>
    <n v="65.8"/>
    <s v="Paid Off"/>
    <n v="0"/>
    <x v="0"/>
    <x v="0"/>
  </r>
  <r>
    <x v="189"/>
    <s v="BRW-0156"/>
    <d v="2024-05-29T00:00:00"/>
    <s v="Business Loan"/>
    <n v="11600"/>
    <n v="36"/>
    <n v="9.86"/>
    <n v="373.54"/>
    <n v="32.5"/>
    <s v="Late"/>
    <n v="15"/>
    <x v="0"/>
    <x v="1"/>
  </r>
  <r>
    <x v="190"/>
    <s v="BRW-0156"/>
    <d v="2024-03-10T00:00:00"/>
    <s v="Education"/>
    <n v="43000"/>
    <n v="60"/>
    <n v="10.93"/>
    <n v="933.42"/>
    <n v="41"/>
    <s v="Default"/>
    <n v="178"/>
    <x v="1"/>
    <x v="1"/>
  </r>
  <r>
    <x v="191"/>
    <s v="BRW-0157"/>
    <d v="2024-01-05T00:00:00"/>
    <s v="Moving"/>
    <n v="11200"/>
    <n v="36"/>
    <n v="8.16"/>
    <n v="351.79"/>
    <n v="57.9"/>
    <s v="Current"/>
    <n v="0"/>
    <x v="0"/>
    <x v="0"/>
  </r>
  <r>
    <x v="192"/>
    <s v="BRW-0158"/>
    <d v="2024-04-19T00:00:00"/>
    <s v="Vacation"/>
    <n v="15600"/>
    <n v="48"/>
    <n v="11.77"/>
    <n v="409.05"/>
    <n v="60.9"/>
    <s v="Default"/>
    <n v="120"/>
    <x v="1"/>
    <x v="0"/>
  </r>
  <r>
    <x v="193"/>
    <s v="BRW-0159"/>
    <d v="2024-11-17T00:00:00"/>
    <s v="Major Purchase"/>
    <n v="12900"/>
    <n v="12"/>
    <n v="9.64"/>
    <n v="1131.96"/>
    <n v="61.1"/>
    <s v="Default"/>
    <n v="58"/>
    <x v="1"/>
    <x v="0"/>
  </r>
  <r>
    <x v="194"/>
    <s v="BRW-0159"/>
    <d v="2024-02-11T00:00:00"/>
    <s v="Moving"/>
    <n v="34000"/>
    <n v="36"/>
    <n v="8.6199999999999992"/>
    <n v="1075.19"/>
    <n v="60.4"/>
    <s v="Default"/>
    <n v="156"/>
    <x v="1"/>
    <x v="0"/>
  </r>
  <r>
    <x v="195"/>
    <s v="BRW-0160"/>
    <d v="2025-02-21T00:00:00"/>
    <s v="Auto Loan"/>
    <n v="31800"/>
    <n v="48"/>
    <n v="9.85"/>
    <n v="804.24"/>
    <n v="56.2"/>
    <s v="Default"/>
    <n v="139"/>
    <x v="1"/>
    <x v="0"/>
  </r>
  <r>
    <x v="196"/>
    <s v="BRW-0161"/>
    <d v="2025-05-18T00:00:00"/>
    <s v="Home Improvement"/>
    <n v="40500"/>
    <n v="36"/>
    <n v="6.81"/>
    <n v="1247.01"/>
    <n v="56.1"/>
    <s v="Current"/>
    <n v="0"/>
    <x v="0"/>
    <x v="0"/>
  </r>
  <r>
    <x v="197"/>
    <s v="BRW-0162"/>
    <d v="2024-06-21T00:00:00"/>
    <s v="Home Improvement"/>
    <n v="7000"/>
    <n v="60"/>
    <n v="12.59"/>
    <n v="157.81"/>
    <n v="29.2"/>
    <s v="Default"/>
    <n v="80"/>
    <x v="1"/>
    <x v="1"/>
  </r>
  <r>
    <x v="198"/>
    <s v="BRW-0163"/>
    <d v="2025-05-26T00:00:00"/>
    <s v="Wedding"/>
    <n v="21400"/>
    <n v="24"/>
    <n v="15.11"/>
    <n v="1038.73"/>
    <n v="71.099999999999994"/>
    <s v="Default"/>
    <n v="178"/>
    <x v="1"/>
    <x v="0"/>
  </r>
  <r>
    <x v="199"/>
    <s v="BRW-0164"/>
    <d v="2025-06-07T00:00:00"/>
    <s v="Major Purchase"/>
    <n v="30000"/>
    <n v="48"/>
    <n v="13.97"/>
    <n v="819.34"/>
    <n v="27.9"/>
    <s v="Current"/>
    <n v="0"/>
    <x v="0"/>
    <x v="1"/>
  </r>
  <r>
    <x v="200"/>
    <s v="BRW-0165"/>
    <d v="2024-02-24T00:00:00"/>
    <s v="Vacation"/>
    <n v="28300"/>
    <n v="12"/>
    <n v="7.71"/>
    <n v="2457.98"/>
    <n v="65.099999999999994"/>
    <s v="Current"/>
    <n v="0"/>
    <x v="0"/>
    <x v="0"/>
  </r>
  <r>
    <x v="201"/>
    <s v="BRW-0166"/>
    <d v="2024-03-19T00:00:00"/>
    <s v="Wedding"/>
    <n v="9300"/>
    <n v="60"/>
    <n v="13.93"/>
    <n v="216.06"/>
    <n v="50.9"/>
    <s v="Current"/>
    <n v="0"/>
    <x v="0"/>
    <x v="0"/>
  </r>
  <r>
    <x v="202"/>
    <s v="BRW-0167"/>
    <d v="2024-01-19T00:00:00"/>
    <s v="Auto Loan"/>
    <n v="21500"/>
    <n v="36"/>
    <n v="10.93"/>
    <n v="703.17"/>
    <n v="67"/>
    <s v="Current"/>
    <n v="0"/>
    <x v="0"/>
    <x v="0"/>
  </r>
  <r>
    <x v="203"/>
    <s v="BRW-0168"/>
    <d v="2024-02-03T00:00:00"/>
    <s v="Major Purchase"/>
    <n v="42900"/>
    <n v="48"/>
    <n v="9.85"/>
    <n v="1084.97"/>
    <n v="33.299999999999997"/>
    <s v="Paid Off"/>
    <n v="0"/>
    <x v="0"/>
    <x v="1"/>
  </r>
  <r>
    <x v="204"/>
    <s v="BRW-0168"/>
    <d v="2024-04-22T00:00:00"/>
    <s v="Medical Expenses"/>
    <n v="8500"/>
    <n v="48"/>
    <n v="9.99"/>
    <n v="215.54"/>
    <n v="25.3"/>
    <s v="Current"/>
    <n v="0"/>
    <x v="0"/>
    <x v="1"/>
  </r>
  <r>
    <x v="205"/>
    <s v="BRW-0169"/>
    <d v="2024-09-26T00:00:00"/>
    <s v="Vacation"/>
    <n v="36800"/>
    <n v="60"/>
    <n v="7.78"/>
    <n v="742.3"/>
    <n v="39.5"/>
    <s v="Late"/>
    <n v="30"/>
    <x v="0"/>
    <x v="1"/>
  </r>
  <r>
    <x v="206"/>
    <s v="BRW-0170"/>
    <d v="2025-01-10T00:00:00"/>
    <s v="Auto Loan"/>
    <n v="2500"/>
    <n v="12"/>
    <n v="8.11"/>
    <n v="217.6"/>
    <n v="32.299999999999997"/>
    <s v="Current"/>
    <n v="0"/>
    <x v="0"/>
    <x v="1"/>
  </r>
  <r>
    <x v="207"/>
    <s v="BRW-0171"/>
    <d v="2024-02-27T00:00:00"/>
    <s v="Education"/>
    <n v="15400"/>
    <n v="36"/>
    <n v="12.59"/>
    <n v="515.85"/>
    <n v="56.6"/>
    <s v="Late"/>
    <n v="0"/>
    <x v="0"/>
    <x v="0"/>
  </r>
  <r>
    <x v="208"/>
    <s v="BRW-0171"/>
    <d v="2024-06-22T00:00:00"/>
    <s v="Wedding"/>
    <n v="12800"/>
    <n v="36"/>
    <n v="11.11"/>
    <n v="419.72"/>
    <n v="54"/>
    <s v="Default"/>
    <n v="113"/>
    <x v="1"/>
    <x v="0"/>
  </r>
  <r>
    <x v="209"/>
    <s v="BRW-0172"/>
    <d v="2025-04-25T00:00:00"/>
    <s v="Major Purchase"/>
    <n v="45300"/>
    <n v="36"/>
    <n v="7.2"/>
    <n v="1402.88"/>
    <n v="36.299999999999997"/>
    <s v="Late"/>
    <n v="30"/>
    <x v="0"/>
    <x v="1"/>
  </r>
  <r>
    <x v="210"/>
    <s v="BRW-0173"/>
    <d v="2025-05-29T00:00:00"/>
    <s v="Wedding"/>
    <n v="14800"/>
    <n v="24"/>
    <n v="8.93"/>
    <n v="675.66"/>
    <n v="23.8"/>
    <s v="Current"/>
    <n v="0"/>
    <x v="0"/>
    <x v="2"/>
  </r>
  <r>
    <x v="211"/>
    <s v="BRW-0174"/>
    <d v="2024-08-07T00:00:00"/>
    <s v="Major Purchase"/>
    <n v="11400"/>
    <n v="12"/>
    <n v="14.49"/>
    <n v="1026.2"/>
    <n v="90.3"/>
    <s v="Default"/>
    <n v="42"/>
    <x v="1"/>
    <x v="4"/>
  </r>
  <r>
    <x v="212"/>
    <s v="BRW-0175"/>
    <d v="2024-04-07T00:00:00"/>
    <s v="Wedding"/>
    <n v="10400"/>
    <n v="12"/>
    <n v="9.5399999999999991"/>
    <n v="912.1"/>
    <n v="33.700000000000003"/>
    <s v="Current"/>
    <n v="0"/>
    <x v="0"/>
    <x v="1"/>
  </r>
  <r>
    <x v="213"/>
    <s v="BRW-0176"/>
    <d v="2024-11-03T00:00:00"/>
    <s v="Major Purchase"/>
    <n v="30700"/>
    <n v="36"/>
    <n v="12.87"/>
    <n v="1032.48"/>
    <n v="56.3"/>
    <s v="Default"/>
    <n v="168"/>
    <x v="1"/>
    <x v="0"/>
  </r>
  <r>
    <x v="214"/>
    <s v="BRW-0177"/>
    <d v="2024-07-03T00:00:00"/>
    <s v="Major Purchase"/>
    <n v="27100"/>
    <n v="48"/>
    <n v="13.19"/>
    <n v="729.58"/>
    <n v="70.5"/>
    <s v="Current"/>
    <n v="0"/>
    <x v="0"/>
    <x v="0"/>
  </r>
  <r>
    <x v="215"/>
    <s v="BRW-0178"/>
    <d v="2025-06-29T00:00:00"/>
    <s v="Vacation"/>
    <n v="24700"/>
    <n v="48"/>
    <n v="7.62"/>
    <n v="598.6"/>
    <n v="64.8"/>
    <s v="Late"/>
    <n v="15"/>
    <x v="0"/>
    <x v="0"/>
  </r>
  <r>
    <x v="216"/>
    <s v="BRW-0179"/>
    <d v="2024-11-03T00:00:00"/>
    <s v="Debt Consolidation"/>
    <n v="14000"/>
    <n v="24"/>
    <n v="7.97"/>
    <n v="632.99"/>
    <n v="31.5"/>
    <s v="Paid Off"/>
    <n v="0"/>
    <x v="0"/>
    <x v="1"/>
  </r>
  <r>
    <x v="217"/>
    <s v="BRW-0179"/>
    <d v="2024-06-13T00:00:00"/>
    <s v="Home Improvement"/>
    <n v="34000"/>
    <n v="36"/>
    <n v="10.89"/>
    <n v="1111.3499999999999"/>
    <n v="46.7"/>
    <s v="Current"/>
    <n v="0"/>
    <x v="0"/>
    <x v="1"/>
  </r>
  <r>
    <x v="218"/>
    <s v="BRW-0180"/>
    <d v="2025-03-22T00:00:00"/>
    <s v="Business Loan"/>
    <n v="22700"/>
    <n v="36"/>
    <n v="10.39"/>
    <n v="736.63"/>
    <n v="44.9"/>
    <s v="Late"/>
    <n v="15"/>
    <x v="0"/>
    <x v="1"/>
  </r>
  <r>
    <x v="219"/>
    <s v="BRW-0181"/>
    <d v="2024-02-13T00:00:00"/>
    <s v="Debt Consolidation"/>
    <n v="22000"/>
    <n v="60"/>
    <n v="11"/>
    <n v="478.33"/>
    <n v="64.7"/>
    <s v="Current"/>
    <n v="0"/>
    <x v="0"/>
    <x v="0"/>
  </r>
  <r>
    <x v="220"/>
    <s v="BRW-0182"/>
    <d v="2025-02-20T00:00:00"/>
    <s v="Home Improvement"/>
    <n v="10000"/>
    <n v="12"/>
    <n v="15"/>
    <n v="902.58"/>
    <n v="61.8"/>
    <s v="Paid Off"/>
    <n v="0"/>
    <x v="0"/>
    <x v="0"/>
  </r>
  <r>
    <x v="221"/>
    <s v="BRW-0182"/>
    <d v="2025-05-27T00:00:00"/>
    <s v="Major Purchase"/>
    <n v="36800"/>
    <n v="24"/>
    <n v="11.68"/>
    <n v="1726.81"/>
    <n v="85.1"/>
    <s v="Paid Off"/>
    <n v="0"/>
    <x v="0"/>
    <x v="4"/>
  </r>
  <r>
    <x v="222"/>
    <s v="BRW-0183"/>
    <d v="2024-11-16T00:00:00"/>
    <s v="Moving"/>
    <n v="27600"/>
    <n v="24"/>
    <n v="9.2200000000000006"/>
    <n v="1263.69"/>
    <n v="64.8"/>
    <s v="Current"/>
    <n v="0"/>
    <x v="0"/>
    <x v="0"/>
  </r>
  <r>
    <x v="223"/>
    <s v="BRW-0183"/>
    <d v="2024-10-08T00:00:00"/>
    <s v="Business Loan"/>
    <n v="12500"/>
    <n v="12"/>
    <n v="7.09"/>
    <n v="1082.0999999999999"/>
    <n v="60.5"/>
    <s v="Current"/>
    <n v="0"/>
    <x v="0"/>
    <x v="0"/>
  </r>
  <r>
    <x v="224"/>
    <s v="BRW-0184"/>
    <d v="2024-09-09T00:00:00"/>
    <s v="Education"/>
    <n v="5000"/>
    <n v="60"/>
    <n v="7.95"/>
    <n v="101.26"/>
    <n v="40.700000000000003"/>
    <s v="Late"/>
    <n v="15"/>
    <x v="0"/>
    <x v="1"/>
  </r>
  <r>
    <x v="225"/>
    <s v="BRW-0185"/>
    <d v="2024-02-25T00:00:00"/>
    <s v="Education"/>
    <n v="2800"/>
    <n v="60"/>
    <n v="8.86"/>
    <n v="57.93"/>
    <n v="22"/>
    <s v="Current"/>
    <n v="0"/>
    <x v="0"/>
    <x v="2"/>
  </r>
  <r>
    <x v="226"/>
    <s v="BRW-0186"/>
    <d v="2024-08-30T00:00:00"/>
    <s v="Auto Loan"/>
    <n v="35600"/>
    <n v="12"/>
    <n v="9.81"/>
    <n v="3126.66"/>
    <n v="96.8"/>
    <s v="Paid Off"/>
    <n v="0"/>
    <x v="0"/>
    <x v="4"/>
  </r>
  <r>
    <x v="227"/>
    <s v="BRW-0187"/>
    <d v="2024-06-13T00:00:00"/>
    <s v="Auto Loan"/>
    <n v="46900"/>
    <n v="24"/>
    <n v="9.25"/>
    <n v="2148"/>
    <n v="34.9"/>
    <s v="Paid Off"/>
    <n v="0"/>
    <x v="0"/>
    <x v="1"/>
  </r>
  <r>
    <x v="228"/>
    <s v="BRW-0188"/>
    <d v="2025-05-18T00:00:00"/>
    <s v="Major Purchase"/>
    <n v="15200"/>
    <n v="12"/>
    <n v="12.02"/>
    <n v="1350.64"/>
    <n v="88"/>
    <s v="Paid Off"/>
    <n v="0"/>
    <x v="0"/>
    <x v="4"/>
  </r>
  <r>
    <x v="229"/>
    <s v="BRW-0189"/>
    <d v="2025-03-06T00:00:00"/>
    <s v="Home Improvement"/>
    <n v="35500"/>
    <n v="60"/>
    <n v="10.07"/>
    <n v="755.49"/>
    <n v="33.200000000000003"/>
    <s v="Paid Off"/>
    <n v="0"/>
    <x v="0"/>
    <x v="1"/>
  </r>
  <r>
    <x v="230"/>
    <s v="BRW-0190"/>
    <d v="2024-05-19T00:00:00"/>
    <s v="Debt Consolidation"/>
    <n v="30700"/>
    <n v="24"/>
    <n v="12.35"/>
    <n v="1450.18"/>
    <n v="74.900000000000006"/>
    <s v="Default"/>
    <n v="81"/>
    <x v="1"/>
    <x v="0"/>
  </r>
  <r>
    <x v="231"/>
    <s v="BRW-0191"/>
    <d v="2024-05-13T00:00:00"/>
    <s v="Education"/>
    <n v="6300"/>
    <n v="24"/>
    <n v="12.83"/>
    <n v="299.01"/>
    <n v="51.9"/>
    <s v="Paid Off"/>
    <n v="0"/>
    <x v="0"/>
    <x v="0"/>
  </r>
  <r>
    <x v="232"/>
    <s v="BRW-0192"/>
    <d v="2024-12-01T00:00:00"/>
    <s v="Vacation"/>
    <n v="8400"/>
    <n v="24"/>
    <n v="11.52"/>
    <n v="393.54"/>
    <n v="54.4"/>
    <s v="Current"/>
    <n v="0"/>
    <x v="0"/>
    <x v="0"/>
  </r>
  <r>
    <x v="233"/>
    <s v="BRW-0193"/>
    <d v="2024-01-24T00:00:00"/>
    <s v="Major Purchase"/>
    <n v="44400"/>
    <n v="24"/>
    <n v="10.19"/>
    <n v="2052.73"/>
    <n v="74.7"/>
    <s v="Late"/>
    <n v="0"/>
    <x v="0"/>
    <x v="0"/>
  </r>
  <r>
    <x v="234"/>
    <s v="BRW-0194"/>
    <d v="2025-03-15T00:00:00"/>
    <s v="Vacation"/>
    <n v="35700"/>
    <n v="24"/>
    <n v="6.98"/>
    <n v="1598.06"/>
    <n v="64.7"/>
    <s v="Paid Off"/>
    <n v="0"/>
    <x v="0"/>
    <x v="0"/>
  </r>
  <r>
    <x v="235"/>
    <s v="BRW-0194"/>
    <d v="2025-04-09T00:00:00"/>
    <s v="Medical Expenses"/>
    <n v="7600"/>
    <n v="60"/>
    <n v="8.91"/>
    <n v="157.43"/>
    <n v="47.1"/>
    <s v="Current"/>
    <n v="0"/>
    <x v="0"/>
    <x v="1"/>
  </r>
  <r>
    <x v="236"/>
    <s v="BRW-0195"/>
    <d v="2024-07-30T00:00:00"/>
    <s v="Auto Loan"/>
    <n v="13900"/>
    <n v="24"/>
    <n v="10.54"/>
    <n v="644.88"/>
    <n v="39.1"/>
    <s v="Late"/>
    <n v="30"/>
    <x v="0"/>
    <x v="1"/>
  </r>
  <r>
    <x v="237"/>
    <s v="BRW-0196"/>
    <d v="2024-09-25T00:00:00"/>
    <s v="Major Purchase"/>
    <n v="29800"/>
    <n v="12"/>
    <n v="7.73"/>
    <n v="2588.54"/>
    <n v="81.900000000000006"/>
    <s v="Current"/>
    <n v="0"/>
    <x v="0"/>
    <x v="4"/>
  </r>
  <r>
    <x v="238"/>
    <s v="BRW-0197"/>
    <d v="2025-02-11T00:00:00"/>
    <s v="Vacation"/>
    <n v="17500"/>
    <n v="36"/>
    <n v="10.71"/>
    <n v="570.53"/>
    <n v="52"/>
    <s v="Paid Off"/>
    <n v="0"/>
    <x v="0"/>
    <x v="0"/>
  </r>
  <r>
    <x v="239"/>
    <s v="BRW-0198"/>
    <d v="2024-08-28T00:00:00"/>
    <s v="Auto Loan"/>
    <n v="17700"/>
    <n v="12"/>
    <n v="11.3"/>
    <n v="1566.83"/>
    <n v="48.2"/>
    <s v="Late"/>
    <n v="0"/>
    <x v="0"/>
    <x v="1"/>
  </r>
  <r>
    <x v="240"/>
    <s v="BRW-0199"/>
    <d v="2025-01-25T00:00:00"/>
    <s v="Wedding"/>
    <n v="32100"/>
    <n v="12"/>
    <n v="10.9"/>
    <n v="2835.55"/>
    <n v="139.69999999999999"/>
    <s v="Default"/>
    <n v="131"/>
    <x v="1"/>
    <x v="3"/>
  </r>
  <r>
    <x v="241"/>
    <s v="BRW-0200"/>
    <d v="2024-06-22T00:00:00"/>
    <s v="Medical Expenses"/>
    <n v="28900"/>
    <n v="60"/>
    <n v="11.63"/>
    <n v="637.47"/>
    <n v="74.599999999999994"/>
    <s v="Default"/>
    <n v="116"/>
    <x v="1"/>
    <x v="0"/>
  </r>
  <r>
    <x v="242"/>
    <s v="BRW-0201"/>
    <d v="2024-04-29T00:00:00"/>
    <s v="Medical Expenses"/>
    <n v="15500"/>
    <n v="48"/>
    <n v="7.34"/>
    <n v="373.62"/>
    <n v="49.7"/>
    <s v="Late"/>
    <n v="30"/>
    <x v="0"/>
    <x v="1"/>
  </r>
  <r>
    <x v="243"/>
    <s v="BRW-0201"/>
    <d v="2024-09-26T00:00:00"/>
    <s v="Auto Loan"/>
    <n v="46500"/>
    <n v="36"/>
    <n v="11.15"/>
    <n v="1525.66"/>
    <n v="76.5"/>
    <s v="Current"/>
    <n v="0"/>
    <x v="0"/>
    <x v="4"/>
  </r>
  <r>
    <x v="244"/>
    <s v="BRW-0202"/>
    <d v="2025-03-26T00:00:00"/>
    <s v="Medical Expenses"/>
    <n v="49700"/>
    <n v="24"/>
    <n v="11.68"/>
    <n v="2332.13"/>
    <n v="83.2"/>
    <s v="Default"/>
    <n v="68"/>
    <x v="1"/>
    <x v="4"/>
  </r>
  <r>
    <x v="245"/>
    <s v="BRW-0203"/>
    <d v="2025-05-21T00:00:00"/>
    <s v="Medical Expenses"/>
    <n v="10100"/>
    <n v="48"/>
    <n v="9.1"/>
    <n v="251.82"/>
    <n v="21.8"/>
    <s v="Default"/>
    <n v="121"/>
    <x v="1"/>
    <x v="2"/>
  </r>
  <r>
    <x v="246"/>
    <s v="BRW-0204"/>
    <d v="2024-04-05T00:00:00"/>
    <s v="Moving"/>
    <n v="25700"/>
    <n v="24"/>
    <n v="8.25"/>
    <n v="1165.27"/>
    <n v="21.4"/>
    <s v="Paid Off"/>
    <n v="0"/>
    <x v="0"/>
    <x v="2"/>
  </r>
  <r>
    <x v="247"/>
    <s v="BRW-0204"/>
    <d v="2024-01-05T00:00:00"/>
    <s v="Moving"/>
    <n v="29000"/>
    <n v="60"/>
    <n v="8.6999999999999993"/>
    <n v="597.78"/>
    <n v="14.4"/>
    <s v="Current"/>
    <n v="0"/>
    <x v="0"/>
    <x v="2"/>
  </r>
  <r>
    <x v="248"/>
    <s v="BRW-0205"/>
    <d v="2024-05-04T00:00:00"/>
    <s v="Vacation"/>
    <n v="27200"/>
    <n v="12"/>
    <n v="8.59"/>
    <n v="2373.5100000000002"/>
    <n v="137.4"/>
    <s v="Paid Off"/>
    <n v="0"/>
    <x v="0"/>
    <x v="3"/>
  </r>
  <r>
    <x v="249"/>
    <s v="BRW-0206"/>
    <d v="2024-10-02T00:00:00"/>
    <s v="Medical Expenses"/>
    <n v="4700"/>
    <n v="48"/>
    <n v="11.45"/>
    <n v="122.5"/>
    <n v="22.8"/>
    <s v="Paid Off"/>
    <n v="0"/>
    <x v="0"/>
    <x v="2"/>
  </r>
  <r>
    <x v="250"/>
    <s v="BRW-0206"/>
    <d v="2024-02-19T00:00:00"/>
    <s v="Wedding"/>
    <n v="12400"/>
    <n v="60"/>
    <n v="9.83"/>
    <n v="262.43"/>
    <n v="29.9"/>
    <s v="Paid Off"/>
    <n v="0"/>
    <x v="0"/>
    <x v="1"/>
  </r>
  <r>
    <x v="251"/>
    <s v="BRW-0207"/>
    <d v="2024-09-02T00:00:00"/>
    <s v="Moving"/>
    <n v="20300"/>
    <n v="48"/>
    <n v="11.28"/>
    <n v="527.42999999999995"/>
    <n v="51.1"/>
    <s v="Late"/>
    <n v="15"/>
    <x v="0"/>
    <x v="0"/>
  </r>
  <r>
    <x v="252"/>
    <s v="BRW-0208"/>
    <d v="2025-05-17T00:00:00"/>
    <s v="Medical Expenses"/>
    <n v="21300"/>
    <n v="24"/>
    <n v="8.7899999999999991"/>
    <n v="971.03"/>
    <n v="49"/>
    <s v="Paid Off"/>
    <n v="0"/>
    <x v="0"/>
    <x v="1"/>
  </r>
  <r>
    <x v="253"/>
    <s v="BRW-0208"/>
    <d v="2025-05-16T00:00:00"/>
    <s v="Wedding"/>
    <n v="31800"/>
    <n v="36"/>
    <n v="10.75"/>
    <n v="1037.33"/>
    <n v="49.8"/>
    <s v="Current"/>
    <n v="0"/>
    <x v="0"/>
    <x v="1"/>
  </r>
  <r>
    <x v="254"/>
    <s v="BRW-0209"/>
    <d v="2025-03-12T00:00:00"/>
    <s v="Home Improvement"/>
    <n v="40900"/>
    <n v="60"/>
    <n v="10.37"/>
    <n v="876.47"/>
    <n v="17.3"/>
    <s v="Default"/>
    <n v="161"/>
    <x v="1"/>
    <x v="2"/>
  </r>
  <r>
    <x v="255"/>
    <s v="BRW-0210"/>
    <d v="2025-06-23T00:00:00"/>
    <s v="Vacation"/>
    <n v="33100"/>
    <n v="24"/>
    <n v="13.1"/>
    <n v="1575.19"/>
    <n v="67.3"/>
    <s v="Current"/>
    <n v="0"/>
    <x v="0"/>
    <x v="0"/>
  </r>
  <r>
    <x v="256"/>
    <s v="BRW-0211"/>
    <d v="2025-06-19T00:00:00"/>
    <s v="Vacation"/>
    <n v="21300"/>
    <n v="36"/>
    <n v="11.26"/>
    <n v="699.96"/>
    <n v="71.099999999999994"/>
    <s v="Current"/>
    <n v="0"/>
    <x v="0"/>
    <x v="0"/>
  </r>
  <r>
    <x v="257"/>
    <s v="BRW-0212"/>
    <d v="2024-09-16T00:00:00"/>
    <s v="Moving"/>
    <n v="6900"/>
    <n v="12"/>
    <n v="11.99"/>
    <n v="613.02"/>
    <n v="62.1"/>
    <s v="Default"/>
    <n v="179"/>
    <x v="1"/>
    <x v="0"/>
  </r>
  <r>
    <x v="258"/>
    <s v="BRW-0212"/>
    <d v="2024-07-05T00:00:00"/>
    <s v="Home Improvement"/>
    <n v="2600"/>
    <n v="48"/>
    <n v="10.56"/>
    <n v="66.64"/>
    <n v="41.2"/>
    <s v="Current"/>
    <n v="0"/>
    <x v="0"/>
    <x v="1"/>
  </r>
  <r>
    <x v="259"/>
    <s v="BRW-0213"/>
    <d v="2024-09-28T00:00:00"/>
    <s v="Education"/>
    <n v="23800"/>
    <n v="48"/>
    <n v="10.65"/>
    <n v="611.09"/>
    <n v="27.8"/>
    <s v="Late"/>
    <n v="15"/>
    <x v="0"/>
    <x v="1"/>
  </r>
  <r>
    <x v="260"/>
    <s v="BRW-0214"/>
    <d v="2024-01-19T00:00:00"/>
    <s v="Home Improvement"/>
    <n v="18600"/>
    <n v="12"/>
    <n v="10.15"/>
    <n v="1636.53"/>
    <n v="99.8"/>
    <s v="Default"/>
    <n v="59"/>
    <x v="1"/>
    <x v="4"/>
  </r>
  <r>
    <x v="261"/>
    <s v="BRW-0215"/>
    <d v="2024-11-06T00:00:00"/>
    <s v="Vacation"/>
    <n v="21400"/>
    <n v="60"/>
    <n v="12.71"/>
    <n v="483.74"/>
    <n v="34.4"/>
    <s v="Late"/>
    <n v="30"/>
    <x v="0"/>
    <x v="1"/>
  </r>
  <r>
    <x v="262"/>
    <s v="BRW-0216"/>
    <d v="2024-04-24T00:00:00"/>
    <s v="Major Purchase"/>
    <n v="6200"/>
    <n v="24"/>
    <n v="9.9"/>
    <n v="285.81"/>
    <n v="14.5"/>
    <s v="Current"/>
    <n v="0"/>
    <x v="0"/>
    <x v="2"/>
  </r>
  <r>
    <x v="263"/>
    <s v="BRW-0217"/>
    <d v="2024-07-14T00:00:00"/>
    <s v="Vacation"/>
    <n v="27800"/>
    <n v="48"/>
    <n v="10.78"/>
    <n v="715.54"/>
    <n v="38.1"/>
    <s v="Current"/>
    <n v="0"/>
    <x v="0"/>
    <x v="1"/>
  </r>
  <r>
    <x v="264"/>
    <s v="BRW-0218"/>
    <d v="2025-04-27T00:00:00"/>
    <s v="Home Improvement"/>
    <n v="5500"/>
    <n v="48"/>
    <n v="11.5"/>
    <n v="143.49"/>
    <n v="36.6"/>
    <s v="Default"/>
    <n v="145"/>
    <x v="1"/>
    <x v="1"/>
  </r>
  <r>
    <x v="265"/>
    <s v="BRW-0219"/>
    <d v="2024-01-09T00:00:00"/>
    <s v="Business Loan"/>
    <n v="39400"/>
    <n v="48"/>
    <n v="6.77"/>
    <n v="939.28"/>
    <n v="26.5"/>
    <s v="Default"/>
    <n v="140"/>
    <x v="1"/>
    <x v="1"/>
  </r>
  <r>
    <x v="266"/>
    <s v="BRW-0220"/>
    <d v="2024-02-07T00:00:00"/>
    <s v="Vacation"/>
    <n v="30600"/>
    <n v="60"/>
    <n v="12.03"/>
    <n v="681.14"/>
    <n v="39.4"/>
    <s v="Current"/>
    <n v="0"/>
    <x v="0"/>
    <x v="1"/>
  </r>
  <r>
    <x v="267"/>
    <s v="BRW-0220"/>
    <d v="2024-03-03T00:00:00"/>
    <s v="Wedding"/>
    <n v="45400"/>
    <n v="48"/>
    <n v="8.19"/>
    <n v="1112.4000000000001"/>
    <n v="43.3"/>
    <s v="Current"/>
    <n v="0"/>
    <x v="0"/>
    <x v="1"/>
  </r>
  <r>
    <x v="268"/>
    <s v="BRW-0221"/>
    <d v="2024-12-21T00:00:00"/>
    <s v="Major Purchase"/>
    <n v="7600"/>
    <n v="60"/>
    <n v="12.33"/>
    <n v="170.33"/>
    <n v="11"/>
    <s v="Current"/>
    <n v="0"/>
    <x v="0"/>
    <x v="2"/>
  </r>
  <r>
    <x v="269"/>
    <s v="BRW-0222"/>
    <d v="2024-12-13T00:00:00"/>
    <s v="Vacation"/>
    <n v="13100"/>
    <n v="24"/>
    <n v="13.44"/>
    <n v="625.51"/>
    <n v="53.4"/>
    <s v="Late"/>
    <n v="15"/>
    <x v="0"/>
    <x v="0"/>
  </r>
  <r>
    <x v="270"/>
    <s v="BRW-0223"/>
    <d v="2025-01-03T00:00:00"/>
    <s v="Auto Loan"/>
    <n v="20700"/>
    <n v="48"/>
    <n v="12"/>
    <n v="545.11"/>
    <n v="19.8"/>
    <s v="Paid Off"/>
    <n v="0"/>
    <x v="0"/>
    <x v="2"/>
  </r>
  <r>
    <x v="271"/>
    <s v="BRW-0224"/>
    <d v="2024-07-23T00:00:00"/>
    <s v="Auto Loan"/>
    <n v="6100"/>
    <n v="48"/>
    <n v="10.48"/>
    <n v="156.12"/>
    <n v="42.8"/>
    <s v="Default"/>
    <n v="155"/>
    <x v="1"/>
    <x v="1"/>
  </r>
  <r>
    <x v="272"/>
    <s v="BRW-0225"/>
    <d v="2024-02-18T00:00:00"/>
    <s v="Major Purchase"/>
    <n v="25700"/>
    <n v="24"/>
    <n v="7.93"/>
    <n v="1161.52"/>
    <n v="38.1"/>
    <s v="Current"/>
    <n v="0"/>
    <x v="0"/>
    <x v="1"/>
  </r>
  <r>
    <x v="273"/>
    <s v="BRW-0226"/>
    <d v="2024-12-11T00:00:00"/>
    <s v="Medical Expenses"/>
    <n v="43900"/>
    <n v="12"/>
    <n v="14.33"/>
    <n v="3948.47"/>
    <n v="177.4"/>
    <s v="Default"/>
    <n v="88"/>
    <x v="1"/>
    <x v="3"/>
  </r>
  <r>
    <x v="274"/>
    <s v="BRW-0227"/>
    <d v="2024-09-30T00:00:00"/>
    <s v="Business Loan"/>
    <n v="49700"/>
    <n v="36"/>
    <n v="11.21"/>
    <n v="1632.06"/>
    <n v="51.2"/>
    <s v="Late"/>
    <n v="15"/>
    <x v="0"/>
    <x v="0"/>
  </r>
  <r>
    <x v="275"/>
    <s v="BRW-0228"/>
    <d v="2024-04-23T00:00:00"/>
    <s v="Home Improvement"/>
    <n v="46500"/>
    <n v="48"/>
    <n v="12.61"/>
    <n v="1238.5"/>
    <n v="56.2"/>
    <s v="Late"/>
    <n v="0"/>
    <x v="0"/>
    <x v="0"/>
  </r>
  <r>
    <x v="276"/>
    <s v="BRW-0229"/>
    <d v="2024-04-30T00:00:00"/>
    <s v="Home Improvement"/>
    <n v="4000"/>
    <n v="12"/>
    <n v="7.24"/>
    <n v="346.55"/>
    <n v="55.6"/>
    <s v="Late"/>
    <n v="15"/>
    <x v="0"/>
    <x v="0"/>
  </r>
  <r>
    <x v="277"/>
    <s v="BRW-0229"/>
    <d v="2024-04-11T00:00:00"/>
    <s v="Auto Loan"/>
    <n v="38600"/>
    <n v="48"/>
    <n v="10.06"/>
    <n v="980.11"/>
    <n v="61.5"/>
    <s v="Default"/>
    <n v="123"/>
    <x v="1"/>
    <x v="0"/>
  </r>
  <r>
    <x v="278"/>
    <s v="BRW-0230"/>
    <d v="2024-01-07T00:00:00"/>
    <s v="Medical Expenses"/>
    <n v="8100"/>
    <n v="48"/>
    <n v="12"/>
    <n v="213.3"/>
    <n v="43.4"/>
    <s v="Current"/>
    <n v="0"/>
    <x v="0"/>
    <x v="1"/>
  </r>
  <r>
    <x v="279"/>
    <s v="BRW-0231"/>
    <d v="2024-09-08T00:00:00"/>
    <s v="Home Improvement"/>
    <n v="22300"/>
    <n v="48"/>
    <n v="8.94"/>
    <n v="554.29999999999995"/>
    <n v="25.8"/>
    <s v="Current"/>
    <n v="0"/>
    <x v="0"/>
    <x v="1"/>
  </r>
  <r>
    <x v="280"/>
    <s v="BRW-0232"/>
    <d v="2025-06-12T00:00:00"/>
    <s v="Major Purchase"/>
    <n v="21600"/>
    <n v="48"/>
    <n v="11.09"/>
    <n v="559.21"/>
    <n v="46.2"/>
    <s v="Current"/>
    <n v="0"/>
    <x v="0"/>
    <x v="1"/>
  </r>
  <r>
    <x v="281"/>
    <s v="BRW-0233"/>
    <d v="2024-11-18T00:00:00"/>
    <s v="Debt Consolidation"/>
    <n v="26800"/>
    <n v="12"/>
    <n v="9.7200000000000006"/>
    <n v="2352.66"/>
    <n v="31.1"/>
    <s v="Current"/>
    <n v="0"/>
    <x v="0"/>
    <x v="1"/>
  </r>
  <r>
    <x v="282"/>
    <s v="BRW-0234"/>
    <d v="2025-06-16T00:00:00"/>
    <s v="Debt Consolidation"/>
    <n v="32800"/>
    <n v="60"/>
    <n v="6.69"/>
    <n v="644.69000000000005"/>
    <n v="36.299999999999997"/>
    <s v="Paid Off"/>
    <n v="0"/>
    <x v="0"/>
    <x v="1"/>
  </r>
  <r>
    <x v="283"/>
    <s v="BRW-0235"/>
    <d v="2024-10-13T00:00:00"/>
    <s v="Auto Loan"/>
    <n v="17100"/>
    <n v="36"/>
    <n v="7.04"/>
    <n v="528.30999999999995"/>
    <n v="60.7"/>
    <s v="Current"/>
    <n v="0"/>
    <x v="0"/>
    <x v="0"/>
  </r>
  <r>
    <x v="284"/>
    <s v="BRW-0236"/>
    <d v="2024-12-19T00:00:00"/>
    <s v="Business Loan"/>
    <n v="32000"/>
    <n v="60"/>
    <n v="11.38"/>
    <n v="701.84"/>
    <n v="44.8"/>
    <s v="Current"/>
    <n v="0"/>
    <x v="0"/>
    <x v="1"/>
  </r>
  <r>
    <x v="285"/>
    <s v="BRW-0237"/>
    <d v="2024-05-09T00:00:00"/>
    <s v="Auto Loan"/>
    <n v="22300"/>
    <n v="48"/>
    <n v="11.48"/>
    <n v="581.57000000000005"/>
    <n v="49.1"/>
    <s v="Current"/>
    <n v="0"/>
    <x v="0"/>
    <x v="1"/>
  </r>
  <r>
    <x v="286"/>
    <s v="BRW-0238"/>
    <d v="2024-09-21T00:00:00"/>
    <s v="Auto Loan"/>
    <n v="24100"/>
    <n v="24"/>
    <n v="7.82"/>
    <n v="1088"/>
    <n v="72.2"/>
    <s v="Paid Off"/>
    <n v="0"/>
    <x v="0"/>
    <x v="0"/>
  </r>
  <r>
    <x v="287"/>
    <s v="BRW-0239"/>
    <d v="2024-12-28T00:00:00"/>
    <s v="Home Improvement"/>
    <n v="42400"/>
    <n v="36"/>
    <n v="11.95"/>
    <n v="1407.27"/>
    <n v="48.1"/>
    <s v="Default"/>
    <n v="61"/>
    <x v="1"/>
    <x v="1"/>
  </r>
  <r>
    <x v="288"/>
    <s v="BRW-0239"/>
    <d v="2024-08-29T00:00:00"/>
    <s v="Vacation"/>
    <n v="37400"/>
    <n v="48"/>
    <n v="10.51"/>
    <n v="957.75"/>
    <n v="41.7"/>
    <s v="Late"/>
    <n v="30"/>
    <x v="0"/>
    <x v="1"/>
  </r>
  <r>
    <x v="289"/>
    <s v="BRW-0240"/>
    <d v="2024-05-23T00:00:00"/>
    <s v="Moving"/>
    <n v="13200"/>
    <n v="36"/>
    <n v="8.17"/>
    <n v="414.68"/>
    <n v="57.1"/>
    <s v="Current"/>
    <n v="0"/>
    <x v="0"/>
    <x v="0"/>
  </r>
  <r>
    <x v="290"/>
    <s v="BRW-0240"/>
    <d v="2024-05-30T00:00:00"/>
    <s v="Education"/>
    <n v="11200"/>
    <n v="36"/>
    <n v="9.02"/>
    <n v="356.26"/>
    <n v="56.5"/>
    <s v="Current"/>
    <n v="0"/>
    <x v="0"/>
    <x v="0"/>
  </r>
  <r>
    <x v="291"/>
    <s v="BRW-0241"/>
    <d v="2025-02-16T00:00:00"/>
    <s v="Medical Expenses"/>
    <n v="22800"/>
    <n v="36"/>
    <n v="14.15"/>
    <n v="780.91"/>
    <n v="25.2"/>
    <s v="Current"/>
    <n v="0"/>
    <x v="0"/>
    <x v="1"/>
  </r>
  <r>
    <x v="292"/>
    <s v="BRW-0242"/>
    <d v="2025-03-02T00:00:00"/>
    <s v="Vacation"/>
    <n v="37700"/>
    <n v="48"/>
    <n v="9.64"/>
    <n v="949.66"/>
    <n v="70"/>
    <s v="Current"/>
    <n v="0"/>
    <x v="0"/>
    <x v="0"/>
  </r>
  <r>
    <x v="293"/>
    <s v="BRW-0243"/>
    <d v="2024-08-05T00:00:00"/>
    <s v="Medical Expenses"/>
    <n v="10400"/>
    <n v="60"/>
    <n v="7.41"/>
    <n v="207.95"/>
    <n v="65.5"/>
    <s v="Current"/>
    <n v="0"/>
    <x v="0"/>
    <x v="0"/>
  </r>
  <r>
    <x v="294"/>
    <s v="BRW-0244"/>
    <d v="2024-10-23T00:00:00"/>
    <s v="Home Improvement"/>
    <n v="14200"/>
    <n v="12"/>
    <n v="12.28"/>
    <n v="1263.51"/>
    <n v="66.2"/>
    <s v="Default"/>
    <n v="69"/>
    <x v="1"/>
    <x v="0"/>
  </r>
  <r>
    <x v="295"/>
    <s v="BRW-0245"/>
    <d v="2024-05-26T00:00:00"/>
    <s v="Auto Loan"/>
    <n v="16600"/>
    <n v="48"/>
    <n v="7.86"/>
    <n v="404.16"/>
    <n v="49.6"/>
    <s v="Current"/>
    <n v="0"/>
    <x v="0"/>
    <x v="1"/>
  </r>
  <r>
    <x v="296"/>
    <s v="BRW-0246"/>
    <d v="2024-12-23T00:00:00"/>
    <s v="Auto Loan"/>
    <n v="41100"/>
    <n v="48"/>
    <n v="10.23"/>
    <n v="1046.95"/>
    <n v="50.9"/>
    <s v="Default"/>
    <n v="41"/>
    <x v="1"/>
    <x v="0"/>
  </r>
  <r>
    <x v="297"/>
    <s v="BRW-0246"/>
    <d v="2025-01-21T00:00:00"/>
    <s v="Major Purchase"/>
    <n v="16900"/>
    <n v="48"/>
    <n v="14.72"/>
    <n v="467.94"/>
    <n v="43.1"/>
    <s v="Late"/>
    <n v="0"/>
    <x v="0"/>
    <x v="1"/>
  </r>
  <r>
    <x v="298"/>
    <s v="BRW-0247"/>
    <d v="2024-11-29T00:00:00"/>
    <s v="Moving"/>
    <n v="31000"/>
    <n v="48"/>
    <n v="9.18"/>
    <n v="774.09"/>
    <n v="40.200000000000003"/>
    <s v="Default"/>
    <n v="134"/>
    <x v="1"/>
    <x v="1"/>
  </r>
  <r>
    <x v="299"/>
    <s v="BRW-0248"/>
    <d v="2024-03-31T00:00:00"/>
    <s v="Major Purchase"/>
    <n v="3800"/>
    <n v="48"/>
    <n v="14.21"/>
    <n v="104.24"/>
    <n v="16.100000000000001"/>
    <s v="Current"/>
    <n v="0"/>
    <x v="0"/>
    <x v="2"/>
  </r>
  <r>
    <x v="300"/>
    <s v="BRW-0249"/>
    <d v="2024-02-24T00:00:00"/>
    <s v="Auto Loan"/>
    <n v="5100"/>
    <n v="60"/>
    <n v="8.2899999999999991"/>
    <n v="104.12"/>
    <n v="51.2"/>
    <s v="Paid Off"/>
    <n v="0"/>
    <x v="0"/>
    <x v="0"/>
  </r>
  <r>
    <x v="301"/>
    <s v="BRW-0250"/>
    <d v="2024-10-08T00:00:00"/>
    <s v="Debt Consolidation"/>
    <n v="27200"/>
    <n v="24"/>
    <n v="14.71"/>
    <n v="1315.09"/>
    <n v="66.5"/>
    <s v="Paid Off"/>
    <n v="0"/>
    <x v="0"/>
    <x v="0"/>
  </r>
  <r>
    <x v="302"/>
    <s v="BRW-0251"/>
    <d v="2024-02-16T00:00:00"/>
    <s v="Vacation"/>
    <n v="12100"/>
    <n v="36"/>
    <n v="10.28"/>
    <n v="392.03"/>
    <n v="52.7"/>
    <s v="Late"/>
    <n v="15"/>
    <x v="0"/>
    <x v="0"/>
  </r>
  <r>
    <x v="303"/>
    <s v="BRW-0251"/>
    <d v="2024-04-03T00:00:00"/>
    <s v="Medical Expenses"/>
    <n v="35900"/>
    <n v="36"/>
    <n v="10.18"/>
    <n v="1161.43"/>
    <n v="70.5"/>
    <s v="Default"/>
    <n v="55"/>
    <x v="1"/>
    <x v="0"/>
  </r>
  <r>
    <x v="304"/>
    <s v="BRW-0252"/>
    <d v="2025-02-21T00:00:00"/>
    <s v="Auto Loan"/>
    <n v="9900"/>
    <n v="12"/>
    <n v="9.92"/>
    <n v="870"/>
    <n v="54"/>
    <s v="Paid Off"/>
    <n v="0"/>
    <x v="0"/>
    <x v="0"/>
  </r>
  <r>
    <x v="305"/>
    <s v="BRW-0253"/>
    <d v="2024-11-27T00:00:00"/>
    <s v="Debt Consolidation"/>
    <n v="5700"/>
    <n v="24"/>
    <n v="11.13"/>
    <n v="266.01"/>
    <n v="49.6"/>
    <s v="Late"/>
    <n v="15"/>
    <x v="0"/>
    <x v="1"/>
  </r>
  <r>
    <x v="306"/>
    <s v="BRW-0254"/>
    <d v="2025-05-31T00:00:00"/>
    <s v="Business Loan"/>
    <n v="30100"/>
    <n v="48"/>
    <n v="13.59"/>
    <n v="816.35"/>
    <n v="27"/>
    <s v="Current"/>
    <n v="0"/>
    <x v="0"/>
    <x v="1"/>
  </r>
  <r>
    <x v="307"/>
    <s v="BRW-0255"/>
    <d v="2024-01-20T00:00:00"/>
    <s v="Major Purchase"/>
    <n v="2400"/>
    <n v="24"/>
    <n v="14.87"/>
    <n v="116.22"/>
    <n v="38.299999999999997"/>
    <s v="Default"/>
    <n v="180"/>
    <x v="1"/>
    <x v="1"/>
  </r>
  <r>
    <x v="308"/>
    <s v="BRW-0256"/>
    <d v="2025-02-20T00:00:00"/>
    <s v="Business Loan"/>
    <n v="33300"/>
    <n v="24"/>
    <n v="11.81"/>
    <n v="1564.59"/>
    <n v="34.299999999999997"/>
    <s v="Current"/>
    <n v="0"/>
    <x v="0"/>
    <x v="1"/>
  </r>
  <r>
    <x v="309"/>
    <s v="BRW-0257"/>
    <d v="2025-03-09T00:00:00"/>
    <s v="Medical Expenses"/>
    <n v="23500"/>
    <n v="24"/>
    <n v="12.7"/>
    <n v="1113.92"/>
    <n v="71.2"/>
    <s v="Current"/>
    <n v="0"/>
    <x v="0"/>
    <x v="0"/>
  </r>
  <r>
    <x v="310"/>
    <s v="BRW-0258"/>
    <d v="2025-05-08T00:00:00"/>
    <s v="Wedding"/>
    <n v="32700"/>
    <n v="12"/>
    <n v="7.25"/>
    <n v="2833.19"/>
    <n v="85.7"/>
    <s v="Late"/>
    <n v="0"/>
    <x v="0"/>
    <x v="4"/>
  </r>
  <r>
    <x v="311"/>
    <s v="BRW-0258"/>
    <d v="2024-06-14T00:00:00"/>
    <s v="Education"/>
    <n v="12200"/>
    <n v="60"/>
    <n v="8.36"/>
    <n v="249.48"/>
    <n v="26"/>
    <s v="Current"/>
    <n v="0"/>
    <x v="0"/>
    <x v="1"/>
  </r>
  <r>
    <x v="312"/>
    <s v="BRW-0259"/>
    <d v="2024-08-03T00:00:00"/>
    <s v="Home Improvement"/>
    <n v="35000"/>
    <n v="36"/>
    <n v="12.84"/>
    <n v="1176.5899999999999"/>
    <n v="76.099999999999994"/>
    <s v="Late"/>
    <n v="30"/>
    <x v="0"/>
    <x v="4"/>
  </r>
  <r>
    <x v="313"/>
    <s v="BRW-0260"/>
    <d v="2024-11-25T00:00:00"/>
    <s v="Education"/>
    <n v="49000"/>
    <n v="48"/>
    <n v="10.83"/>
    <n v="1262.3900000000001"/>
    <n v="46.7"/>
    <s v="Current"/>
    <n v="0"/>
    <x v="0"/>
    <x v="1"/>
  </r>
  <r>
    <x v="314"/>
    <s v="BRW-0261"/>
    <d v="2024-01-10T00:00:00"/>
    <s v="Medical Expenses"/>
    <n v="2100"/>
    <n v="48"/>
    <n v="8.42"/>
    <n v="51.68"/>
    <n v="11.8"/>
    <s v="Paid Off"/>
    <n v="0"/>
    <x v="0"/>
    <x v="2"/>
  </r>
  <r>
    <x v="315"/>
    <s v="BRW-0262"/>
    <d v="2025-03-31T00:00:00"/>
    <s v="Major Purchase"/>
    <n v="13300"/>
    <n v="12"/>
    <n v="9.34"/>
    <n v="1165.2"/>
    <n v="96.6"/>
    <s v="Paid Off"/>
    <n v="0"/>
    <x v="0"/>
    <x v="4"/>
  </r>
  <r>
    <x v="316"/>
    <s v="BRW-0263"/>
    <d v="2025-01-14T00:00:00"/>
    <s v="Education"/>
    <n v="42300"/>
    <n v="12"/>
    <n v="7.97"/>
    <n v="3679.02"/>
    <n v="72.599999999999994"/>
    <s v="Current"/>
    <n v="0"/>
    <x v="0"/>
    <x v="0"/>
  </r>
  <r>
    <x v="317"/>
    <s v="BRW-0263"/>
    <d v="2024-11-06T00:00:00"/>
    <s v="Debt Consolidation"/>
    <n v="34700"/>
    <n v="36"/>
    <n v="8.31"/>
    <n v="1092.3399999999999"/>
    <n v="48.2"/>
    <s v="Paid Off"/>
    <n v="0"/>
    <x v="0"/>
    <x v="1"/>
  </r>
  <r>
    <x v="318"/>
    <s v="BRW-0264"/>
    <d v="2024-07-19T00:00:00"/>
    <s v="Debt Consolidation"/>
    <n v="40100"/>
    <n v="60"/>
    <n v="7.03"/>
    <n v="794.6"/>
    <n v="64.8"/>
    <s v="Current"/>
    <n v="0"/>
    <x v="0"/>
    <x v="0"/>
  </r>
  <r>
    <x v="319"/>
    <s v="BRW-0264"/>
    <d v="2024-06-28T00:00:00"/>
    <s v="Auto Loan"/>
    <n v="25700"/>
    <n v="60"/>
    <n v="6.95"/>
    <n v="508.28"/>
    <n v="59.8"/>
    <s v="Default"/>
    <n v="62"/>
    <x v="1"/>
    <x v="0"/>
  </r>
  <r>
    <x v="320"/>
    <s v="BRW-0265"/>
    <d v="2024-10-07T00:00:00"/>
    <s v="Medical Expenses"/>
    <n v="29400"/>
    <n v="24"/>
    <n v="10.76"/>
    <n v="1367"/>
    <n v="38.799999999999997"/>
    <s v="Paid Off"/>
    <n v="0"/>
    <x v="0"/>
    <x v="1"/>
  </r>
  <r>
    <x v="321"/>
    <s v="BRW-0266"/>
    <d v="2025-03-13T00:00:00"/>
    <s v="Moving"/>
    <n v="32400"/>
    <n v="48"/>
    <n v="7.78"/>
    <n v="787.64"/>
    <n v="30.9"/>
    <s v="Late"/>
    <n v="15"/>
    <x v="0"/>
    <x v="1"/>
  </r>
  <r>
    <x v="322"/>
    <s v="BRW-0267"/>
    <d v="2025-04-22T00:00:00"/>
    <s v="Major Purchase"/>
    <n v="21500"/>
    <n v="12"/>
    <n v="9.58"/>
    <n v="1885.99"/>
    <n v="68.099999999999994"/>
    <s v="Current"/>
    <n v="0"/>
    <x v="0"/>
    <x v="0"/>
  </r>
  <r>
    <x v="323"/>
    <s v="BRW-0267"/>
    <d v="2024-01-06T00:00:00"/>
    <s v="Business Loan"/>
    <n v="25600"/>
    <n v="60"/>
    <n v="8.43"/>
    <n v="524.36"/>
    <n v="47.1"/>
    <s v="Paid Off"/>
    <n v="0"/>
    <x v="0"/>
    <x v="1"/>
  </r>
  <r>
    <x v="324"/>
    <s v="BRW-0268"/>
    <d v="2024-07-20T00:00:00"/>
    <s v="Business Loan"/>
    <n v="22300"/>
    <n v="12"/>
    <n v="14.87"/>
    <n v="2011.39"/>
    <n v="109.3"/>
    <s v="Default"/>
    <n v="109"/>
    <x v="1"/>
    <x v="5"/>
  </r>
  <r>
    <x v="325"/>
    <s v="BRW-0268"/>
    <d v="2024-01-25T00:00:00"/>
    <s v="Home Improvement"/>
    <n v="6100"/>
    <n v="48"/>
    <n v="12.44"/>
    <n v="161.96"/>
    <n v="56.6"/>
    <s v="Current"/>
    <n v="0"/>
    <x v="0"/>
    <x v="0"/>
  </r>
  <r>
    <x v="326"/>
    <s v="BRW-0269"/>
    <d v="2025-06-16T00:00:00"/>
    <s v="Home Improvement"/>
    <n v="48000"/>
    <n v="12"/>
    <n v="10.76"/>
    <n v="4236.95"/>
    <n v="117.3"/>
    <s v="Late"/>
    <n v="15"/>
    <x v="0"/>
    <x v="5"/>
  </r>
  <r>
    <x v="327"/>
    <s v="BRW-0270"/>
    <d v="2024-02-04T00:00:00"/>
    <s v="Home Improvement"/>
    <n v="29700"/>
    <n v="12"/>
    <n v="15.86"/>
    <n v="2692.74"/>
    <n v="119.6"/>
    <s v="Default"/>
    <n v="46"/>
    <x v="1"/>
    <x v="5"/>
  </r>
  <r>
    <x v="328"/>
    <s v="BRW-0271"/>
    <d v="2025-03-18T00:00:00"/>
    <s v="Debt Consolidation"/>
    <n v="22200"/>
    <n v="36"/>
    <n v="10.67"/>
    <n v="723.34"/>
    <n v="39.9"/>
    <s v="Default"/>
    <n v="44"/>
    <x v="1"/>
    <x v="1"/>
  </r>
  <r>
    <x v="329"/>
    <s v="BRW-0272"/>
    <d v="2024-08-26T00:00:00"/>
    <s v="Auto Loan"/>
    <n v="21300"/>
    <n v="60"/>
    <n v="13.16"/>
    <n v="486.39"/>
    <n v="23"/>
    <s v="Late"/>
    <n v="0"/>
    <x v="0"/>
    <x v="2"/>
  </r>
  <r>
    <x v="330"/>
    <s v="BRW-0273"/>
    <d v="2024-01-27T00:00:00"/>
    <s v="Vacation"/>
    <n v="44200"/>
    <n v="60"/>
    <n v="10.81"/>
    <n v="956.83"/>
    <n v="29.8"/>
    <s v="Current"/>
    <n v="0"/>
    <x v="0"/>
    <x v="1"/>
  </r>
  <r>
    <x v="331"/>
    <s v="BRW-0274"/>
    <d v="2024-05-09T00:00:00"/>
    <s v="Wedding"/>
    <n v="30500"/>
    <n v="24"/>
    <n v="10.36"/>
    <n v="1412.49"/>
    <n v="38.1"/>
    <s v="Current"/>
    <n v="0"/>
    <x v="0"/>
    <x v="1"/>
  </r>
  <r>
    <x v="332"/>
    <s v="BRW-0275"/>
    <d v="2024-11-15T00:00:00"/>
    <s v="Vacation"/>
    <n v="7900"/>
    <n v="12"/>
    <n v="8.77"/>
    <n v="690.02"/>
    <n v="29.9"/>
    <s v="Late"/>
    <n v="0"/>
    <x v="0"/>
    <x v="1"/>
  </r>
  <r>
    <x v="333"/>
    <s v="BRW-0276"/>
    <d v="2024-12-17T00:00:00"/>
    <s v="Wedding"/>
    <n v="39200"/>
    <n v="24"/>
    <n v="8.35"/>
    <n v="1779.17"/>
    <n v="69.400000000000006"/>
    <s v="Late"/>
    <n v="30"/>
    <x v="0"/>
    <x v="0"/>
  </r>
  <r>
    <x v="334"/>
    <s v="BRW-0277"/>
    <d v="2025-03-08T00:00:00"/>
    <s v="Medical Expenses"/>
    <n v="8800"/>
    <n v="60"/>
    <n v="14.04"/>
    <n v="204.94"/>
    <n v="33.4"/>
    <s v="Late"/>
    <n v="30"/>
    <x v="0"/>
    <x v="1"/>
  </r>
  <r>
    <x v="335"/>
    <s v="BRW-0278"/>
    <d v="2024-12-05T00:00:00"/>
    <s v="Home Improvement"/>
    <n v="28000"/>
    <n v="48"/>
    <n v="12.52"/>
    <n v="744.52"/>
    <n v="40.9"/>
    <s v="Current"/>
    <n v="0"/>
    <x v="0"/>
    <x v="1"/>
  </r>
  <r>
    <x v="336"/>
    <s v="BRW-0279"/>
    <d v="2024-01-04T00:00:00"/>
    <s v="Education"/>
    <n v="17200"/>
    <n v="12"/>
    <n v="12.86"/>
    <n v="1535.13"/>
    <n v="44.4"/>
    <s v="Current"/>
    <n v="0"/>
    <x v="0"/>
    <x v="1"/>
  </r>
  <r>
    <x v="337"/>
    <s v="BRW-0280"/>
    <d v="2025-01-19T00:00:00"/>
    <s v="Vacation"/>
    <n v="47700"/>
    <n v="36"/>
    <n v="10.99"/>
    <n v="1561.41"/>
    <n v="77.5"/>
    <s v="Paid Off"/>
    <n v="0"/>
    <x v="0"/>
    <x v="4"/>
  </r>
  <r>
    <x v="338"/>
    <s v="BRW-0281"/>
    <d v="2024-07-18T00:00:00"/>
    <s v="Home Improvement"/>
    <n v="28600"/>
    <n v="24"/>
    <n v="8.6999999999999993"/>
    <n v="1302.6500000000001"/>
    <n v="64"/>
    <s v="Late"/>
    <n v="15"/>
    <x v="0"/>
    <x v="0"/>
  </r>
  <r>
    <x v="339"/>
    <s v="BRW-0282"/>
    <d v="2024-12-13T00:00:00"/>
    <s v="Business Loan"/>
    <n v="4500"/>
    <n v="36"/>
    <n v="11.88"/>
    <n v="149.21"/>
    <n v="22.8"/>
    <s v="Current"/>
    <n v="0"/>
    <x v="0"/>
    <x v="2"/>
  </r>
  <r>
    <x v="340"/>
    <s v="BRW-0282"/>
    <d v="2024-05-20T00:00:00"/>
    <s v="Medical Expenses"/>
    <n v="36100"/>
    <n v="12"/>
    <n v="12.44"/>
    <n v="3214.88"/>
    <n v="145"/>
    <s v="Current"/>
    <n v="0"/>
    <x v="0"/>
    <x v="3"/>
  </r>
  <r>
    <x v="341"/>
    <s v="BRW-0283"/>
    <d v="2025-06-23T00:00:00"/>
    <s v="Auto Loan"/>
    <n v="19700"/>
    <n v="36"/>
    <n v="10.74"/>
    <n v="642.53"/>
    <n v="25"/>
    <s v="Late"/>
    <n v="30"/>
    <x v="0"/>
    <x v="1"/>
  </r>
  <r>
    <x v="342"/>
    <s v="BRW-0283"/>
    <d v="2024-07-15T00:00:00"/>
    <s v="Home Improvement"/>
    <n v="31300"/>
    <n v="24"/>
    <n v="11.41"/>
    <n v="1464.79"/>
    <n v="37.4"/>
    <s v="Current"/>
    <n v="0"/>
    <x v="0"/>
    <x v="1"/>
  </r>
  <r>
    <x v="343"/>
    <s v="BRW-0284"/>
    <d v="2024-10-28T00:00:00"/>
    <s v="Business Loan"/>
    <n v="38600"/>
    <n v="60"/>
    <n v="10.6"/>
    <n v="831.58"/>
    <n v="31"/>
    <s v="Current"/>
    <n v="0"/>
    <x v="0"/>
    <x v="1"/>
  </r>
  <r>
    <x v="344"/>
    <s v="BRW-0285"/>
    <d v="2024-03-24T00:00:00"/>
    <s v="Medical Expenses"/>
    <n v="48500"/>
    <n v="48"/>
    <n v="8.6300000000000008"/>
    <n v="1198.42"/>
    <n v="58.9"/>
    <s v="Late"/>
    <n v="0"/>
    <x v="0"/>
    <x v="0"/>
  </r>
  <r>
    <x v="345"/>
    <s v="BRW-0286"/>
    <d v="2025-06-15T00:00:00"/>
    <s v="Major Purchase"/>
    <n v="33000"/>
    <n v="60"/>
    <n v="9.6"/>
    <n v="694.68"/>
    <n v="38"/>
    <s v="Current"/>
    <n v="0"/>
    <x v="0"/>
    <x v="1"/>
  </r>
  <r>
    <x v="346"/>
    <s v="BRW-0287"/>
    <d v="2024-07-31T00:00:00"/>
    <s v="Vacation"/>
    <n v="25800"/>
    <n v="60"/>
    <n v="10.98"/>
    <n v="560.70000000000005"/>
    <n v="37"/>
    <s v="Paid Off"/>
    <n v="0"/>
    <x v="0"/>
    <x v="1"/>
  </r>
  <r>
    <x v="347"/>
    <s v="BRW-0288"/>
    <d v="2025-01-18T00:00:00"/>
    <s v="Auto Loan"/>
    <n v="20100"/>
    <n v="24"/>
    <n v="14.98"/>
    <n v="974.39"/>
    <n v="26.1"/>
    <s v="Default"/>
    <n v="51"/>
    <x v="1"/>
    <x v="1"/>
  </r>
  <r>
    <x v="348"/>
    <s v="BRW-0289"/>
    <d v="2025-04-21T00:00:00"/>
    <s v="Home Improvement"/>
    <n v="19900"/>
    <n v="24"/>
    <n v="9.8699999999999992"/>
    <n v="917.09"/>
    <n v="53.6"/>
    <s v="Current"/>
    <n v="0"/>
    <x v="0"/>
    <x v="0"/>
  </r>
  <r>
    <x v="349"/>
    <s v="BRW-0290"/>
    <d v="2025-03-28T00:00:00"/>
    <s v="Education"/>
    <n v="17200"/>
    <n v="48"/>
    <n v="10.56"/>
    <n v="440.88"/>
    <n v="9.8000000000000007"/>
    <s v="Default"/>
    <n v="49"/>
    <x v="1"/>
    <x v="2"/>
  </r>
  <r>
    <x v="350"/>
    <s v="BRW-0291"/>
    <d v="2024-10-10T00:00:00"/>
    <s v="Home Improvement"/>
    <n v="26100"/>
    <n v="60"/>
    <n v="12.42"/>
    <n v="586.13"/>
    <n v="19.899999999999999"/>
    <s v="Current"/>
    <n v="0"/>
    <x v="0"/>
    <x v="2"/>
  </r>
  <r>
    <x v="351"/>
    <s v="BRW-0292"/>
    <d v="2024-10-08T00:00:00"/>
    <s v="Business Loan"/>
    <n v="12600"/>
    <n v="36"/>
    <n v="11.36"/>
    <n v="414.66"/>
    <n v="62.4"/>
    <s v="Default"/>
    <n v="65"/>
    <x v="1"/>
    <x v="0"/>
  </r>
  <r>
    <x v="352"/>
    <s v="BRW-0293"/>
    <d v="2024-12-20T00:00:00"/>
    <s v="Moving"/>
    <n v="2400"/>
    <n v="36"/>
    <n v="8.51"/>
    <n v="75.77"/>
    <n v="29.5"/>
    <s v="Current"/>
    <n v="0"/>
    <x v="0"/>
    <x v="1"/>
  </r>
  <r>
    <x v="353"/>
    <s v="BRW-0293"/>
    <d v="2024-06-01T00:00:00"/>
    <s v="Wedding"/>
    <n v="2600"/>
    <n v="60"/>
    <n v="12.05"/>
    <n v="57.9"/>
    <n v="28.9"/>
    <s v="Paid Off"/>
    <n v="0"/>
    <x v="0"/>
    <x v="1"/>
  </r>
  <r>
    <x v="354"/>
    <s v="BRW-0294"/>
    <d v="2025-04-17T00:00:00"/>
    <s v="Business Loan"/>
    <n v="39700"/>
    <n v="48"/>
    <n v="10.93"/>
    <n v="1024.72"/>
    <n v="21.3"/>
    <s v="Paid Off"/>
    <n v="0"/>
    <x v="0"/>
    <x v="2"/>
  </r>
  <r>
    <x v="355"/>
    <s v="BRW-0295"/>
    <d v="2024-05-22T00:00:00"/>
    <s v="Major Purchase"/>
    <n v="9300"/>
    <n v="60"/>
    <n v="8.15"/>
    <n v="189.24"/>
    <n v="38.4"/>
    <s v="Paid Off"/>
    <n v="0"/>
    <x v="0"/>
    <x v="1"/>
  </r>
  <r>
    <x v="356"/>
    <s v="BRW-0296"/>
    <d v="2024-11-02T00:00:00"/>
    <s v="Education"/>
    <n v="19900"/>
    <n v="48"/>
    <n v="13.08"/>
    <n v="534.66"/>
    <n v="49.5"/>
    <s v="Paid Off"/>
    <n v="0"/>
    <x v="0"/>
    <x v="1"/>
  </r>
  <r>
    <x v="357"/>
    <s v="BRW-0297"/>
    <d v="2025-02-04T00:00:00"/>
    <s v="Medical Expenses"/>
    <n v="49700"/>
    <n v="60"/>
    <n v="9.3000000000000007"/>
    <n v="1038.94"/>
    <n v="37.5"/>
    <s v="Current"/>
    <n v="0"/>
    <x v="0"/>
    <x v="1"/>
  </r>
  <r>
    <x v="358"/>
    <s v="BRW-0297"/>
    <d v="2025-04-07T00:00:00"/>
    <s v="Moving"/>
    <n v="18800"/>
    <n v="36"/>
    <n v="9"/>
    <n v="597.83000000000004"/>
    <n v="26.7"/>
    <s v="Current"/>
    <n v="0"/>
    <x v="0"/>
    <x v="1"/>
  </r>
  <r>
    <x v="359"/>
    <s v="BRW-0298"/>
    <d v="2024-07-22T00:00:00"/>
    <s v="Medical Expenses"/>
    <n v="19000"/>
    <n v="48"/>
    <n v="6.03"/>
    <n v="446.48"/>
    <n v="54.1"/>
    <s v="Default"/>
    <n v="128"/>
    <x v="1"/>
    <x v="0"/>
  </r>
  <r>
    <x v="360"/>
    <s v="BRW-0299"/>
    <d v="2025-06-14T00:00:00"/>
    <s v="Business Loan"/>
    <n v="8100"/>
    <n v="48"/>
    <n v="8.1999999999999993"/>
    <n v="198.51"/>
    <n v="64.099999999999994"/>
    <s v="Default"/>
    <n v="113"/>
    <x v="1"/>
    <x v="0"/>
  </r>
  <r>
    <x v="361"/>
    <s v="BRW-0300"/>
    <d v="2025-05-04T00:00:00"/>
    <s v="Major Purchase"/>
    <n v="49500"/>
    <n v="24"/>
    <n v="13.08"/>
    <n v="2355.1799999999998"/>
    <n v="86.4"/>
    <s v="Paid Off"/>
    <n v="0"/>
    <x v="0"/>
    <x v="4"/>
  </r>
  <r>
    <x v="362"/>
    <s v="BRW-0300"/>
    <d v="2025-05-01T00:00:00"/>
    <s v="Business Loan"/>
    <n v="9200"/>
    <n v="48"/>
    <n v="14.49"/>
    <n v="253.67"/>
    <n v="55.4"/>
    <s v="Default"/>
    <n v="177"/>
    <x v="1"/>
    <x v="0"/>
  </r>
  <r>
    <x v="363"/>
    <s v="BRW-0301"/>
    <d v="2024-01-08T00:00:00"/>
    <s v="Wedding"/>
    <n v="26800"/>
    <n v="48"/>
    <n v="7.81"/>
    <n v="651.88"/>
    <n v="55.1"/>
    <s v="Paid Off"/>
    <n v="0"/>
    <x v="0"/>
    <x v="0"/>
  </r>
  <r>
    <x v="364"/>
    <s v="BRW-0301"/>
    <d v="2025-04-16T00:00:00"/>
    <s v="Wedding"/>
    <n v="27200"/>
    <n v="60"/>
    <n v="10.83"/>
    <n v="589.09"/>
    <n v="54"/>
    <s v="Current"/>
    <n v="0"/>
    <x v="0"/>
    <x v="0"/>
  </r>
  <r>
    <x v="365"/>
    <s v="BRW-0302"/>
    <d v="2024-06-28T00:00:00"/>
    <s v="Vacation"/>
    <n v="33100"/>
    <n v="36"/>
    <n v="12.62"/>
    <n v="1109.22"/>
    <n v="67.8"/>
    <s v="Default"/>
    <n v="75"/>
    <x v="1"/>
    <x v="0"/>
  </r>
  <r>
    <x v="366"/>
    <s v="BRW-0303"/>
    <d v="2024-04-07T00:00:00"/>
    <s v="Major Purchase"/>
    <n v="45700"/>
    <n v="24"/>
    <n v="9.33"/>
    <n v="2094.7199999999998"/>
    <n v="76"/>
    <s v="Late"/>
    <n v="15"/>
    <x v="0"/>
    <x v="4"/>
  </r>
  <r>
    <x v="367"/>
    <s v="BRW-0303"/>
    <d v="2024-03-09T00:00:00"/>
    <s v="Medical Expenses"/>
    <n v="32100"/>
    <n v="36"/>
    <n v="9.17"/>
    <n v="1023.31"/>
    <n v="63.2"/>
    <s v="Current"/>
    <n v="0"/>
    <x v="0"/>
    <x v="0"/>
  </r>
  <r>
    <x v="368"/>
    <s v="BRW-0304"/>
    <d v="2024-11-29T00:00:00"/>
    <s v="Moving"/>
    <n v="14600"/>
    <n v="12"/>
    <n v="8.36"/>
    <n v="1272.46"/>
    <n v="66.099999999999994"/>
    <s v="Current"/>
    <n v="0"/>
    <x v="0"/>
    <x v="0"/>
  </r>
  <r>
    <x v="369"/>
    <s v="BRW-0305"/>
    <d v="2025-02-12T00:00:00"/>
    <s v="Debt Consolidation"/>
    <n v="6200"/>
    <n v="48"/>
    <n v="7.94"/>
    <n v="151.19"/>
    <n v="50.7"/>
    <s v="Current"/>
    <n v="0"/>
    <x v="0"/>
    <x v="0"/>
  </r>
  <r>
    <x v="370"/>
    <s v="BRW-0306"/>
    <d v="2024-03-25T00:00:00"/>
    <s v="Medical Expenses"/>
    <n v="12300"/>
    <n v="48"/>
    <n v="9.32"/>
    <n v="307.95999999999998"/>
    <n v="34.200000000000003"/>
    <s v="Paid Off"/>
    <n v="0"/>
    <x v="0"/>
    <x v="1"/>
  </r>
  <r>
    <x v="371"/>
    <s v="BRW-0307"/>
    <d v="2024-06-30T00:00:00"/>
    <s v="Auto Loan"/>
    <n v="8800"/>
    <n v="12"/>
    <n v="13.28"/>
    <n v="787.15"/>
    <n v="48.2"/>
    <s v="Default"/>
    <n v="166"/>
    <x v="1"/>
    <x v="1"/>
  </r>
  <r>
    <x v="372"/>
    <s v="BRW-0308"/>
    <d v="2025-01-01T00:00:00"/>
    <s v="Medical Expenses"/>
    <n v="11000"/>
    <n v="36"/>
    <n v="7.78"/>
    <n v="343.58"/>
    <n v="45.1"/>
    <s v="Paid Off"/>
    <n v="0"/>
    <x v="0"/>
    <x v="1"/>
  </r>
  <r>
    <x v="373"/>
    <s v="BRW-0309"/>
    <d v="2024-04-15T00:00:00"/>
    <s v="Vacation"/>
    <n v="42200"/>
    <n v="60"/>
    <n v="13.39"/>
    <n v="968.63"/>
    <n v="69.7"/>
    <s v="Default"/>
    <n v="108"/>
    <x v="1"/>
    <x v="0"/>
  </r>
  <r>
    <x v="374"/>
    <s v="BRW-0310"/>
    <d v="2025-01-18T00:00:00"/>
    <s v="Wedding"/>
    <n v="13400"/>
    <n v="24"/>
    <n v="14.29"/>
    <n v="645.21"/>
    <n v="51.9"/>
    <s v="Current"/>
    <n v="0"/>
    <x v="0"/>
    <x v="0"/>
  </r>
  <r>
    <x v="375"/>
    <s v="BRW-0311"/>
    <d v="2024-04-08T00:00:00"/>
    <s v="Debt Consolidation"/>
    <n v="10100"/>
    <n v="12"/>
    <n v="9.89"/>
    <n v="887.43"/>
    <n v="67.099999999999994"/>
    <s v="Current"/>
    <n v="0"/>
    <x v="0"/>
    <x v="0"/>
  </r>
  <r>
    <x v="376"/>
    <s v="BRW-0312"/>
    <d v="2024-07-13T00:00:00"/>
    <s v="Major Purchase"/>
    <n v="23900"/>
    <n v="36"/>
    <n v="10.64"/>
    <n v="778.39"/>
    <n v="76.8"/>
    <s v="Late"/>
    <n v="15"/>
    <x v="0"/>
    <x v="4"/>
  </r>
  <r>
    <x v="377"/>
    <s v="BRW-0313"/>
    <d v="2024-11-19T00:00:00"/>
    <s v="Business Loan"/>
    <n v="8300"/>
    <n v="24"/>
    <n v="8.84"/>
    <n v="378.57"/>
    <n v="41"/>
    <s v="Default"/>
    <n v="84"/>
    <x v="1"/>
    <x v="1"/>
  </r>
  <r>
    <x v="378"/>
    <s v="BRW-0314"/>
    <d v="2024-03-09T00:00:00"/>
    <s v="Home Improvement"/>
    <n v="15400"/>
    <n v="60"/>
    <n v="8.19"/>
    <n v="313.66000000000003"/>
    <n v="20.9"/>
    <s v="Paid Off"/>
    <n v="0"/>
    <x v="0"/>
    <x v="2"/>
  </r>
  <r>
    <x v="379"/>
    <s v="BRW-0315"/>
    <d v="2024-04-07T00:00:00"/>
    <s v="Home Improvement"/>
    <n v="38100"/>
    <n v="60"/>
    <n v="9.17"/>
    <n v="794.04"/>
    <n v="64.5"/>
    <s v="Late"/>
    <n v="30"/>
    <x v="0"/>
    <x v="0"/>
  </r>
  <r>
    <x v="380"/>
    <s v="BRW-0316"/>
    <d v="2025-05-08T00:00:00"/>
    <s v="Medical Expenses"/>
    <n v="13700"/>
    <n v="36"/>
    <n v="15.64"/>
    <n v="479.22"/>
    <n v="36.200000000000003"/>
    <s v="Default"/>
    <n v="34"/>
    <x v="1"/>
    <x v="1"/>
  </r>
  <r>
    <x v="381"/>
    <s v="BRW-0317"/>
    <d v="2024-01-14T00:00:00"/>
    <s v="Wedding"/>
    <n v="26500"/>
    <n v="24"/>
    <n v="12.88"/>
    <n v="1258.3699999999999"/>
    <n v="30.3"/>
    <s v="Default"/>
    <n v="61"/>
    <x v="1"/>
    <x v="1"/>
  </r>
  <r>
    <x v="382"/>
    <s v="BRW-0318"/>
    <d v="2025-05-25T00:00:00"/>
    <s v="Major Purchase"/>
    <n v="21000"/>
    <n v="12"/>
    <n v="9.4499999999999993"/>
    <n v="1840.87"/>
    <n v="121.8"/>
    <s v="Current"/>
    <n v="0"/>
    <x v="0"/>
    <x v="5"/>
  </r>
  <r>
    <x v="383"/>
    <s v="BRW-0319"/>
    <d v="2024-11-21T00:00:00"/>
    <s v="Wedding"/>
    <n v="22800"/>
    <n v="36"/>
    <n v="10.199999999999999"/>
    <n v="737.83"/>
    <n v="37.200000000000003"/>
    <s v="Current"/>
    <n v="0"/>
    <x v="0"/>
    <x v="1"/>
  </r>
  <r>
    <x v="384"/>
    <s v="BRW-0320"/>
    <d v="2024-07-29T00:00:00"/>
    <s v="Auto Loan"/>
    <n v="13000"/>
    <n v="36"/>
    <n v="11.03"/>
    <n v="425.79"/>
    <n v="16.3"/>
    <s v="Late"/>
    <n v="15"/>
    <x v="0"/>
    <x v="2"/>
  </r>
  <r>
    <x v="385"/>
    <s v="BRW-0320"/>
    <d v="2025-01-25T00:00:00"/>
    <s v="Business Loan"/>
    <n v="35400"/>
    <n v="24"/>
    <n v="12.36"/>
    <n v="1672.36"/>
    <n v="36.299999999999997"/>
    <s v="Late"/>
    <n v="0"/>
    <x v="0"/>
    <x v="1"/>
  </r>
  <r>
    <x v="386"/>
    <s v="BRW-0321"/>
    <d v="2024-05-08T00:00:00"/>
    <s v="Vacation"/>
    <n v="5800"/>
    <n v="24"/>
    <n v="14.02"/>
    <n v="278.52999999999997"/>
    <n v="28.6"/>
    <s v="Default"/>
    <n v="170"/>
    <x v="1"/>
    <x v="1"/>
  </r>
  <r>
    <x v="387"/>
    <s v="BRW-0322"/>
    <d v="2024-07-21T00:00:00"/>
    <s v="Business Loan"/>
    <n v="4200"/>
    <n v="48"/>
    <n v="11.24"/>
    <n v="109.04"/>
    <n v="44.9"/>
    <s v="Default"/>
    <n v="75"/>
    <x v="1"/>
    <x v="1"/>
  </r>
  <r>
    <x v="388"/>
    <s v="BRW-0322"/>
    <d v="2024-07-25T00:00:00"/>
    <s v="Wedding"/>
    <n v="10200"/>
    <n v="48"/>
    <n v="14.52"/>
    <n v="281.39999999999998"/>
    <n v="49"/>
    <s v="Default"/>
    <n v="153"/>
    <x v="1"/>
    <x v="1"/>
  </r>
  <r>
    <x v="389"/>
    <s v="BRW-0323"/>
    <d v="2025-03-19T00:00:00"/>
    <s v="Education"/>
    <n v="8200"/>
    <n v="48"/>
    <n v="12.25"/>
    <n v="216.95"/>
    <n v="16.7"/>
    <s v="Paid Off"/>
    <n v="0"/>
    <x v="0"/>
    <x v="2"/>
  </r>
  <r>
    <x v="390"/>
    <s v="BRW-0324"/>
    <d v="2024-06-05T00:00:00"/>
    <s v="Major Purchase"/>
    <n v="4900"/>
    <n v="36"/>
    <n v="9.18"/>
    <n v="156.22999999999999"/>
    <n v="59"/>
    <s v="Current"/>
    <n v="0"/>
    <x v="0"/>
    <x v="0"/>
  </r>
  <r>
    <x v="391"/>
    <s v="BRW-0325"/>
    <d v="2025-04-25T00:00:00"/>
    <s v="Auto Loan"/>
    <n v="30600"/>
    <n v="12"/>
    <n v="9.93"/>
    <n v="2689.23"/>
    <n v="100.4"/>
    <s v="Default"/>
    <n v="78"/>
    <x v="1"/>
    <x v="5"/>
  </r>
  <r>
    <x v="392"/>
    <s v="BRW-0326"/>
    <d v="2025-02-08T00:00:00"/>
    <s v="Moving"/>
    <n v="20000"/>
    <n v="48"/>
    <n v="12.16"/>
    <n v="528.25"/>
    <n v="30.1"/>
    <s v="Current"/>
    <n v="0"/>
    <x v="0"/>
    <x v="1"/>
  </r>
  <r>
    <x v="393"/>
    <s v="BRW-0327"/>
    <d v="2024-06-15T00:00:00"/>
    <s v="Wedding"/>
    <n v="6100"/>
    <n v="12"/>
    <n v="10.74"/>
    <n v="538.39"/>
    <n v="47.2"/>
    <s v="Default"/>
    <n v="141"/>
    <x v="1"/>
    <x v="1"/>
  </r>
  <r>
    <x v="394"/>
    <s v="BRW-0328"/>
    <d v="2025-01-29T00:00:00"/>
    <s v="Education"/>
    <n v="24900"/>
    <n v="36"/>
    <n v="10.17"/>
    <n v="805.44"/>
    <n v="24"/>
    <s v="Current"/>
    <n v="0"/>
    <x v="0"/>
    <x v="2"/>
  </r>
  <r>
    <x v="395"/>
    <s v="BRW-0328"/>
    <d v="2024-05-31T00:00:00"/>
    <s v="Debt Consolidation"/>
    <n v="19300"/>
    <n v="12"/>
    <n v="10.17"/>
    <n v="1698.3"/>
    <n v="44"/>
    <s v="Late"/>
    <n v="0"/>
    <x v="0"/>
    <x v="1"/>
  </r>
  <r>
    <x v="396"/>
    <s v="BRW-0329"/>
    <d v="2024-04-04T00:00:00"/>
    <s v="Wedding"/>
    <n v="33800"/>
    <n v="24"/>
    <n v="6.85"/>
    <n v="1511.02"/>
    <n v="36.4"/>
    <s v="Late"/>
    <n v="15"/>
    <x v="0"/>
    <x v="1"/>
  </r>
  <r>
    <x v="397"/>
    <s v="BRW-0330"/>
    <d v="2025-03-13T00:00:00"/>
    <s v="Home Improvement"/>
    <n v="11100"/>
    <n v="48"/>
    <n v="9.5299999999999994"/>
    <n v="279.02999999999997"/>
    <n v="48.1"/>
    <s v="Default"/>
    <n v="107"/>
    <x v="1"/>
    <x v="1"/>
  </r>
  <r>
    <x v="398"/>
    <s v="BRW-0331"/>
    <d v="2024-04-01T00:00:00"/>
    <s v="Moving"/>
    <n v="20400"/>
    <n v="36"/>
    <n v="12.24"/>
    <n v="679.91"/>
    <n v="60.2"/>
    <s v="Default"/>
    <n v="176"/>
    <x v="1"/>
    <x v="0"/>
  </r>
  <r>
    <x v="399"/>
    <s v="BRW-0332"/>
    <d v="2025-02-11T00:00:00"/>
    <s v="Education"/>
    <n v="14900"/>
    <n v="24"/>
    <n v="14.15"/>
    <n v="716.45"/>
    <n v="32"/>
    <s v="Current"/>
    <n v="0"/>
    <x v="0"/>
    <x v="1"/>
  </r>
  <r>
    <x v="400"/>
    <s v="BRW-0333"/>
    <d v="2024-10-22T00:00:00"/>
    <s v="Home Improvement"/>
    <n v="15500"/>
    <n v="60"/>
    <n v="8.4499999999999993"/>
    <n v="317.63"/>
    <n v="52.3"/>
    <s v="Current"/>
    <n v="0"/>
    <x v="0"/>
    <x v="0"/>
  </r>
  <r>
    <x v="401"/>
    <s v="BRW-0334"/>
    <d v="2024-08-05T00:00:00"/>
    <s v="Business Loan"/>
    <n v="20100"/>
    <n v="12"/>
    <n v="12.95"/>
    <n v="1794.81"/>
    <n v="55.1"/>
    <s v="Default"/>
    <n v="45"/>
    <x v="1"/>
    <x v="0"/>
  </r>
  <r>
    <x v="402"/>
    <s v="BRW-0335"/>
    <d v="2024-04-21T00:00:00"/>
    <s v="Business Loan"/>
    <n v="34700"/>
    <n v="48"/>
    <n v="10.54"/>
    <n v="889.11"/>
    <n v="29.1"/>
    <s v="Current"/>
    <n v="0"/>
    <x v="0"/>
    <x v="1"/>
  </r>
  <r>
    <x v="403"/>
    <s v="BRW-0336"/>
    <d v="2024-04-13T00:00:00"/>
    <s v="Auto Loan"/>
    <n v="3400"/>
    <n v="24"/>
    <n v="10.039999999999999"/>
    <n v="156.96"/>
    <n v="13.2"/>
    <s v="Default"/>
    <n v="98"/>
    <x v="1"/>
    <x v="2"/>
  </r>
  <r>
    <x v="404"/>
    <s v="BRW-0337"/>
    <d v="2025-06-18T00:00:00"/>
    <s v="Debt Consolidation"/>
    <n v="39900"/>
    <n v="12"/>
    <n v="7.25"/>
    <n v="3457.02"/>
    <n v="77.599999999999994"/>
    <s v="Current"/>
    <n v="0"/>
    <x v="0"/>
    <x v="4"/>
  </r>
  <r>
    <x v="405"/>
    <s v="BRW-0338"/>
    <d v="2024-12-10T00:00:00"/>
    <s v="Auto Loan"/>
    <n v="24700"/>
    <n v="36"/>
    <n v="12.46"/>
    <n v="825.83"/>
    <n v="23.3"/>
    <s v="Late"/>
    <n v="15"/>
    <x v="0"/>
    <x v="2"/>
  </r>
  <r>
    <x v="406"/>
    <s v="BRW-0338"/>
    <d v="2024-12-30T00:00:00"/>
    <s v="Business Loan"/>
    <n v="33900"/>
    <n v="48"/>
    <n v="12.49"/>
    <n v="900.89"/>
    <n v="24.2"/>
    <s v="Current"/>
    <n v="0"/>
    <x v="0"/>
    <x v="2"/>
  </r>
  <r>
    <x v="407"/>
    <s v="BRW-0339"/>
    <d v="2024-05-05T00:00:00"/>
    <s v="Major Purchase"/>
    <n v="44600"/>
    <n v="24"/>
    <n v="6.46"/>
    <n v="1985.96"/>
    <n v="98.4"/>
    <s v="Late"/>
    <n v="0"/>
    <x v="0"/>
    <x v="4"/>
  </r>
  <r>
    <x v="408"/>
    <s v="BRW-0339"/>
    <d v="2024-07-11T00:00:00"/>
    <s v="Business Loan"/>
    <n v="25000"/>
    <n v="48"/>
    <n v="8.91"/>
    <n v="621.05999999999995"/>
    <n v="67.400000000000006"/>
    <s v="Default"/>
    <n v="112"/>
    <x v="1"/>
    <x v="0"/>
  </r>
  <r>
    <x v="409"/>
    <s v="BRW-0340"/>
    <d v="2024-08-27T00:00:00"/>
    <s v="Education"/>
    <n v="48500"/>
    <n v="36"/>
    <n v="11.66"/>
    <n v="1603.03"/>
    <n v="75.900000000000006"/>
    <s v="Late"/>
    <n v="0"/>
    <x v="0"/>
    <x v="4"/>
  </r>
  <r>
    <x v="410"/>
    <s v="BRW-0341"/>
    <d v="2024-04-12T00:00:00"/>
    <s v="Major Purchase"/>
    <n v="47200"/>
    <n v="48"/>
    <n v="13"/>
    <n v="1266.26"/>
    <n v="21.4"/>
    <s v="Current"/>
    <n v="0"/>
    <x v="0"/>
    <x v="2"/>
  </r>
  <r>
    <x v="411"/>
    <s v="BRW-0342"/>
    <d v="2025-05-24T00:00:00"/>
    <s v="Moving"/>
    <n v="39700"/>
    <n v="60"/>
    <n v="7.59"/>
    <n v="797.21"/>
    <n v="65.400000000000006"/>
    <s v="Late"/>
    <n v="0"/>
    <x v="0"/>
    <x v="0"/>
  </r>
  <r>
    <x v="412"/>
    <s v="BRW-0343"/>
    <d v="2024-09-03T00:00:00"/>
    <s v="Vacation"/>
    <n v="17000"/>
    <n v="12"/>
    <n v="8.58"/>
    <n v="1483.37"/>
    <n v="33.700000000000003"/>
    <s v="Paid Off"/>
    <n v="0"/>
    <x v="0"/>
    <x v="1"/>
  </r>
  <r>
    <x v="413"/>
    <s v="BRW-0344"/>
    <d v="2024-11-30T00:00:00"/>
    <s v="Home Improvement"/>
    <n v="36400"/>
    <n v="24"/>
    <n v="15.11"/>
    <n v="1766.82"/>
    <n v="37.6"/>
    <s v="Current"/>
    <n v="0"/>
    <x v="0"/>
    <x v="1"/>
  </r>
  <r>
    <x v="414"/>
    <s v="BRW-0345"/>
    <d v="2025-05-18T00:00:00"/>
    <s v="Vacation"/>
    <n v="34200"/>
    <n v="24"/>
    <n v="15.53"/>
    <n v="1666.87"/>
    <n v="73.900000000000006"/>
    <s v="Default"/>
    <n v="115"/>
    <x v="1"/>
    <x v="0"/>
  </r>
  <r>
    <x v="415"/>
    <s v="BRW-0346"/>
    <d v="2025-01-25T00:00:00"/>
    <s v="Wedding"/>
    <n v="22100"/>
    <n v="36"/>
    <n v="8.42"/>
    <n v="696.82"/>
    <n v="47.8"/>
    <s v="Paid Off"/>
    <n v="0"/>
    <x v="0"/>
    <x v="1"/>
  </r>
  <r>
    <x v="416"/>
    <s v="BRW-0346"/>
    <d v="2024-04-24T00:00:00"/>
    <s v="Major Purchase"/>
    <n v="9800"/>
    <n v="12"/>
    <n v="7.99"/>
    <n v="852.44"/>
    <n v="54.2"/>
    <s v="Default"/>
    <n v="78"/>
    <x v="1"/>
    <x v="0"/>
  </r>
  <r>
    <x v="417"/>
    <s v="BRW-0347"/>
    <d v="2024-01-02T00:00:00"/>
    <s v="Home Improvement"/>
    <n v="7000"/>
    <n v="36"/>
    <n v="11.75"/>
    <n v="231.67"/>
    <n v="26.4"/>
    <s v="Current"/>
    <n v="0"/>
    <x v="0"/>
    <x v="1"/>
  </r>
  <r>
    <x v="418"/>
    <s v="BRW-0348"/>
    <d v="2024-08-15T00:00:00"/>
    <s v="Major Purchase"/>
    <n v="12900"/>
    <n v="24"/>
    <n v="12.02"/>
    <n v="607.37"/>
    <n v="26.4"/>
    <s v="Default"/>
    <n v="32"/>
    <x v="1"/>
    <x v="1"/>
  </r>
  <r>
    <x v="419"/>
    <s v="BRW-0349"/>
    <d v="2025-05-26T00:00:00"/>
    <s v="Vacation"/>
    <n v="32200"/>
    <n v="36"/>
    <n v="10.02"/>
    <n v="1039.31"/>
    <n v="45.1"/>
    <s v="Current"/>
    <n v="0"/>
    <x v="0"/>
    <x v="1"/>
  </r>
  <r>
    <x v="420"/>
    <s v="BRW-0350"/>
    <d v="2025-05-04T00:00:00"/>
    <s v="Debt Consolidation"/>
    <n v="11300"/>
    <n v="12"/>
    <n v="10.33"/>
    <n v="995.18"/>
    <n v="47.5"/>
    <s v="Current"/>
    <n v="0"/>
    <x v="0"/>
    <x v="1"/>
  </r>
  <r>
    <x v="421"/>
    <s v="BRW-0351"/>
    <d v="2024-08-18T00:00:00"/>
    <s v="Debt Consolidation"/>
    <n v="18000"/>
    <n v="24"/>
    <n v="10.31"/>
    <n v="833.19"/>
    <n v="44.6"/>
    <s v="Paid Off"/>
    <n v="0"/>
    <x v="0"/>
    <x v="1"/>
  </r>
  <r>
    <x v="422"/>
    <s v="BRW-0351"/>
    <d v="2024-06-12T00:00:00"/>
    <s v="Medical Expenses"/>
    <n v="36900"/>
    <n v="36"/>
    <n v="10.99"/>
    <n v="1207.8800000000001"/>
    <n v="50.7"/>
    <s v="Current"/>
    <n v="0"/>
    <x v="0"/>
    <x v="0"/>
  </r>
  <r>
    <x v="423"/>
    <s v="BRW-0352"/>
    <d v="2024-10-16T00:00:00"/>
    <s v="Education"/>
    <n v="20800"/>
    <n v="60"/>
    <n v="12.8"/>
    <n v="471.14"/>
    <n v="52.9"/>
    <s v="Paid Off"/>
    <n v="0"/>
    <x v="0"/>
    <x v="0"/>
  </r>
  <r>
    <x v="424"/>
    <s v="BRW-0353"/>
    <d v="2024-11-07T00:00:00"/>
    <s v="Medical Expenses"/>
    <n v="40000"/>
    <n v="12"/>
    <n v="10.08"/>
    <n v="3518.12"/>
    <n v="107.2"/>
    <s v="Current"/>
    <n v="0"/>
    <x v="0"/>
    <x v="5"/>
  </r>
  <r>
    <x v="425"/>
    <s v="BRW-0354"/>
    <d v="2024-01-10T00:00:00"/>
    <s v="Auto Loan"/>
    <n v="12100"/>
    <n v="24"/>
    <n v="11.16"/>
    <n v="564.85"/>
    <n v="54.6"/>
    <s v="Late"/>
    <n v="15"/>
    <x v="0"/>
    <x v="0"/>
  </r>
  <r>
    <x v="426"/>
    <s v="BRW-0355"/>
    <d v="2024-04-08T00:00:00"/>
    <s v="Medical Expenses"/>
    <n v="49200"/>
    <n v="24"/>
    <n v="14.9"/>
    <n v="2383.21"/>
    <n v="69.400000000000006"/>
    <s v="Default"/>
    <n v="151"/>
    <x v="1"/>
    <x v="0"/>
  </r>
  <r>
    <x v="427"/>
    <s v="BRW-0356"/>
    <d v="2024-06-01T00:00:00"/>
    <s v="Debt Consolidation"/>
    <n v="21600"/>
    <n v="36"/>
    <n v="8.8000000000000007"/>
    <n v="684.87"/>
    <n v="21.5"/>
    <s v="Current"/>
    <n v="0"/>
    <x v="0"/>
    <x v="2"/>
  </r>
  <r>
    <x v="428"/>
    <s v="BRW-0357"/>
    <d v="2025-01-19T00:00:00"/>
    <s v="Vacation"/>
    <n v="12000"/>
    <n v="24"/>
    <n v="13.61"/>
    <n v="573.95000000000005"/>
    <n v="46.6"/>
    <s v="Late"/>
    <n v="30"/>
    <x v="0"/>
    <x v="1"/>
  </r>
  <r>
    <x v="429"/>
    <s v="BRW-0358"/>
    <d v="2025-03-31T00:00:00"/>
    <s v="Vacation"/>
    <n v="33200"/>
    <n v="36"/>
    <n v="10.3"/>
    <n v="1075.95"/>
    <n v="58.6"/>
    <s v="Current"/>
    <n v="0"/>
    <x v="0"/>
    <x v="0"/>
  </r>
  <r>
    <x v="430"/>
    <s v="BRW-0359"/>
    <d v="2024-04-06T00:00:00"/>
    <s v="Moving"/>
    <n v="30200"/>
    <n v="60"/>
    <n v="11.38"/>
    <n v="662.36"/>
    <n v="31.8"/>
    <s v="Current"/>
    <n v="0"/>
    <x v="0"/>
    <x v="1"/>
  </r>
  <r>
    <x v="431"/>
    <s v="BRW-0360"/>
    <d v="2024-07-08T00:00:00"/>
    <s v="Major Purchase"/>
    <n v="8000"/>
    <n v="36"/>
    <n v="7.22"/>
    <n v="247.82"/>
    <n v="23.8"/>
    <s v="Current"/>
    <n v="0"/>
    <x v="0"/>
    <x v="2"/>
  </r>
  <r>
    <x v="432"/>
    <s v="BRW-0361"/>
    <d v="2024-05-07T00:00:00"/>
    <s v="Moving"/>
    <n v="26900"/>
    <n v="60"/>
    <n v="8.5299999999999994"/>
    <n v="552.28"/>
    <n v="51.9"/>
    <s v="Late"/>
    <n v="0"/>
    <x v="0"/>
    <x v="0"/>
  </r>
  <r>
    <x v="433"/>
    <s v="BRW-0361"/>
    <d v="2025-04-02T00:00:00"/>
    <s v="Home Improvement"/>
    <n v="30800"/>
    <n v="24"/>
    <n v="5.86"/>
    <n v="1363.13"/>
    <n v="60.2"/>
    <s v="Current"/>
    <n v="0"/>
    <x v="0"/>
    <x v="0"/>
  </r>
  <r>
    <x v="434"/>
    <s v="BRW-0362"/>
    <d v="2024-05-07T00:00:00"/>
    <s v="Medical Expenses"/>
    <n v="14300"/>
    <n v="12"/>
    <n v="6.87"/>
    <n v="1236.48"/>
    <n v="23.6"/>
    <s v="Current"/>
    <n v="0"/>
    <x v="0"/>
    <x v="2"/>
  </r>
  <r>
    <x v="435"/>
    <s v="BRW-0363"/>
    <d v="2024-10-27T00:00:00"/>
    <s v="Debt Consolidation"/>
    <n v="3900"/>
    <n v="60"/>
    <n v="13.91"/>
    <n v="90.56"/>
    <n v="24.5"/>
    <s v="Current"/>
    <n v="0"/>
    <x v="0"/>
    <x v="2"/>
  </r>
  <r>
    <x v="436"/>
    <s v="BRW-0364"/>
    <d v="2024-08-02T00:00:00"/>
    <s v="Moving"/>
    <n v="49800"/>
    <n v="60"/>
    <n v="8.52"/>
    <n v="1022.2"/>
    <n v="52.7"/>
    <s v="Current"/>
    <n v="0"/>
    <x v="0"/>
    <x v="0"/>
  </r>
  <r>
    <x v="437"/>
    <s v="BRW-0365"/>
    <d v="2024-08-09T00:00:00"/>
    <s v="Medical Expenses"/>
    <n v="24000"/>
    <n v="24"/>
    <n v="11.19"/>
    <n v="1120.71"/>
    <n v="77.8"/>
    <s v="Paid Off"/>
    <n v="0"/>
    <x v="0"/>
    <x v="4"/>
  </r>
  <r>
    <x v="438"/>
    <s v="BRW-0366"/>
    <d v="2024-03-26T00:00:00"/>
    <s v="Moving"/>
    <n v="9800"/>
    <n v="24"/>
    <n v="8.3800000000000008"/>
    <n v="444.93"/>
    <n v="29.8"/>
    <s v="Paid Off"/>
    <n v="0"/>
    <x v="0"/>
    <x v="1"/>
  </r>
  <r>
    <x v="439"/>
    <s v="BRW-0367"/>
    <d v="2025-06-07T00:00:00"/>
    <s v="Business Loan"/>
    <n v="26000"/>
    <n v="24"/>
    <n v="14.51"/>
    <n v="1254.6099999999999"/>
    <n v="61.7"/>
    <s v="Current"/>
    <n v="0"/>
    <x v="0"/>
    <x v="0"/>
  </r>
  <r>
    <x v="440"/>
    <s v="BRW-0368"/>
    <d v="2024-05-07T00:00:00"/>
    <s v="Major Purchase"/>
    <n v="31700"/>
    <n v="24"/>
    <n v="6.22"/>
    <n v="1408.11"/>
    <n v="66.8"/>
    <s v="Current"/>
    <n v="0"/>
    <x v="0"/>
    <x v="0"/>
  </r>
  <r>
    <x v="441"/>
    <s v="BRW-0368"/>
    <d v="2024-05-29T00:00:00"/>
    <s v="Education"/>
    <n v="18100"/>
    <n v="36"/>
    <n v="9.7200000000000006"/>
    <n v="581.66"/>
    <n v="44"/>
    <s v="Current"/>
    <n v="0"/>
    <x v="0"/>
    <x v="1"/>
  </r>
  <r>
    <x v="442"/>
    <s v="BRW-0369"/>
    <d v="2024-11-09T00:00:00"/>
    <s v="Business Loan"/>
    <n v="7000"/>
    <n v="12"/>
    <n v="8.5"/>
    <n v="610.54"/>
    <n v="54.8"/>
    <s v="Current"/>
    <n v="0"/>
    <x v="0"/>
    <x v="0"/>
  </r>
  <r>
    <x v="443"/>
    <s v="BRW-0370"/>
    <d v="2024-02-19T00:00:00"/>
    <s v="Wedding"/>
    <n v="25100"/>
    <n v="60"/>
    <n v="10.83"/>
    <n v="543.61"/>
    <n v="68"/>
    <s v="Default"/>
    <n v="129"/>
    <x v="1"/>
    <x v="0"/>
  </r>
  <r>
    <x v="444"/>
    <s v="BRW-0371"/>
    <d v="2024-05-10T00:00:00"/>
    <s v="Moving"/>
    <n v="42100"/>
    <n v="48"/>
    <n v="11.95"/>
    <n v="1107.6199999999999"/>
    <n v="72.2"/>
    <s v="Default"/>
    <n v="161"/>
    <x v="1"/>
    <x v="0"/>
  </r>
  <r>
    <x v="445"/>
    <s v="BRW-0372"/>
    <d v="2025-01-14T00:00:00"/>
    <s v="Medical Expenses"/>
    <n v="14100"/>
    <n v="36"/>
    <n v="11.21"/>
    <n v="463.02"/>
    <n v="36.4"/>
    <s v="Late"/>
    <n v="0"/>
    <x v="0"/>
    <x v="1"/>
  </r>
  <r>
    <x v="446"/>
    <s v="BRW-0373"/>
    <d v="2024-10-09T00:00:00"/>
    <s v="Medical Expenses"/>
    <n v="17600"/>
    <n v="48"/>
    <n v="10.76"/>
    <n v="452.83"/>
    <n v="60.1"/>
    <s v="Paid Off"/>
    <n v="0"/>
    <x v="0"/>
    <x v="0"/>
  </r>
  <r>
    <x v="447"/>
    <s v="BRW-0374"/>
    <d v="2024-11-16T00:00:00"/>
    <s v="Business Loan"/>
    <n v="29700"/>
    <n v="36"/>
    <n v="8.4499999999999993"/>
    <n v="936.87"/>
    <n v="39.799999999999997"/>
    <s v="Current"/>
    <n v="0"/>
    <x v="0"/>
    <x v="1"/>
  </r>
  <r>
    <x v="448"/>
    <s v="BRW-0374"/>
    <d v="2024-10-19T00:00:00"/>
    <s v="Business Loan"/>
    <n v="9900"/>
    <n v="12"/>
    <n v="6.84"/>
    <n v="855.88"/>
    <n v="37.9"/>
    <s v="Paid Off"/>
    <n v="0"/>
    <x v="0"/>
    <x v="1"/>
  </r>
  <r>
    <x v="449"/>
    <s v="BRW-0375"/>
    <d v="2025-06-11T00:00:00"/>
    <s v="Major Purchase"/>
    <n v="46800"/>
    <n v="24"/>
    <n v="10.46"/>
    <n v="2169.5300000000002"/>
    <n v="43.4"/>
    <s v="Current"/>
    <n v="0"/>
    <x v="0"/>
    <x v="1"/>
  </r>
  <r>
    <x v="450"/>
    <s v="BRW-0375"/>
    <d v="2024-12-19T00:00:00"/>
    <s v="Home Improvement"/>
    <n v="31600"/>
    <n v="12"/>
    <n v="11.64"/>
    <n v="2802.3"/>
    <n v="50.1"/>
    <s v="Paid Off"/>
    <n v="0"/>
    <x v="0"/>
    <x v="0"/>
  </r>
  <r>
    <x v="451"/>
    <s v="BRW-0376"/>
    <d v="2025-06-20T00:00:00"/>
    <s v="Moving"/>
    <n v="3700"/>
    <n v="48"/>
    <n v="15.07"/>
    <n v="103.11"/>
    <n v="55.4"/>
    <s v="Current"/>
    <n v="0"/>
    <x v="0"/>
    <x v="0"/>
  </r>
  <r>
    <x v="452"/>
    <s v="BRW-0376"/>
    <d v="2024-06-23T00:00:00"/>
    <s v="Medical Expenses"/>
    <n v="33800"/>
    <n v="48"/>
    <n v="12.73"/>
    <n v="902.25"/>
    <n v="80.2"/>
    <s v="Default"/>
    <n v="58"/>
    <x v="1"/>
    <x v="4"/>
  </r>
  <r>
    <x v="453"/>
    <s v="BRW-0377"/>
    <d v="2025-05-09T00:00:00"/>
    <s v="Business Loan"/>
    <n v="42800"/>
    <n v="12"/>
    <n v="9.3699999999999992"/>
    <n v="3750.27"/>
    <n v="105.8"/>
    <s v="Paid Off"/>
    <n v="0"/>
    <x v="0"/>
    <x v="5"/>
  </r>
  <r>
    <x v="454"/>
    <s v="BRW-0378"/>
    <d v="2024-02-06T00:00:00"/>
    <s v="Business Loan"/>
    <n v="46600"/>
    <n v="60"/>
    <n v="11.4"/>
    <n v="1022.52"/>
    <n v="38"/>
    <s v="Late"/>
    <n v="15"/>
    <x v="0"/>
    <x v="1"/>
  </r>
  <r>
    <x v="455"/>
    <s v="BRW-0379"/>
    <d v="2024-12-24T00:00:00"/>
    <s v="Debt Consolidation"/>
    <n v="17800"/>
    <n v="36"/>
    <n v="11.5"/>
    <n v="586.97"/>
    <n v="42.5"/>
    <s v="Current"/>
    <n v="0"/>
    <x v="0"/>
    <x v="1"/>
  </r>
  <r>
    <x v="456"/>
    <s v="BRW-0380"/>
    <d v="2025-05-14T00:00:00"/>
    <s v="Vacation"/>
    <n v="14100"/>
    <n v="24"/>
    <n v="7.99"/>
    <n v="637.64"/>
    <n v="45.4"/>
    <s v="Default"/>
    <n v="94"/>
    <x v="1"/>
    <x v="1"/>
  </r>
  <r>
    <x v="457"/>
    <s v="BRW-0381"/>
    <d v="2024-10-02T00:00:00"/>
    <s v="Major Purchase"/>
    <n v="11000"/>
    <n v="24"/>
    <n v="13.82"/>
    <n v="527.21"/>
    <n v="56.6"/>
    <s v="Default"/>
    <n v="142"/>
    <x v="1"/>
    <x v="0"/>
  </r>
  <r>
    <x v="458"/>
    <s v="BRW-0382"/>
    <d v="2024-07-22T00:00:00"/>
    <s v="Vacation"/>
    <n v="19000"/>
    <n v="48"/>
    <n v="8.2100000000000009"/>
    <n v="465.72"/>
    <n v="17.600000000000001"/>
    <s v="Current"/>
    <n v="0"/>
    <x v="0"/>
    <x v="2"/>
  </r>
  <r>
    <x v="459"/>
    <s v="BRW-0383"/>
    <d v="2024-09-29T00:00:00"/>
    <s v="Education"/>
    <n v="9700"/>
    <n v="24"/>
    <n v="10.74"/>
    <n v="450.93"/>
    <n v="20.3"/>
    <s v="Current"/>
    <n v="0"/>
    <x v="0"/>
    <x v="2"/>
  </r>
  <r>
    <x v="460"/>
    <s v="BRW-0384"/>
    <d v="2025-02-02T00:00:00"/>
    <s v="Medical Expenses"/>
    <n v="38700"/>
    <n v="48"/>
    <n v="9.99"/>
    <n v="981.35"/>
    <n v="27.2"/>
    <s v="Late"/>
    <n v="30"/>
    <x v="0"/>
    <x v="1"/>
  </r>
  <r>
    <x v="461"/>
    <s v="BRW-0385"/>
    <d v="2024-12-16T00:00:00"/>
    <s v="Education"/>
    <n v="38800"/>
    <n v="24"/>
    <n v="11.03"/>
    <n v="1808.92"/>
    <n v="70.099999999999994"/>
    <s v="Default"/>
    <n v="32"/>
    <x v="1"/>
    <x v="0"/>
  </r>
  <r>
    <x v="462"/>
    <s v="BRW-0386"/>
    <d v="2024-06-05T00:00:00"/>
    <s v="Auto Loan"/>
    <n v="6000"/>
    <n v="48"/>
    <n v="11.91"/>
    <n v="157.74"/>
    <n v="12.6"/>
    <s v="Current"/>
    <n v="0"/>
    <x v="0"/>
    <x v="2"/>
  </r>
  <r>
    <x v="463"/>
    <s v="BRW-0387"/>
    <d v="2024-04-15T00:00:00"/>
    <s v="Auto Loan"/>
    <n v="13900"/>
    <n v="48"/>
    <n v="6.83"/>
    <n v="331.76"/>
    <n v="35.700000000000003"/>
    <s v="Current"/>
    <n v="0"/>
    <x v="0"/>
    <x v="1"/>
  </r>
  <r>
    <x v="464"/>
    <s v="BRW-0388"/>
    <d v="2024-02-09T00:00:00"/>
    <s v="Wedding"/>
    <n v="9100"/>
    <n v="12"/>
    <n v="10.78"/>
    <n v="803.34"/>
    <n v="54.5"/>
    <s v="Default"/>
    <n v="79"/>
    <x v="1"/>
    <x v="0"/>
  </r>
  <r>
    <x v="465"/>
    <s v="BRW-0388"/>
    <d v="2025-01-24T00:00:00"/>
    <s v="Medical Expenses"/>
    <n v="31600"/>
    <n v="12"/>
    <n v="14.44"/>
    <n v="2843.82"/>
    <n v="80.7"/>
    <s v="Default"/>
    <n v="108"/>
    <x v="1"/>
    <x v="4"/>
  </r>
  <r>
    <x v="466"/>
    <s v="BRW-0389"/>
    <d v="2024-02-22T00:00:00"/>
    <s v="Business Loan"/>
    <n v="8800"/>
    <n v="12"/>
    <n v="9.35"/>
    <n v="771"/>
    <n v="36.200000000000003"/>
    <s v="Current"/>
    <n v="0"/>
    <x v="0"/>
    <x v="1"/>
  </r>
  <r>
    <x v="467"/>
    <s v="BRW-0390"/>
    <d v="2024-02-23T00:00:00"/>
    <s v="Major Purchase"/>
    <n v="45000"/>
    <n v="24"/>
    <n v="9.1999999999999993"/>
    <n v="2059.9499999999998"/>
    <n v="72.5"/>
    <s v="Current"/>
    <n v="0"/>
    <x v="0"/>
    <x v="0"/>
  </r>
  <r>
    <x v="468"/>
    <s v="BRW-0391"/>
    <d v="2024-11-07T00:00:00"/>
    <s v="Wedding"/>
    <n v="5800"/>
    <n v="48"/>
    <n v="12.35"/>
    <n v="153.72999999999999"/>
    <n v="57.8"/>
    <s v="Default"/>
    <n v="33"/>
    <x v="1"/>
    <x v="0"/>
  </r>
  <r>
    <x v="469"/>
    <s v="BRW-0392"/>
    <d v="2025-06-25T00:00:00"/>
    <s v="Medical Expenses"/>
    <n v="35100"/>
    <n v="36"/>
    <n v="14.46"/>
    <n v="1207.49"/>
    <n v="63.5"/>
    <s v="Current"/>
    <n v="0"/>
    <x v="0"/>
    <x v="0"/>
  </r>
  <r>
    <x v="470"/>
    <s v="BRW-0393"/>
    <d v="2024-07-14T00:00:00"/>
    <s v="Home Improvement"/>
    <n v="8300"/>
    <n v="60"/>
    <n v="10.6"/>
    <n v="178.81"/>
    <n v="40"/>
    <s v="Default"/>
    <n v="144"/>
    <x v="1"/>
    <x v="1"/>
  </r>
  <r>
    <x v="471"/>
    <s v="BRW-0394"/>
    <d v="2024-07-25T00:00:00"/>
    <s v="Home Improvement"/>
    <n v="26300"/>
    <n v="36"/>
    <n v="11.46"/>
    <n v="866.77"/>
    <n v="75.599999999999994"/>
    <s v="Current"/>
    <n v="0"/>
    <x v="0"/>
    <x v="4"/>
  </r>
  <r>
    <x v="472"/>
    <s v="BRW-0394"/>
    <d v="2025-01-09T00:00:00"/>
    <s v="Major Purchase"/>
    <n v="8500"/>
    <n v="60"/>
    <n v="12.71"/>
    <n v="192.14"/>
    <n v="47.5"/>
    <s v="Paid Off"/>
    <n v="0"/>
    <x v="0"/>
    <x v="1"/>
  </r>
  <r>
    <x v="473"/>
    <s v="BRW-0395"/>
    <d v="2024-10-07T00:00:00"/>
    <s v="Major Purchase"/>
    <n v="47700"/>
    <n v="12"/>
    <n v="10.97"/>
    <n v="4215.1400000000003"/>
    <n v="122"/>
    <s v="Current"/>
    <n v="0"/>
    <x v="0"/>
    <x v="5"/>
  </r>
  <r>
    <x v="474"/>
    <s v="BRW-0396"/>
    <d v="2024-03-17T00:00:00"/>
    <s v="Business Loan"/>
    <n v="21100"/>
    <n v="60"/>
    <n v="11.78"/>
    <n v="467.02"/>
    <n v="17.5"/>
    <s v="Current"/>
    <n v="0"/>
    <x v="0"/>
    <x v="2"/>
  </r>
  <r>
    <x v="475"/>
    <s v="BRW-0397"/>
    <d v="2024-08-11T00:00:00"/>
    <s v="Major Purchase"/>
    <n v="11900"/>
    <n v="12"/>
    <n v="7.52"/>
    <n v="1032.52"/>
    <n v="17.600000000000001"/>
    <s v="Paid Off"/>
    <n v="0"/>
    <x v="0"/>
    <x v="2"/>
  </r>
  <r>
    <x v="476"/>
    <s v="BRW-0398"/>
    <d v="2024-10-30T00:00:00"/>
    <s v="Moving"/>
    <n v="27200"/>
    <n v="36"/>
    <n v="10.43"/>
    <n v="883.17"/>
    <n v="48.4"/>
    <s v="Current"/>
    <n v="0"/>
    <x v="0"/>
    <x v="1"/>
  </r>
  <r>
    <x v="477"/>
    <s v="BRW-0399"/>
    <d v="2024-10-03T00:00:00"/>
    <s v="Business Loan"/>
    <n v="32700"/>
    <n v="36"/>
    <n v="13.44"/>
    <n v="1108.74"/>
    <n v="24.4"/>
    <s v="Paid Off"/>
    <n v="0"/>
    <x v="0"/>
    <x v="2"/>
  </r>
  <r>
    <x v="478"/>
    <s v="BRW-0400"/>
    <d v="2025-01-12T00:00:00"/>
    <s v="Business Loan"/>
    <n v="2000"/>
    <n v="36"/>
    <n v="13.08"/>
    <n v="67.459999999999994"/>
    <n v="15.9"/>
    <s v="Late"/>
    <n v="15"/>
    <x v="0"/>
    <x v="2"/>
  </r>
  <r>
    <x v="479"/>
    <s v="BRW-0400"/>
    <d v="2024-02-28T00:00:00"/>
    <s v="Auto Loan"/>
    <n v="15700"/>
    <n v="60"/>
    <n v="11.39"/>
    <n v="344.42"/>
    <n v="26.8"/>
    <s v="Current"/>
    <n v="0"/>
    <x v="0"/>
    <x v="1"/>
  </r>
  <r>
    <x v="480"/>
    <s v="BRW-0401"/>
    <d v="2024-04-18T00:00:00"/>
    <s v="Auto Loan"/>
    <n v="21100"/>
    <n v="60"/>
    <n v="10.14"/>
    <n v="449.77"/>
    <n v="29.5"/>
    <s v="Paid Off"/>
    <n v="0"/>
    <x v="0"/>
    <x v="1"/>
  </r>
  <r>
    <x v="481"/>
    <s v="BRW-0402"/>
    <d v="2024-07-27T00:00:00"/>
    <s v="Wedding"/>
    <n v="20300"/>
    <n v="24"/>
    <n v="8.6199999999999992"/>
    <n v="923.86"/>
    <n v="49.5"/>
    <s v="Paid Off"/>
    <n v="0"/>
    <x v="0"/>
    <x v="1"/>
  </r>
  <r>
    <x v="482"/>
    <s v="BRW-0403"/>
    <d v="2024-04-05T00:00:00"/>
    <s v="Business Loan"/>
    <n v="12500"/>
    <n v="24"/>
    <n v="14.99"/>
    <n v="606.02"/>
    <n v="82"/>
    <s v="Default"/>
    <n v="147"/>
    <x v="1"/>
    <x v="4"/>
  </r>
  <r>
    <x v="483"/>
    <s v="BRW-0404"/>
    <d v="2024-01-22T00:00:00"/>
    <s v="Medical Expenses"/>
    <n v="20000"/>
    <n v="24"/>
    <n v="11.22"/>
    <n v="934.2"/>
    <n v="48.3"/>
    <s v="Late"/>
    <n v="15"/>
    <x v="0"/>
    <x v="1"/>
  </r>
  <r>
    <x v="484"/>
    <s v="BRW-0405"/>
    <d v="2025-02-16T00:00:00"/>
    <s v="Business Loan"/>
    <n v="3600"/>
    <n v="24"/>
    <n v="9.51"/>
    <n v="165.31"/>
    <n v="25.2"/>
    <s v="Paid Off"/>
    <n v="0"/>
    <x v="0"/>
    <x v="1"/>
  </r>
  <r>
    <x v="485"/>
    <s v="BRW-0406"/>
    <d v="2024-02-14T00:00:00"/>
    <s v="Wedding"/>
    <n v="20400"/>
    <n v="12"/>
    <n v="14.07"/>
    <n v="1832.33"/>
    <n v="59"/>
    <s v="Default"/>
    <n v="51"/>
    <x v="1"/>
    <x v="0"/>
  </r>
  <r>
    <x v="486"/>
    <s v="BRW-0406"/>
    <d v="2024-01-10T00:00:00"/>
    <s v="Auto Loan"/>
    <n v="32100"/>
    <n v="12"/>
    <n v="13.9"/>
    <n v="2880.66"/>
    <n v="69.400000000000006"/>
    <s v="Paid Off"/>
    <n v="0"/>
    <x v="0"/>
    <x v="0"/>
  </r>
  <r>
    <x v="487"/>
    <s v="BRW-0407"/>
    <d v="2024-06-16T00:00:00"/>
    <s v="Home Improvement"/>
    <n v="14900"/>
    <n v="60"/>
    <n v="14.61"/>
    <n v="351.43"/>
    <n v="48.8"/>
    <s v="Default"/>
    <n v="152"/>
    <x v="1"/>
    <x v="1"/>
  </r>
  <r>
    <x v="488"/>
    <s v="BRW-0408"/>
    <d v="2024-02-15T00:00:00"/>
    <s v="Debt Consolidation"/>
    <n v="14800"/>
    <n v="60"/>
    <n v="6.52"/>
    <n v="289.72000000000003"/>
    <n v="37.6"/>
    <s v="Default"/>
    <n v="105"/>
    <x v="1"/>
    <x v="1"/>
  </r>
  <r>
    <x v="489"/>
    <s v="BRW-0409"/>
    <d v="2025-01-29T00:00:00"/>
    <s v="Major Purchase"/>
    <n v="17800"/>
    <n v="12"/>
    <n v="11.9"/>
    <n v="1580.68"/>
    <n v="90.2"/>
    <s v="Default"/>
    <n v="103"/>
    <x v="1"/>
    <x v="4"/>
  </r>
  <r>
    <x v="490"/>
    <s v="BRW-0410"/>
    <d v="2024-04-22T00:00:00"/>
    <s v="Major Purchase"/>
    <n v="36300"/>
    <n v="12"/>
    <n v="12.58"/>
    <n v="3235.07"/>
    <n v="72.099999999999994"/>
    <s v="Default"/>
    <n v="102"/>
    <x v="1"/>
    <x v="0"/>
  </r>
  <r>
    <x v="491"/>
    <s v="BRW-0411"/>
    <d v="2024-06-03T00:00:00"/>
    <s v="Wedding"/>
    <n v="13100"/>
    <n v="12"/>
    <n v="13.53"/>
    <n v="1173.32"/>
    <n v="57.8"/>
    <s v="Default"/>
    <n v="165"/>
    <x v="1"/>
    <x v="0"/>
  </r>
  <r>
    <x v="492"/>
    <s v="BRW-0412"/>
    <d v="2024-10-20T00:00:00"/>
    <s v="Medical Expenses"/>
    <n v="6600"/>
    <n v="36"/>
    <n v="10.01"/>
    <n v="212.99"/>
    <n v="49.3"/>
    <s v="Paid Off"/>
    <n v="0"/>
    <x v="0"/>
    <x v="1"/>
  </r>
  <r>
    <x v="493"/>
    <s v="BRW-0413"/>
    <d v="2024-06-01T00:00:00"/>
    <s v="Auto Loan"/>
    <n v="36100"/>
    <n v="12"/>
    <n v="12.48"/>
    <n v="3215.55"/>
    <n v="85.5"/>
    <s v="Current"/>
    <n v="0"/>
    <x v="0"/>
    <x v="4"/>
  </r>
  <r>
    <x v="494"/>
    <s v="BRW-0414"/>
    <d v="2024-10-12T00:00:00"/>
    <s v="Vacation"/>
    <n v="7400"/>
    <n v="48"/>
    <n v="14.9"/>
    <n v="205.57"/>
    <n v="56.2"/>
    <s v="Default"/>
    <n v="112"/>
    <x v="1"/>
    <x v="0"/>
  </r>
  <r>
    <x v="495"/>
    <s v="BRW-0415"/>
    <d v="2025-02-27T00:00:00"/>
    <s v="Medical Expenses"/>
    <n v="18900"/>
    <n v="48"/>
    <n v="10.69"/>
    <n v="485.64"/>
    <n v="30.2"/>
    <s v="Current"/>
    <n v="0"/>
    <x v="0"/>
    <x v="1"/>
  </r>
  <r>
    <x v="496"/>
    <s v="BRW-0415"/>
    <d v="2025-06-29T00:00:00"/>
    <s v="Business Loan"/>
    <n v="28400"/>
    <n v="60"/>
    <n v="11.24"/>
    <n v="620.89"/>
    <n v="31.9"/>
    <s v="Current"/>
    <n v="0"/>
    <x v="0"/>
    <x v="1"/>
  </r>
  <r>
    <x v="497"/>
    <s v="BRW-0416"/>
    <d v="2024-08-28T00:00:00"/>
    <s v="Moving"/>
    <n v="35300"/>
    <n v="24"/>
    <n v="13.15"/>
    <n v="1680.71"/>
    <n v="62.3"/>
    <s v="Paid Off"/>
    <n v="0"/>
    <x v="0"/>
    <x v="0"/>
  </r>
  <r>
    <x v="498"/>
    <s v="BRW-0417"/>
    <d v="2025-01-04T00:00:00"/>
    <s v="Vacation"/>
    <n v="46200"/>
    <n v="12"/>
    <n v="11.87"/>
    <n v="4102"/>
    <n v="155.30000000000001"/>
    <s v="Late"/>
    <n v="15"/>
    <x v="0"/>
    <x v="3"/>
  </r>
  <r>
    <x v="499"/>
    <s v="BRW-0418"/>
    <d v="2024-08-17T00:00:00"/>
    <s v="Medical Expenses"/>
    <n v="28500"/>
    <n v="48"/>
    <n v="9.76"/>
    <n v="719.55"/>
    <n v="53.9"/>
    <s v="Default"/>
    <n v="65"/>
    <x v="1"/>
    <x v="0"/>
  </r>
  <r>
    <x v="500"/>
    <s v="BRW-0419"/>
    <d v="2024-04-18T00:00:00"/>
    <s v="Medical Expenses"/>
    <n v="2300"/>
    <n v="48"/>
    <n v="11.06"/>
    <n v="59.51"/>
    <n v="31.5"/>
    <s v="Paid Off"/>
    <n v="0"/>
    <x v="0"/>
    <x v="1"/>
  </r>
  <r>
    <x v="501"/>
    <s v="BRW-0420"/>
    <d v="2025-03-02T00:00:00"/>
    <s v="Debt Consolidation"/>
    <n v="8800"/>
    <n v="24"/>
    <n v="6.29"/>
    <n v="391.17"/>
    <n v="18.100000000000001"/>
    <s v="Paid Off"/>
    <n v="0"/>
    <x v="0"/>
    <x v="2"/>
  </r>
  <r>
    <x v="502"/>
    <s v="BRW-0420"/>
    <d v="2025-03-30T00:00:00"/>
    <s v="Moving"/>
    <n v="16400"/>
    <n v="48"/>
    <n v="9.51"/>
    <n v="412.1"/>
    <n v="18.399999999999999"/>
    <s v="Current"/>
    <n v="0"/>
    <x v="0"/>
    <x v="2"/>
  </r>
  <r>
    <x v="503"/>
    <s v="BRW-0421"/>
    <d v="2025-03-09T00:00:00"/>
    <s v="Debt Consolidation"/>
    <n v="6800"/>
    <n v="24"/>
    <n v="10.29"/>
    <n v="314.7"/>
    <n v="24.5"/>
    <s v="Late"/>
    <n v="15"/>
    <x v="0"/>
    <x v="2"/>
  </r>
  <r>
    <x v="504"/>
    <s v="BRW-0422"/>
    <d v="2024-10-05T00:00:00"/>
    <s v="Wedding"/>
    <n v="36000"/>
    <n v="48"/>
    <n v="14.34"/>
    <n v="989.9"/>
    <n v="56.2"/>
    <s v="Paid Off"/>
    <n v="0"/>
    <x v="0"/>
    <x v="0"/>
  </r>
  <r>
    <x v="505"/>
    <s v="BRW-0422"/>
    <d v="2024-07-07T00:00:00"/>
    <s v="Medical Expenses"/>
    <n v="21200"/>
    <n v="12"/>
    <n v="10.78"/>
    <n v="1871.52"/>
    <n v="67.400000000000006"/>
    <s v="Late"/>
    <n v="30"/>
    <x v="0"/>
    <x v="0"/>
  </r>
  <r>
    <x v="506"/>
    <s v="BRW-0423"/>
    <d v="2024-06-17T00:00:00"/>
    <s v="Vacation"/>
    <n v="33300"/>
    <n v="48"/>
    <n v="10.34"/>
    <n v="850.02"/>
    <n v="45.4"/>
    <s v="Default"/>
    <n v="125"/>
    <x v="1"/>
    <x v="1"/>
  </r>
  <r>
    <x v="507"/>
    <s v="BRW-0424"/>
    <d v="2024-12-09T00:00:00"/>
    <s v="Business Loan"/>
    <n v="5100"/>
    <n v="36"/>
    <n v="9.5500000000000007"/>
    <n v="163.49"/>
    <n v="19.5"/>
    <s v="Default"/>
    <n v="102"/>
    <x v="1"/>
    <x v="2"/>
  </r>
  <r>
    <x v="508"/>
    <s v="BRW-0425"/>
    <d v="2024-07-25T00:00:00"/>
    <s v="Home Improvement"/>
    <n v="17400"/>
    <n v="36"/>
    <n v="6.77"/>
    <n v="535.42999999999995"/>
    <n v="62.8"/>
    <s v="Current"/>
    <n v="0"/>
    <x v="0"/>
    <x v="0"/>
  </r>
  <r>
    <x v="509"/>
    <s v="BRW-0426"/>
    <d v="2024-11-18T00:00:00"/>
    <s v="Wedding"/>
    <n v="10800"/>
    <n v="48"/>
    <n v="6.06"/>
    <n v="253.94"/>
    <n v="49"/>
    <s v="Default"/>
    <n v="109"/>
    <x v="1"/>
    <x v="1"/>
  </r>
  <r>
    <x v="510"/>
    <s v="BRW-0426"/>
    <d v="2024-11-18T00:00:00"/>
    <s v="Debt Consolidation"/>
    <n v="34800"/>
    <n v="48"/>
    <n v="8.33"/>
    <n v="854.97"/>
    <n v="72.400000000000006"/>
    <s v="Paid Off"/>
    <n v="0"/>
    <x v="0"/>
    <x v="0"/>
  </r>
  <r>
    <x v="511"/>
    <s v="BRW-0427"/>
    <d v="2024-06-02T00:00:00"/>
    <s v="Home Improvement"/>
    <n v="30100"/>
    <n v="60"/>
    <n v="9.49"/>
    <n v="632.01"/>
    <n v="61.9"/>
    <s v="Default"/>
    <n v="127"/>
    <x v="1"/>
    <x v="0"/>
  </r>
  <r>
    <x v="512"/>
    <s v="BRW-0428"/>
    <d v="2024-04-05T00:00:00"/>
    <s v="Debt Consolidation"/>
    <n v="8700"/>
    <n v="48"/>
    <n v="8.9600000000000009"/>
    <n v="216.33"/>
    <n v="13.4"/>
    <s v="Current"/>
    <n v="0"/>
    <x v="0"/>
    <x v="2"/>
  </r>
  <r>
    <x v="513"/>
    <s v="BRW-0429"/>
    <d v="2025-06-19T00:00:00"/>
    <s v="Medical Expenses"/>
    <n v="7500"/>
    <n v="60"/>
    <n v="8.4600000000000009"/>
    <n v="153.72999999999999"/>
    <n v="21.5"/>
    <s v="Paid Off"/>
    <n v="0"/>
    <x v="0"/>
    <x v="2"/>
  </r>
  <r>
    <x v="514"/>
    <s v="BRW-0430"/>
    <d v="2025-01-31T00:00:00"/>
    <s v="Education"/>
    <n v="47100"/>
    <n v="12"/>
    <n v="14.85"/>
    <n v="4247.83"/>
    <n v="64.8"/>
    <s v="Default"/>
    <n v="49"/>
    <x v="1"/>
    <x v="0"/>
  </r>
  <r>
    <x v="515"/>
    <s v="BRW-0431"/>
    <d v="2024-11-12T00:00:00"/>
    <s v="Wedding"/>
    <n v="14000"/>
    <n v="12"/>
    <n v="10.029999999999999"/>
    <n v="1231.02"/>
    <n v="86"/>
    <s v="Late"/>
    <n v="30"/>
    <x v="0"/>
    <x v="4"/>
  </r>
  <r>
    <x v="516"/>
    <s v="BRW-0431"/>
    <d v="2024-06-14T00:00:00"/>
    <s v="Home Improvement"/>
    <n v="11300"/>
    <n v="24"/>
    <n v="13.99"/>
    <n v="542.49"/>
    <n v="52.8"/>
    <s v="Default"/>
    <n v="177"/>
    <x v="1"/>
    <x v="0"/>
  </r>
  <r>
    <x v="517"/>
    <s v="BRW-0432"/>
    <d v="2025-04-29T00:00:00"/>
    <s v="Home Improvement"/>
    <n v="11800"/>
    <n v="48"/>
    <n v="7.19"/>
    <n v="283.61"/>
    <n v="55.7"/>
    <s v="Current"/>
    <n v="0"/>
    <x v="0"/>
    <x v="0"/>
  </r>
  <r>
    <x v="518"/>
    <s v="BRW-0433"/>
    <d v="2025-02-14T00:00:00"/>
    <s v="Home Improvement"/>
    <n v="25400"/>
    <n v="36"/>
    <n v="12.56"/>
    <n v="850.45"/>
    <n v="32.4"/>
    <s v="Late"/>
    <n v="0"/>
    <x v="0"/>
    <x v="1"/>
  </r>
  <r>
    <x v="519"/>
    <s v="BRW-0433"/>
    <d v="2025-02-27T00:00:00"/>
    <s v="Vacation"/>
    <n v="42600"/>
    <n v="36"/>
    <n v="10.14"/>
    <n v="1377.38"/>
    <n v="37.6"/>
    <s v="Paid Off"/>
    <n v="0"/>
    <x v="0"/>
    <x v="1"/>
  </r>
  <r>
    <x v="520"/>
    <s v="BRW-0434"/>
    <d v="2024-01-09T00:00:00"/>
    <s v="Wedding"/>
    <n v="4400"/>
    <n v="24"/>
    <n v="11.42"/>
    <n v="205.93"/>
    <n v="47.1"/>
    <s v="Current"/>
    <n v="0"/>
    <x v="0"/>
    <x v="1"/>
  </r>
  <r>
    <x v="521"/>
    <s v="BRW-0435"/>
    <d v="2025-04-24T00:00:00"/>
    <s v="Home Improvement"/>
    <n v="12600"/>
    <n v="12"/>
    <n v="8.26"/>
    <n v="1097.57"/>
    <n v="77.8"/>
    <s v="Late"/>
    <n v="15"/>
    <x v="0"/>
    <x v="4"/>
  </r>
  <r>
    <x v="522"/>
    <s v="BRW-0436"/>
    <d v="2024-12-02T00:00:00"/>
    <s v="Home Improvement"/>
    <n v="46300"/>
    <n v="48"/>
    <n v="8.98"/>
    <n v="1151.74"/>
    <n v="23.8"/>
    <s v="Late"/>
    <n v="0"/>
    <x v="0"/>
    <x v="2"/>
  </r>
  <r>
    <x v="523"/>
    <s v="BRW-0437"/>
    <d v="2025-04-26T00:00:00"/>
    <s v="Vacation"/>
    <n v="8700"/>
    <n v="60"/>
    <n v="10.5"/>
    <n v="187"/>
    <n v="48.4"/>
    <s v="Default"/>
    <n v="84"/>
    <x v="1"/>
    <x v="1"/>
  </r>
  <r>
    <x v="524"/>
    <s v="BRW-0438"/>
    <d v="2025-01-05T00:00:00"/>
    <s v="Debt Consolidation"/>
    <n v="39200"/>
    <n v="12"/>
    <n v="15.28"/>
    <n v="3543.31"/>
    <n v="124.5"/>
    <s v="Late"/>
    <n v="30"/>
    <x v="0"/>
    <x v="5"/>
  </r>
  <r>
    <x v="525"/>
    <s v="BRW-0439"/>
    <d v="2024-06-29T00:00:00"/>
    <s v="Debt Consolidation"/>
    <n v="26200"/>
    <n v="36"/>
    <n v="7.23"/>
    <n v="811.74"/>
    <n v="59"/>
    <s v="Default"/>
    <n v="47"/>
    <x v="1"/>
    <x v="0"/>
  </r>
  <r>
    <x v="526"/>
    <s v="BRW-0440"/>
    <d v="2024-09-22T00:00:00"/>
    <s v="Home Improvement"/>
    <n v="14900"/>
    <n v="48"/>
    <n v="10.77"/>
    <n v="383.44"/>
    <n v="32.4"/>
    <s v="Paid Off"/>
    <n v="0"/>
    <x v="0"/>
    <x v="1"/>
  </r>
  <r>
    <x v="527"/>
    <s v="BRW-0441"/>
    <d v="2024-06-13T00:00:00"/>
    <s v="Auto Loan"/>
    <n v="8800"/>
    <n v="48"/>
    <n v="10.51"/>
    <n v="225.35"/>
    <n v="34.4"/>
    <s v="Paid Off"/>
    <n v="0"/>
    <x v="0"/>
    <x v="1"/>
  </r>
  <r>
    <x v="528"/>
    <s v="BRW-0442"/>
    <d v="2024-05-28T00:00:00"/>
    <s v="Debt Consolidation"/>
    <n v="44900"/>
    <n v="24"/>
    <n v="6.22"/>
    <n v="1994.45"/>
    <n v="49.4"/>
    <s v="Late"/>
    <n v="30"/>
    <x v="0"/>
    <x v="1"/>
  </r>
  <r>
    <x v="529"/>
    <s v="BRW-0443"/>
    <d v="2024-11-20T00:00:00"/>
    <s v="Education"/>
    <n v="12800"/>
    <n v="24"/>
    <n v="13.03"/>
    <n v="608.72"/>
    <n v="50.5"/>
    <s v="Default"/>
    <n v="134"/>
    <x v="1"/>
    <x v="0"/>
  </r>
  <r>
    <x v="530"/>
    <s v="BRW-0444"/>
    <d v="2024-04-09T00:00:00"/>
    <s v="Debt Consolidation"/>
    <n v="47300"/>
    <n v="24"/>
    <n v="12.12"/>
    <n v="2229.23"/>
    <n v="90.1"/>
    <s v="Default"/>
    <n v="78"/>
    <x v="1"/>
    <x v="4"/>
  </r>
  <r>
    <x v="531"/>
    <s v="BRW-0445"/>
    <d v="2024-07-14T00:00:00"/>
    <s v="Moving"/>
    <n v="30800"/>
    <n v="24"/>
    <n v="10.36"/>
    <n v="1426.39"/>
    <n v="45.1"/>
    <s v="Current"/>
    <n v="0"/>
    <x v="0"/>
    <x v="1"/>
  </r>
  <r>
    <x v="532"/>
    <s v="BRW-0446"/>
    <d v="2025-04-11T00:00:00"/>
    <s v="Debt Consolidation"/>
    <n v="16700"/>
    <n v="12"/>
    <n v="9.33"/>
    <n v="1463"/>
    <n v="32"/>
    <s v="Paid Off"/>
    <n v="0"/>
    <x v="0"/>
    <x v="1"/>
  </r>
  <r>
    <x v="533"/>
    <s v="BRW-0446"/>
    <d v="2025-04-14T00:00:00"/>
    <s v="Major Purchase"/>
    <n v="38700"/>
    <n v="12"/>
    <n v="10.47"/>
    <n v="3410.81"/>
    <n v="57.4"/>
    <s v="Current"/>
    <n v="0"/>
    <x v="0"/>
    <x v="0"/>
  </r>
  <r>
    <x v="534"/>
    <s v="BRW-0447"/>
    <d v="2024-04-11T00:00:00"/>
    <s v="Major Purchase"/>
    <n v="33700"/>
    <n v="48"/>
    <n v="9.89"/>
    <n v="852.94"/>
    <n v="15.6"/>
    <s v="Current"/>
    <n v="0"/>
    <x v="0"/>
    <x v="2"/>
  </r>
  <r>
    <x v="535"/>
    <s v="BRW-0448"/>
    <d v="2024-04-12T00:00:00"/>
    <s v="Wedding"/>
    <n v="7000"/>
    <n v="60"/>
    <n v="12.74"/>
    <n v="158.34"/>
    <n v="10.5"/>
    <s v="Paid Off"/>
    <n v="0"/>
    <x v="0"/>
    <x v="2"/>
  </r>
  <r>
    <x v="536"/>
    <s v="BRW-0449"/>
    <d v="2024-07-19T00:00:00"/>
    <s v="Major Purchase"/>
    <n v="23500"/>
    <n v="60"/>
    <n v="10.74"/>
    <n v="507.91"/>
    <n v="49.1"/>
    <s v="Late"/>
    <n v="30"/>
    <x v="0"/>
    <x v="1"/>
  </r>
  <r>
    <x v="537"/>
    <s v="BRW-0450"/>
    <d v="2025-01-18T00:00:00"/>
    <s v="Vacation"/>
    <n v="30100"/>
    <n v="48"/>
    <n v="9.07"/>
    <n v="750.04"/>
    <n v="42.4"/>
    <s v="Current"/>
    <n v="0"/>
    <x v="0"/>
    <x v="1"/>
  </r>
  <r>
    <x v="538"/>
    <s v="BRW-0451"/>
    <d v="2024-01-05T00:00:00"/>
    <s v="Auto Loan"/>
    <n v="40200"/>
    <n v="48"/>
    <n v="10.18"/>
    <n v="1023.05"/>
    <n v="52.7"/>
    <s v="Current"/>
    <n v="0"/>
    <x v="0"/>
    <x v="0"/>
  </r>
  <r>
    <x v="539"/>
    <s v="BRW-0452"/>
    <d v="2024-06-23T00:00:00"/>
    <s v="Education"/>
    <n v="26900"/>
    <n v="60"/>
    <n v="11.75"/>
    <n v="594.98"/>
    <n v="45.4"/>
    <s v="Late"/>
    <n v="30"/>
    <x v="0"/>
    <x v="1"/>
  </r>
  <r>
    <x v="540"/>
    <s v="BRW-0453"/>
    <d v="2025-03-15T00:00:00"/>
    <s v="Business Loan"/>
    <n v="19600"/>
    <n v="12"/>
    <n v="11.67"/>
    <n v="1738.41"/>
    <n v="59.4"/>
    <s v="Default"/>
    <n v="129"/>
    <x v="1"/>
    <x v="0"/>
  </r>
  <r>
    <x v="541"/>
    <s v="BRW-0453"/>
    <d v="2024-04-11T00:00:00"/>
    <s v="Medical Expenses"/>
    <n v="12600"/>
    <n v="24"/>
    <n v="9.85"/>
    <n v="580.54999999999995"/>
    <n v="28.5"/>
    <s v="Current"/>
    <n v="0"/>
    <x v="0"/>
    <x v="1"/>
  </r>
  <r>
    <x v="542"/>
    <s v="BRW-0454"/>
    <d v="2024-06-11T00:00:00"/>
    <s v="Major Purchase"/>
    <n v="32100"/>
    <n v="36"/>
    <n v="13.94"/>
    <n v="1096.17"/>
    <n v="61.3"/>
    <s v="Current"/>
    <n v="0"/>
    <x v="0"/>
    <x v="0"/>
  </r>
  <r>
    <x v="543"/>
    <s v="BRW-0455"/>
    <d v="2024-03-21T00:00:00"/>
    <s v="Wedding"/>
    <n v="26800"/>
    <n v="60"/>
    <n v="13.19"/>
    <n v="612.39"/>
    <n v="56.8"/>
    <s v="Paid Off"/>
    <n v="0"/>
    <x v="0"/>
    <x v="0"/>
  </r>
  <r>
    <x v="544"/>
    <s v="BRW-0456"/>
    <d v="2024-09-08T00:00:00"/>
    <s v="Education"/>
    <n v="13000"/>
    <n v="24"/>
    <n v="7.77"/>
    <n v="586.59"/>
    <n v="32.9"/>
    <s v="Current"/>
    <n v="0"/>
    <x v="0"/>
    <x v="1"/>
  </r>
  <r>
    <x v="545"/>
    <s v="BRW-0456"/>
    <d v="2024-04-15T00:00:00"/>
    <s v="Auto Loan"/>
    <n v="12200"/>
    <n v="24"/>
    <n v="9.42"/>
    <n v="559.71"/>
    <n v="32"/>
    <s v="Late"/>
    <n v="15"/>
    <x v="0"/>
    <x v="1"/>
  </r>
  <r>
    <x v="546"/>
    <s v="BRW-0457"/>
    <d v="2024-07-31T00:00:00"/>
    <s v="Auto Loan"/>
    <n v="6500"/>
    <n v="48"/>
    <n v="13.44"/>
    <n v="175.8"/>
    <n v="34.799999999999997"/>
    <s v="Current"/>
    <n v="0"/>
    <x v="0"/>
    <x v="1"/>
  </r>
  <r>
    <x v="547"/>
    <s v="BRW-0458"/>
    <d v="2025-04-06T00:00:00"/>
    <s v="Home Improvement"/>
    <n v="19500"/>
    <n v="36"/>
    <n v="12.75"/>
    <n v="654.69000000000005"/>
    <n v="54.1"/>
    <s v="Current"/>
    <n v="0"/>
    <x v="0"/>
    <x v="0"/>
  </r>
  <r>
    <x v="548"/>
    <s v="BRW-0459"/>
    <d v="2024-12-21T00:00:00"/>
    <s v="Wedding"/>
    <n v="43000"/>
    <n v="12"/>
    <n v="10.71"/>
    <n v="3794.6"/>
    <n v="79.900000000000006"/>
    <s v="Current"/>
    <n v="0"/>
    <x v="0"/>
    <x v="4"/>
  </r>
  <r>
    <x v="549"/>
    <s v="BRW-0460"/>
    <d v="2025-06-14T00:00:00"/>
    <s v="Auto Loan"/>
    <n v="11300"/>
    <n v="12"/>
    <n v="9.33"/>
    <n v="989.93"/>
    <n v="70.8"/>
    <s v="Paid Off"/>
    <n v="0"/>
    <x v="0"/>
    <x v="0"/>
  </r>
  <r>
    <x v="550"/>
    <s v="BRW-0461"/>
    <d v="2024-05-09T00:00:00"/>
    <s v="Business Loan"/>
    <n v="5900"/>
    <n v="12"/>
    <n v="9.74"/>
    <n v="517.99"/>
    <n v="23.6"/>
    <s v="Paid Off"/>
    <n v="0"/>
    <x v="0"/>
    <x v="2"/>
  </r>
  <r>
    <x v="551"/>
    <s v="BRW-0462"/>
    <d v="2025-02-13T00:00:00"/>
    <s v="Moving"/>
    <n v="24400"/>
    <n v="48"/>
    <n v="11.75"/>
    <n v="639.54999999999995"/>
    <n v="47"/>
    <s v="Current"/>
    <n v="0"/>
    <x v="0"/>
    <x v="1"/>
  </r>
  <r>
    <x v="552"/>
    <s v="BRW-0463"/>
    <d v="2024-07-29T00:00:00"/>
    <s v="Auto Loan"/>
    <n v="6900"/>
    <n v="60"/>
    <n v="10.039999999999999"/>
    <n v="146.74"/>
    <n v="38"/>
    <s v="Paid Off"/>
    <n v="0"/>
    <x v="0"/>
    <x v="1"/>
  </r>
  <r>
    <x v="553"/>
    <s v="BRW-0463"/>
    <d v="2025-01-27T00:00:00"/>
    <s v="Major Purchase"/>
    <n v="14300"/>
    <n v="36"/>
    <n v="11.6"/>
    <n v="472.24"/>
    <n v="46.4"/>
    <s v="Current"/>
    <n v="0"/>
    <x v="0"/>
    <x v="1"/>
  </r>
  <r>
    <x v="554"/>
    <s v="BRW-0464"/>
    <d v="2025-02-23T00:00:00"/>
    <s v="Home Improvement"/>
    <n v="44700"/>
    <n v="60"/>
    <n v="9.92"/>
    <n v="947.98"/>
    <n v="46.1"/>
    <s v="Late"/>
    <n v="0"/>
    <x v="0"/>
    <x v="1"/>
  </r>
  <r>
    <x v="555"/>
    <s v="BRW-0465"/>
    <d v="2024-07-09T00:00:00"/>
    <s v="Education"/>
    <n v="4600"/>
    <n v="36"/>
    <n v="10.78"/>
    <n v="150.12"/>
    <n v="17.600000000000001"/>
    <s v="Late"/>
    <n v="0"/>
    <x v="0"/>
    <x v="2"/>
  </r>
  <r>
    <x v="556"/>
    <s v="BRW-0465"/>
    <d v="2024-01-12T00:00:00"/>
    <s v="Education"/>
    <n v="6000"/>
    <n v="12"/>
    <n v="10.23"/>
    <n v="528.14"/>
    <n v="32.200000000000003"/>
    <s v="Current"/>
    <n v="0"/>
    <x v="0"/>
    <x v="1"/>
  </r>
  <r>
    <x v="557"/>
    <s v="BRW-0466"/>
    <d v="2024-08-10T00:00:00"/>
    <s v="Business Loan"/>
    <n v="20000"/>
    <n v="60"/>
    <n v="10.86"/>
    <n v="433.45"/>
    <n v="55.4"/>
    <s v="Default"/>
    <n v="101"/>
    <x v="1"/>
    <x v="0"/>
  </r>
  <r>
    <x v="558"/>
    <s v="BRW-0467"/>
    <d v="2024-11-23T00:00:00"/>
    <s v="Home Improvement"/>
    <n v="33000"/>
    <n v="48"/>
    <n v="7.42"/>
    <n v="796.67"/>
    <n v="70.099999999999994"/>
    <s v="Default"/>
    <n v="42"/>
    <x v="1"/>
    <x v="0"/>
  </r>
  <r>
    <x v="559"/>
    <s v="BRW-0468"/>
    <d v="2024-06-24T00:00:00"/>
    <s v="Vacation"/>
    <n v="4900"/>
    <n v="12"/>
    <n v="6.69"/>
    <n v="423.28"/>
    <n v="50"/>
    <s v="Current"/>
    <n v="0"/>
    <x v="0"/>
    <x v="0"/>
  </r>
  <r>
    <x v="560"/>
    <s v="BRW-0468"/>
    <d v="2025-04-17T00:00:00"/>
    <s v="Debt Consolidation"/>
    <n v="15400"/>
    <n v="60"/>
    <n v="11.01"/>
    <n v="334.91"/>
    <n v="47"/>
    <s v="Current"/>
    <n v="0"/>
    <x v="0"/>
    <x v="1"/>
  </r>
  <r>
    <x v="561"/>
    <s v="BRW-0469"/>
    <d v="2025-03-01T00:00:00"/>
    <s v="Moving"/>
    <n v="5000"/>
    <n v="12"/>
    <n v="12.2"/>
    <n v="444.71"/>
    <n v="79.2"/>
    <s v="Paid Off"/>
    <n v="0"/>
    <x v="0"/>
    <x v="4"/>
  </r>
  <r>
    <x v="562"/>
    <s v="BRW-0469"/>
    <d v="2025-02-06T00:00:00"/>
    <s v="Major Purchase"/>
    <n v="6300"/>
    <n v="48"/>
    <n v="12.91"/>
    <n v="168.73"/>
    <n v="62"/>
    <s v="Default"/>
    <n v="146"/>
    <x v="1"/>
    <x v="0"/>
  </r>
  <r>
    <x v="563"/>
    <s v="BRW-0470"/>
    <d v="2024-02-18T00:00:00"/>
    <s v="Home Improvement"/>
    <n v="47000"/>
    <n v="12"/>
    <n v="6.91"/>
    <n v="4064.81"/>
    <n v="102.4"/>
    <s v="Paid Off"/>
    <n v="0"/>
    <x v="0"/>
    <x v="5"/>
  </r>
  <r>
    <x v="564"/>
    <s v="BRW-0471"/>
    <d v="2024-01-06T00:00:00"/>
    <s v="Major Purchase"/>
    <n v="6200"/>
    <n v="36"/>
    <n v="11.68"/>
    <n v="204.98"/>
    <n v="33.5"/>
    <s v="Late"/>
    <n v="15"/>
    <x v="0"/>
    <x v="1"/>
  </r>
  <r>
    <x v="565"/>
    <s v="BRW-0471"/>
    <d v="2025-01-23T00:00:00"/>
    <s v="Debt Consolidation"/>
    <n v="39200"/>
    <n v="12"/>
    <n v="8.92"/>
    <n v="3426.64"/>
    <n v="74"/>
    <s v="Default"/>
    <n v="73"/>
    <x v="1"/>
    <x v="0"/>
  </r>
  <r>
    <x v="566"/>
    <s v="BRW-0472"/>
    <d v="2025-02-27T00:00:00"/>
    <s v="Wedding"/>
    <n v="5200"/>
    <n v="24"/>
    <n v="10.25"/>
    <n v="240.55"/>
    <n v="44.2"/>
    <s v="Current"/>
    <n v="0"/>
    <x v="0"/>
    <x v="1"/>
  </r>
  <r>
    <x v="567"/>
    <s v="BRW-0472"/>
    <d v="2025-05-09T00:00:00"/>
    <s v="Business Loan"/>
    <n v="22000"/>
    <n v="36"/>
    <n v="8.09"/>
    <n v="690.31"/>
    <n v="60.9"/>
    <s v="Current"/>
    <n v="0"/>
    <x v="0"/>
    <x v="0"/>
  </r>
  <r>
    <x v="568"/>
    <s v="BRW-0473"/>
    <d v="2024-03-17T00:00:00"/>
    <s v="Moving"/>
    <n v="13600"/>
    <n v="24"/>
    <n v="13.16"/>
    <n v="647.59"/>
    <n v="38.700000000000003"/>
    <s v="Current"/>
    <n v="0"/>
    <x v="0"/>
    <x v="1"/>
  </r>
  <r>
    <x v="569"/>
    <s v="BRW-0474"/>
    <d v="2025-06-24T00:00:00"/>
    <s v="Major Purchase"/>
    <n v="6100"/>
    <n v="24"/>
    <n v="10.25"/>
    <n v="282.19"/>
    <n v="47.8"/>
    <s v="Paid Off"/>
    <n v="0"/>
    <x v="0"/>
    <x v="1"/>
  </r>
  <r>
    <x v="570"/>
    <s v="BRW-0475"/>
    <d v="2025-01-07T00:00:00"/>
    <s v="Medical Expenses"/>
    <n v="7100"/>
    <n v="24"/>
    <n v="7.01"/>
    <n v="317.92"/>
    <n v="40"/>
    <s v="Late"/>
    <n v="0"/>
    <x v="0"/>
    <x v="1"/>
  </r>
  <r>
    <x v="571"/>
    <s v="BRW-0476"/>
    <d v="2024-04-14T00:00:00"/>
    <s v="Major Purchase"/>
    <n v="10300"/>
    <n v="24"/>
    <n v="11.51"/>
    <n v="482.5"/>
    <n v="26.9"/>
    <s v="Late"/>
    <n v="15"/>
    <x v="0"/>
    <x v="1"/>
  </r>
  <r>
    <x v="572"/>
    <s v="BRW-0477"/>
    <d v="2024-09-28T00:00:00"/>
    <s v="Vacation"/>
    <n v="2900"/>
    <n v="60"/>
    <n v="8.6300000000000008"/>
    <n v="59.68"/>
    <n v="34.799999999999997"/>
    <s v="Current"/>
    <n v="0"/>
    <x v="0"/>
    <x v="1"/>
  </r>
  <r>
    <x v="573"/>
    <s v="BRW-0478"/>
    <d v="2025-01-13T00:00:00"/>
    <s v="Major Purchase"/>
    <n v="26400"/>
    <n v="12"/>
    <n v="8.7899999999999991"/>
    <n v="2306.15"/>
    <n v="39.1"/>
    <s v="Paid Off"/>
    <n v="0"/>
    <x v="0"/>
    <x v="1"/>
  </r>
  <r>
    <x v="574"/>
    <s v="BRW-0479"/>
    <d v="2025-05-20T00:00:00"/>
    <s v="Auto Loan"/>
    <n v="7000"/>
    <n v="36"/>
    <n v="12.5"/>
    <n v="234.18"/>
    <n v="43"/>
    <s v="Current"/>
    <n v="0"/>
    <x v="0"/>
    <x v="1"/>
  </r>
  <r>
    <x v="575"/>
    <s v="BRW-0480"/>
    <d v="2024-09-01T00:00:00"/>
    <s v="Home Improvement"/>
    <n v="3600"/>
    <n v="12"/>
    <n v="9.94"/>
    <n v="316.39999999999998"/>
    <n v="55.8"/>
    <s v="Default"/>
    <n v="55"/>
    <x v="1"/>
    <x v="0"/>
  </r>
  <r>
    <x v="576"/>
    <s v="BRW-0481"/>
    <d v="2024-10-01T00:00:00"/>
    <s v="Wedding"/>
    <n v="21400"/>
    <n v="48"/>
    <n v="6.99"/>
    <n v="512.35"/>
    <n v="12.1"/>
    <s v="Current"/>
    <n v="0"/>
    <x v="0"/>
    <x v="2"/>
  </r>
  <r>
    <x v="577"/>
    <s v="BRW-0482"/>
    <d v="2025-05-03T00:00:00"/>
    <s v="Wedding"/>
    <n v="2100"/>
    <n v="24"/>
    <n v="10.25"/>
    <n v="97.15"/>
    <n v="12.6"/>
    <s v="Late"/>
    <n v="15"/>
    <x v="0"/>
    <x v="2"/>
  </r>
  <r>
    <x v="578"/>
    <s v="BRW-0483"/>
    <d v="2024-01-14T00:00:00"/>
    <s v="Home Improvement"/>
    <n v="8200"/>
    <n v="48"/>
    <n v="10.09"/>
    <n v="208.33"/>
    <n v="54.1"/>
    <s v="Current"/>
    <n v="0"/>
    <x v="0"/>
    <x v="0"/>
  </r>
  <r>
    <x v="579"/>
    <s v="BRW-0484"/>
    <d v="2025-04-30T00:00:00"/>
    <s v="Home Improvement"/>
    <n v="27600"/>
    <n v="12"/>
    <n v="8.84"/>
    <n v="2411.61"/>
    <n v="66.900000000000006"/>
    <s v="Current"/>
    <n v="0"/>
    <x v="0"/>
    <x v="0"/>
  </r>
  <r>
    <x v="580"/>
    <s v="BRW-0484"/>
    <d v="2025-06-21T00:00:00"/>
    <s v="Home Improvement"/>
    <n v="2400"/>
    <n v="36"/>
    <n v="10.039999999999999"/>
    <n v="77.489999999999995"/>
    <n v="27.3"/>
    <s v="Paid Off"/>
    <n v="0"/>
    <x v="0"/>
    <x v="1"/>
  </r>
  <r>
    <x v="581"/>
    <s v="BRW-0485"/>
    <d v="2025-05-13T00:00:00"/>
    <s v="Education"/>
    <n v="37300"/>
    <n v="60"/>
    <n v="7.5"/>
    <n v="747.42"/>
    <n v="22.9"/>
    <s v="Paid Off"/>
    <n v="0"/>
    <x v="0"/>
    <x v="2"/>
  </r>
  <r>
    <x v="582"/>
    <s v="BRW-0486"/>
    <d v="2024-10-03T00:00:00"/>
    <s v="Education"/>
    <n v="39200"/>
    <n v="60"/>
    <n v="11.84"/>
    <n v="868.82"/>
    <n v="60.1"/>
    <s v="Current"/>
    <n v="0"/>
    <x v="0"/>
    <x v="0"/>
  </r>
  <r>
    <x v="583"/>
    <s v="BRW-0487"/>
    <d v="2025-03-17T00:00:00"/>
    <s v="Business Loan"/>
    <n v="8800"/>
    <n v="48"/>
    <n v="5.99"/>
    <n v="206.63"/>
    <n v="22.5"/>
    <s v="Current"/>
    <n v="0"/>
    <x v="0"/>
    <x v="2"/>
  </r>
  <r>
    <x v="584"/>
    <s v="BRW-0487"/>
    <d v="2025-04-05T00:00:00"/>
    <s v="Major Purchase"/>
    <n v="48300"/>
    <n v="60"/>
    <n v="10.33"/>
    <n v="1034.0899999999999"/>
    <n v="32.700000000000003"/>
    <s v="Late"/>
    <n v="15"/>
    <x v="0"/>
    <x v="1"/>
  </r>
  <r>
    <x v="585"/>
    <s v="BRW-0488"/>
    <d v="2024-10-09T00:00:00"/>
    <s v="Education"/>
    <n v="20800"/>
    <n v="48"/>
    <n v="14.43"/>
    <n v="572.89"/>
    <n v="47.4"/>
    <s v="Current"/>
    <n v="0"/>
    <x v="0"/>
    <x v="1"/>
  </r>
  <r>
    <x v="586"/>
    <s v="BRW-0488"/>
    <d v="2024-12-21T00:00:00"/>
    <s v="Education"/>
    <n v="7900"/>
    <n v="48"/>
    <n v="12.53"/>
    <n v="210.1"/>
    <n v="40.5"/>
    <s v="Late"/>
    <n v="30"/>
    <x v="0"/>
    <x v="1"/>
  </r>
  <r>
    <x v="587"/>
    <s v="BRW-0489"/>
    <d v="2024-06-15T00:00:00"/>
    <s v="Vacation"/>
    <n v="27100"/>
    <n v="36"/>
    <n v="9.3699999999999992"/>
    <n v="866.45"/>
    <n v="23.2"/>
    <s v="Paid Off"/>
    <n v="0"/>
    <x v="0"/>
    <x v="2"/>
  </r>
  <r>
    <x v="588"/>
    <s v="BRW-0490"/>
    <d v="2024-11-09T00:00:00"/>
    <s v="Debt Consolidation"/>
    <n v="41600"/>
    <n v="12"/>
    <n v="6.52"/>
    <n v="3590.31"/>
    <n v="72.7"/>
    <s v="Default"/>
    <n v="120"/>
    <x v="1"/>
    <x v="0"/>
  </r>
  <r>
    <x v="589"/>
    <s v="BRW-0491"/>
    <d v="2025-05-29T00:00:00"/>
    <s v="Debt Consolidation"/>
    <n v="4800"/>
    <n v="36"/>
    <n v="9.7799999999999994"/>
    <n v="154.38999999999999"/>
    <n v="40"/>
    <s v="Current"/>
    <n v="0"/>
    <x v="0"/>
    <x v="1"/>
  </r>
  <r>
    <x v="590"/>
    <s v="BRW-0492"/>
    <d v="2024-03-23T00:00:00"/>
    <s v="Auto Loan"/>
    <n v="13200"/>
    <n v="48"/>
    <n v="13.58"/>
    <n v="357.93"/>
    <n v="49.4"/>
    <s v="Default"/>
    <n v="38"/>
    <x v="1"/>
    <x v="1"/>
  </r>
  <r>
    <x v="591"/>
    <s v="BRW-0493"/>
    <d v="2024-04-10T00:00:00"/>
    <s v="Education"/>
    <n v="10000"/>
    <n v="48"/>
    <n v="9.58"/>
    <n v="251.61"/>
    <n v="38.700000000000003"/>
    <s v="Late"/>
    <n v="15"/>
    <x v="0"/>
    <x v="1"/>
  </r>
  <r>
    <x v="592"/>
    <s v="BRW-0494"/>
    <d v="2024-07-23T00:00:00"/>
    <s v="Major Purchase"/>
    <n v="17500"/>
    <n v="60"/>
    <n v="9.65"/>
    <n v="368.82"/>
    <n v="30.8"/>
    <s v="Current"/>
    <n v="0"/>
    <x v="0"/>
    <x v="1"/>
  </r>
  <r>
    <x v="593"/>
    <s v="BRW-0495"/>
    <d v="2025-03-23T00:00:00"/>
    <s v="Auto Loan"/>
    <n v="26400"/>
    <n v="60"/>
    <n v="11.87"/>
    <n v="585.52"/>
    <n v="52.7"/>
    <s v="Default"/>
    <n v="164"/>
    <x v="1"/>
    <x v="0"/>
  </r>
  <r>
    <x v="594"/>
    <s v="BRW-0496"/>
    <d v="2025-03-13T00:00:00"/>
    <s v="Education"/>
    <n v="34900"/>
    <n v="36"/>
    <n v="11.33"/>
    <n v="1148.04"/>
    <n v="69.7"/>
    <s v="Late"/>
    <n v="30"/>
    <x v="0"/>
    <x v="0"/>
  </r>
  <r>
    <x v="595"/>
    <s v="BRW-0497"/>
    <d v="2024-11-05T00:00:00"/>
    <s v="Debt Consolidation"/>
    <n v="22200"/>
    <n v="24"/>
    <n v="10.19"/>
    <n v="1026.3699999999999"/>
    <n v="55"/>
    <s v="Current"/>
    <n v="0"/>
    <x v="0"/>
    <x v="0"/>
  </r>
  <r>
    <x v="596"/>
    <s v="BRW-0497"/>
    <d v="2025-02-06T00:00:00"/>
    <s v="Wedding"/>
    <n v="29100"/>
    <n v="36"/>
    <n v="7.38"/>
    <n v="903.59"/>
    <n v="52.3"/>
    <s v="Default"/>
    <n v="31"/>
    <x v="1"/>
    <x v="0"/>
  </r>
  <r>
    <x v="597"/>
    <s v="BRW-0498"/>
    <d v="2024-04-19T00:00:00"/>
    <s v="Moving"/>
    <n v="4600"/>
    <n v="12"/>
    <n v="7.27"/>
    <n v="398.6"/>
    <n v="32.4"/>
    <s v="Current"/>
    <n v="0"/>
    <x v="0"/>
    <x v="1"/>
  </r>
  <r>
    <x v="598"/>
    <s v="BRW-0499"/>
    <d v="2024-02-24T00:00:00"/>
    <s v="Education"/>
    <n v="7800"/>
    <n v="60"/>
    <n v="9.86"/>
    <n v="165.19"/>
    <n v="28.8"/>
    <s v="Current"/>
    <n v="0"/>
    <x v="0"/>
    <x v="1"/>
  </r>
  <r>
    <x v="599"/>
    <s v="BRW-0500"/>
    <d v="2024-11-14T00:00:00"/>
    <s v="Medical Expenses"/>
    <n v="26400"/>
    <n v="24"/>
    <n v="11.44"/>
    <n v="1235.8499999999999"/>
    <n v="73.2"/>
    <s v="Late"/>
    <n v="15"/>
    <x v="0"/>
    <x v="0"/>
  </r>
  <r>
    <x v="600"/>
    <s v="BRW-0500"/>
    <d v="2024-05-03T00:00:00"/>
    <s v="Wedding"/>
    <n v="7500"/>
    <n v="12"/>
    <n v="10.7"/>
    <n v="661.81"/>
    <n v="62.9"/>
    <s v="Current"/>
    <n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LN-00001"/>
    <s v="BRW-0001"/>
    <d v="2024-01-08T00:00:00"/>
    <s v="Vacation"/>
    <n v="16100"/>
    <n v="36"/>
    <n v="13.05"/>
    <n v="542.86"/>
    <n v="55.5"/>
    <s v="Paid Off"/>
    <n v="0"/>
    <n v="0"/>
    <x v="0"/>
  </r>
  <r>
    <s v="LN-00002"/>
    <s v="BRW-0001"/>
    <d v="2024-08-13T00:00:00"/>
    <s v="Major Purchase"/>
    <n v="5600"/>
    <n v="48"/>
    <n v="14.21"/>
    <n v="153.62"/>
    <n v="40.4"/>
    <s v="Default"/>
    <n v="138"/>
    <n v="1"/>
    <x v="0"/>
  </r>
  <r>
    <s v="LN-00003"/>
    <s v="BRW-0002"/>
    <d v="2025-06-28T00:00:00"/>
    <s v="Moving"/>
    <n v="44700"/>
    <n v="36"/>
    <n v="12.37"/>
    <n v="1492.59"/>
    <n v="70.5"/>
    <s v="Paid Off"/>
    <n v="0"/>
    <n v="0"/>
    <x v="1"/>
  </r>
  <r>
    <s v="LN-00004"/>
    <s v="BRW-0003"/>
    <d v="2025-05-18T00:00:00"/>
    <s v="Auto Loan"/>
    <n v="9200"/>
    <n v="48"/>
    <n v="11.18"/>
    <n v="238.58"/>
    <n v="59.8"/>
    <s v="Default"/>
    <n v="34"/>
    <n v="1"/>
    <x v="2"/>
  </r>
  <r>
    <s v="LN-00005"/>
    <s v="BRW-0004"/>
    <d v="2025-03-24T00:00:00"/>
    <s v="Moving"/>
    <n v="11200"/>
    <n v="36"/>
    <n v="9.66"/>
    <n v="359.61"/>
    <n v="44.1"/>
    <s v="Current"/>
    <n v="0"/>
    <n v="0"/>
    <x v="1"/>
  </r>
  <r>
    <s v="LN-00006"/>
    <s v="BRW-0005"/>
    <d v="2025-04-19T00:00:00"/>
    <s v="Education"/>
    <n v="28600"/>
    <n v="48"/>
    <n v="13.07"/>
    <n v="768.26"/>
    <n v="37.1"/>
    <s v="Current"/>
    <n v="0"/>
    <n v="0"/>
    <x v="1"/>
  </r>
  <r>
    <s v="LN-00007"/>
    <s v="BRW-0006"/>
    <d v="2024-07-04T00:00:00"/>
    <s v="Medical Expenses"/>
    <n v="39200"/>
    <n v="12"/>
    <n v="10.23"/>
    <n v="3450.5"/>
    <n v="49.9"/>
    <s v="Paid Off"/>
    <n v="0"/>
    <n v="0"/>
    <x v="2"/>
  </r>
  <r>
    <s v="LN-00008"/>
    <s v="BRW-0007"/>
    <d v="2025-03-29T00:00:00"/>
    <s v="Home Improvement"/>
    <n v="36300"/>
    <n v="48"/>
    <n v="14.26"/>
    <n v="996.69"/>
    <n v="38.200000000000003"/>
    <s v="Default"/>
    <n v="38"/>
    <n v="1"/>
    <x v="0"/>
  </r>
  <r>
    <s v="LN-00009"/>
    <s v="BRW-0007"/>
    <d v="2024-08-01T00:00:00"/>
    <s v="Business Loan"/>
    <n v="39000"/>
    <n v="60"/>
    <n v="13.73"/>
    <n v="902.01"/>
    <n v="36.799999999999997"/>
    <s v="Current"/>
    <n v="0"/>
    <n v="0"/>
    <x v="0"/>
  </r>
  <r>
    <s v="LN-00010"/>
    <s v="BRW-0008"/>
    <d v="2024-11-01T00:00:00"/>
    <s v="Debt Consolidation"/>
    <n v="28400"/>
    <n v="12"/>
    <n v="11.88"/>
    <n v="2521.71"/>
    <n v="67.8"/>
    <s v="Default"/>
    <n v="43"/>
    <n v="1"/>
    <x v="1"/>
  </r>
  <r>
    <s v="LN-00011"/>
    <s v="BRW-0009"/>
    <d v="2024-06-20T00:00:00"/>
    <s v="Business Loan"/>
    <n v="13300"/>
    <n v="48"/>
    <n v="10.91"/>
    <n v="343.16"/>
    <n v="18.600000000000001"/>
    <s v="Current"/>
    <n v="0"/>
    <n v="0"/>
    <x v="3"/>
  </r>
  <r>
    <s v="LN-00012"/>
    <s v="BRW-0009"/>
    <d v="2024-06-07T00:00:00"/>
    <s v="Business Loan"/>
    <n v="2700"/>
    <n v="48"/>
    <n v="12.73"/>
    <n v="72.069999999999993"/>
    <n v="13.5"/>
    <s v="Current"/>
    <n v="0"/>
    <n v="0"/>
    <x v="3"/>
  </r>
  <r>
    <s v="LN-00013"/>
    <s v="BRW-0010"/>
    <d v="2024-06-06T00:00:00"/>
    <s v="Wedding"/>
    <n v="15700"/>
    <n v="12"/>
    <n v="6.57"/>
    <n v="1355.36"/>
    <n v="126"/>
    <s v="Current"/>
    <n v="0"/>
    <n v="0"/>
    <x v="3"/>
  </r>
  <r>
    <s v="LN-00014"/>
    <s v="BRW-0011"/>
    <d v="2024-01-22T00:00:00"/>
    <s v="Moving"/>
    <n v="38300"/>
    <n v="48"/>
    <n v="13.9"/>
    <n v="1044.68"/>
    <n v="63.6"/>
    <s v="Current"/>
    <n v="0"/>
    <n v="0"/>
    <x v="1"/>
  </r>
  <r>
    <s v="LN-00015"/>
    <s v="BRW-0012"/>
    <d v="2024-07-13T00:00:00"/>
    <s v="Vacation"/>
    <n v="28800"/>
    <n v="60"/>
    <n v="9.94"/>
    <n v="611.05999999999995"/>
    <n v="48.3"/>
    <s v="Current"/>
    <n v="0"/>
    <n v="0"/>
    <x v="4"/>
  </r>
  <r>
    <s v="LN-00016"/>
    <s v="BRW-0012"/>
    <d v="2025-06-27T00:00:00"/>
    <s v="Vacation"/>
    <n v="23700"/>
    <n v="60"/>
    <n v="7.25"/>
    <n v="472.09"/>
    <n v="44.5"/>
    <s v="Default"/>
    <n v="105"/>
    <n v="1"/>
    <x v="4"/>
  </r>
  <r>
    <s v="LN-00017"/>
    <s v="BRW-0013"/>
    <d v="2024-07-08T00:00:00"/>
    <s v="Moving"/>
    <n v="2000"/>
    <n v="60"/>
    <n v="11.65"/>
    <n v="44.14"/>
    <n v="18.8"/>
    <s v="Current"/>
    <n v="0"/>
    <n v="0"/>
    <x v="1"/>
  </r>
  <r>
    <s v="LN-00018"/>
    <s v="BRW-0013"/>
    <d v="2024-07-13T00:00:00"/>
    <s v="Wedding"/>
    <n v="34300"/>
    <n v="60"/>
    <n v="13.85"/>
    <n v="795.44"/>
    <n v="30.1"/>
    <s v="Current"/>
    <n v="0"/>
    <n v="0"/>
    <x v="1"/>
  </r>
  <r>
    <s v="LN-00019"/>
    <s v="BRW-0014"/>
    <d v="2024-03-09T00:00:00"/>
    <s v="Education"/>
    <n v="17500"/>
    <n v="12"/>
    <n v="8.4499999999999993"/>
    <n v="1525.94"/>
    <n v="41.4"/>
    <s v="Default"/>
    <n v="63"/>
    <n v="1"/>
    <x v="1"/>
  </r>
  <r>
    <s v="LN-00020"/>
    <s v="BRW-0015"/>
    <d v="2025-02-01T00:00:00"/>
    <s v="Debt Consolidation"/>
    <n v="20600"/>
    <n v="12"/>
    <n v="11.24"/>
    <n v="1822.97"/>
    <n v="52.5"/>
    <s v="Paid Off"/>
    <n v="0"/>
    <n v="0"/>
    <x v="0"/>
  </r>
  <r>
    <s v="LN-00021"/>
    <s v="BRW-0016"/>
    <d v="2024-08-01T00:00:00"/>
    <s v="Education"/>
    <n v="23100"/>
    <n v="12"/>
    <n v="15.15"/>
    <n v="2086.6"/>
    <n v="88.1"/>
    <s v="Late"/>
    <n v="15"/>
    <n v="0"/>
    <x v="1"/>
  </r>
  <r>
    <s v="LN-00022"/>
    <s v="BRW-0017"/>
    <d v="2024-02-29T00:00:00"/>
    <s v="Debt Consolidation"/>
    <n v="23300"/>
    <n v="48"/>
    <n v="13.03"/>
    <n v="625.42999999999995"/>
    <n v="69.400000000000006"/>
    <s v="Current"/>
    <n v="0"/>
    <n v="0"/>
    <x v="1"/>
  </r>
  <r>
    <s v="LN-00023"/>
    <s v="BRW-0018"/>
    <d v="2024-08-24T00:00:00"/>
    <s v="Auto Loan"/>
    <n v="7200"/>
    <n v="60"/>
    <n v="8.39"/>
    <n v="147.34"/>
    <n v="18.899999999999999"/>
    <s v="Current"/>
    <n v="0"/>
    <n v="0"/>
    <x v="0"/>
  </r>
  <r>
    <s v="LN-00024"/>
    <s v="BRW-0019"/>
    <d v="2025-01-01T00:00:00"/>
    <s v="Medical Expenses"/>
    <n v="13700"/>
    <n v="12"/>
    <n v="15.03"/>
    <n v="1236.73"/>
    <n v="112.8"/>
    <s v="Current"/>
    <n v="0"/>
    <n v="0"/>
    <x v="3"/>
  </r>
  <r>
    <s v="LN-00025"/>
    <s v="BRW-0020"/>
    <d v="2025-03-29T00:00:00"/>
    <s v="Medical Expenses"/>
    <n v="23300"/>
    <n v="24"/>
    <n v="12.02"/>
    <n v="1097.03"/>
    <n v="62.4"/>
    <s v="Late"/>
    <n v="15"/>
    <n v="0"/>
    <x v="1"/>
  </r>
  <r>
    <s v="LN-00026"/>
    <s v="BRW-0021"/>
    <d v="2024-08-07T00:00:00"/>
    <s v="Education"/>
    <n v="32400"/>
    <n v="36"/>
    <n v="13.31"/>
    <n v="1096.53"/>
    <n v="60"/>
    <s v="Default"/>
    <n v="170"/>
    <n v="1"/>
    <x v="2"/>
  </r>
  <r>
    <s v="LN-00027"/>
    <s v="BRW-0021"/>
    <d v="2024-02-05T00:00:00"/>
    <s v="Auto Loan"/>
    <n v="23700"/>
    <n v="48"/>
    <n v="10.27"/>
    <n v="604.16999999999996"/>
    <n v="51.7"/>
    <s v="Current"/>
    <n v="0"/>
    <n v="0"/>
    <x v="2"/>
  </r>
  <r>
    <s v="LN-00028"/>
    <s v="BRW-0022"/>
    <d v="2024-01-23T00:00:00"/>
    <s v="Auto Loan"/>
    <n v="7400"/>
    <n v="24"/>
    <n v="12.65"/>
    <n v="350.59"/>
    <n v="29.2"/>
    <s v="Late"/>
    <n v="15"/>
    <n v="0"/>
    <x v="3"/>
  </r>
  <r>
    <s v="LN-00029"/>
    <s v="BRW-0022"/>
    <d v="2024-02-08T00:00:00"/>
    <s v="Moving"/>
    <n v="13600"/>
    <n v="60"/>
    <n v="9.14"/>
    <n v="283.24"/>
    <n v="25.9"/>
    <s v="Current"/>
    <n v="0"/>
    <n v="0"/>
    <x v="3"/>
  </r>
  <r>
    <s v="LN-00030"/>
    <s v="BRW-0023"/>
    <d v="2024-08-10T00:00:00"/>
    <s v="Business Loan"/>
    <n v="34200"/>
    <n v="12"/>
    <n v="10.17"/>
    <n v="3009.43"/>
    <n v="87.7"/>
    <s v="Paid Off"/>
    <n v="0"/>
    <n v="0"/>
    <x v="1"/>
  </r>
  <r>
    <s v="LN-00031"/>
    <s v="BRW-0023"/>
    <d v="2024-04-07T00:00:00"/>
    <s v="Medical Expenses"/>
    <n v="45200"/>
    <n v="60"/>
    <n v="11.41"/>
    <n v="992.02"/>
    <n v="54.1"/>
    <s v="Paid Off"/>
    <n v="0"/>
    <n v="0"/>
    <x v="1"/>
  </r>
  <r>
    <s v="LN-00032"/>
    <s v="BRW-0024"/>
    <d v="2025-03-20T00:00:00"/>
    <s v="Home Improvement"/>
    <n v="46200"/>
    <n v="36"/>
    <n v="10.72"/>
    <n v="1506.41"/>
    <n v="47.5"/>
    <s v="Late"/>
    <n v="15"/>
    <n v="0"/>
    <x v="4"/>
  </r>
  <r>
    <s v="LN-00033"/>
    <s v="BRW-0025"/>
    <d v="2025-06-20T00:00:00"/>
    <s v="Wedding"/>
    <n v="32400"/>
    <n v="48"/>
    <n v="7.65"/>
    <n v="785.67"/>
    <n v="58.9"/>
    <s v="Default"/>
    <n v="168"/>
    <n v="1"/>
    <x v="1"/>
  </r>
  <r>
    <s v="LN-00034"/>
    <s v="BRW-0026"/>
    <d v="2025-02-06T00:00:00"/>
    <s v="Education"/>
    <n v="12400"/>
    <n v="12"/>
    <n v="14.05"/>
    <n v="1113.6500000000001"/>
    <n v="58.7"/>
    <s v="Current"/>
    <n v="0"/>
    <n v="0"/>
    <x v="1"/>
  </r>
  <r>
    <s v="LN-00035"/>
    <s v="BRW-0027"/>
    <d v="2025-05-02T00:00:00"/>
    <s v="Major Purchase"/>
    <n v="16400"/>
    <n v="24"/>
    <n v="8.51"/>
    <n v="745.55"/>
    <n v="53.8"/>
    <s v="Current"/>
    <n v="0"/>
    <n v="0"/>
    <x v="1"/>
  </r>
  <r>
    <s v="LN-00036"/>
    <s v="BRW-0028"/>
    <d v="2024-07-21T00:00:00"/>
    <s v="Moving"/>
    <n v="27100"/>
    <n v="24"/>
    <n v="8.64"/>
    <n v="1233.5899999999999"/>
    <n v="65.3"/>
    <s v="Current"/>
    <n v="0"/>
    <n v="0"/>
    <x v="4"/>
  </r>
  <r>
    <s v="LN-00037"/>
    <s v="BRW-0029"/>
    <d v="2024-04-01T00:00:00"/>
    <s v="Moving"/>
    <n v="5400"/>
    <n v="48"/>
    <n v="10.5"/>
    <n v="138.26"/>
    <n v="29.3"/>
    <s v="Default"/>
    <n v="135"/>
    <n v="1"/>
    <x v="1"/>
  </r>
  <r>
    <s v="LN-00038"/>
    <s v="BRW-0030"/>
    <d v="2024-06-22T00:00:00"/>
    <s v="Education"/>
    <n v="5500"/>
    <n v="12"/>
    <n v="14.25"/>
    <n v="494.48"/>
    <n v="77.2"/>
    <s v="Paid Off"/>
    <n v="0"/>
    <n v="0"/>
    <x v="3"/>
  </r>
  <r>
    <s v="LN-00039"/>
    <s v="BRW-0031"/>
    <d v="2025-01-17T00:00:00"/>
    <s v="Medical Expenses"/>
    <n v="46400"/>
    <n v="24"/>
    <n v="7.45"/>
    <n v="2086.9299999999998"/>
    <n v="42.1"/>
    <s v="Current"/>
    <n v="0"/>
    <n v="0"/>
    <x v="1"/>
  </r>
  <r>
    <s v="LN-00040"/>
    <s v="BRW-0032"/>
    <d v="2024-04-23T00:00:00"/>
    <s v="Business Loan"/>
    <n v="46500"/>
    <n v="36"/>
    <n v="10.02"/>
    <n v="1500.86"/>
    <n v="37.5"/>
    <s v="Current"/>
    <n v="0"/>
    <n v="0"/>
    <x v="0"/>
  </r>
  <r>
    <s v="LN-00041"/>
    <s v="BRW-0033"/>
    <d v="2024-05-24T00:00:00"/>
    <s v="Business Loan"/>
    <n v="16200"/>
    <n v="36"/>
    <n v="8.58"/>
    <n v="511.99"/>
    <n v="58.8"/>
    <s v="Current"/>
    <n v="0"/>
    <n v="0"/>
    <x v="0"/>
  </r>
  <r>
    <s v="LN-00042"/>
    <s v="BRW-0034"/>
    <d v="2024-10-04T00:00:00"/>
    <s v="Moving"/>
    <n v="4300"/>
    <n v="36"/>
    <n v="9.34"/>
    <n v="137.41999999999999"/>
    <n v="30.9"/>
    <s v="Default"/>
    <n v="32"/>
    <n v="1"/>
    <x v="2"/>
  </r>
  <r>
    <s v="LN-00043"/>
    <s v="BRW-0034"/>
    <d v="2024-01-20T00:00:00"/>
    <s v="Home Improvement"/>
    <n v="10500"/>
    <n v="36"/>
    <n v="12.65"/>
    <n v="352.02"/>
    <n v="36.799999999999997"/>
    <s v="Late"/>
    <n v="15"/>
    <n v="0"/>
    <x v="2"/>
  </r>
  <r>
    <s v="LN-00044"/>
    <s v="BRW-0035"/>
    <d v="2025-06-28T00:00:00"/>
    <s v="Moving"/>
    <n v="6800"/>
    <n v="36"/>
    <n v="12.32"/>
    <n v="226.9"/>
    <n v="18.399999999999999"/>
    <s v="Default"/>
    <n v="80"/>
    <n v="1"/>
    <x v="1"/>
  </r>
  <r>
    <s v="LN-00045"/>
    <s v="BRW-0035"/>
    <d v="2025-06-26T00:00:00"/>
    <s v="Moving"/>
    <n v="28900"/>
    <n v="12"/>
    <n v="10.1"/>
    <n v="2542.11"/>
    <n v="79.599999999999994"/>
    <s v="Default"/>
    <n v="155"/>
    <n v="1"/>
    <x v="1"/>
  </r>
  <r>
    <s v="LN-00046"/>
    <s v="BRW-0036"/>
    <d v="2024-08-29T00:00:00"/>
    <s v="Medical Expenses"/>
    <n v="12800"/>
    <n v="36"/>
    <n v="13.96"/>
    <n v="437.23"/>
    <n v="32.200000000000003"/>
    <s v="Late"/>
    <n v="30"/>
    <n v="0"/>
    <x v="1"/>
  </r>
  <r>
    <s v="LN-00047"/>
    <s v="BRW-0037"/>
    <d v="2024-10-13T00:00:00"/>
    <s v="Auto Loan"/>
    <n v="44700"/>
    <n v="12"/>
    <n v="14.32"/>
    <n v="4020.22"/>
    <n v="93.8"/>
    <s v="Default"/>
    <n v="117"/>
    <n v="1"/>
    <x v="1"/>
  </r>
  <r>
    <s v="LN-00048"/>
    <s v="BRW-0038"/>
    <d v="2024-08-20T00:00:00"/>
    <s v="Medical Expenses"/>
    <n v="5900"/>
    <n v="60"/>
    <n v="12.11"/>
    <n v="131.57"/>
    <n v="29.4"/>
    <s v="Current"/>
    <n v="0"/>
    <n v="0"/>
    <x v="4"/>
  </r>
  <r>
    <s v="LN-00049"/>
    <s v="BRW-0038"/>
    <d v="2024-05-21T00:00:00"/>
    <s v="Auto Loan"/>
    <n v="15100"/>
    <n v="60"/>
    <n v="8.41"/>
    <n v="309.14999999999998"/>
    <n v="36.5"/>
    <s v="Current"/>
    <n v="0"/>
    <n v="0"/>
    <x v="4"/>
  </r>
  <r>
    <s v="LN-00050"/>
    <s v="BRW-0039"/>
    <d v="2024-06-10T00:00:00"/>
    <s v="Moving"/>
    <n v="22600"/>
    <n v="24"/>
    <n v="10.199999999999999"/>
    <n v="1044.96"/>
    <n v="26.2"/>
    <s v="Paid Off"/>
    <n v="0"/>
    <n v="0"/>
    <x v="1"/>
  </r>
  <r>
    <s v="LN-00051"/>
    <s v="BRW-0040"/>
    <d v="2025-02-27T00:00:00"/>
    <s v="Education"/>
    <n v="9000"/>
    <n v="12"/>
    <n v="12.63"/>
    <n v="802.29"/>
    <n v="65.400000000000006"/>
    <s v="Paid Off"/>
    <n v="0"/>
    <n v="0"/>
    <x v="1"/>
  </r>
  <r>
    <s v="LN-00052"/>
    <s v="BRW-0041"/>
    <d v="2024-09-30T00:00:00"/>
    <s v="Auto Loan"/>
    <n v="11000"/>
    <n v="24"/>
    <n v="10.24"/>
    <n v="508.81"/>
    <n v="39.299999999999997"/>
    <s v="Current"/>
    <n v="0"/>
    <n v="0"/>
    <x v="1"/>
  </r>
  <r>
    <s v="LN-00053"/>
    <s v="BRW-0041"/>
    <d v="2025-04-25T00:00:00"/>
    <s v="Business Loan"/>
    <n v="19200"/>
    <n v="48"/>
    <n v="9.99"/>
    <n v="486.87"/>
    <n v="39.1"/>
    <s v="Paid Off"/>
    <n v="0"/>
    <n v="0"/>
    <x v="1"/>
  </r>
  <r>
    <s v="LN-00054"/>
    <s v="BRW-0042"/>
    <d v="2024-01-16T00:00:00"/>
    <s v="Medical Expenses"/>
    <n v="12900"/>
    <n v="48"/>
    <n v="10.39"/>
    <n v="329.6"/>
    <n v="10.9"/>
    <s v="Late"/>
    <n v="30"/>
    <n v="0"/>
    <x v="1"/>
  </r>
  <r>
    <s v="LN-00055"/>
    <s v="BRW-0043"/>
    <d v="2025-05-16T00:00:00"/>
    <s v="Business Loan"/>
    <n v="3900"/>
    <n v="48"/>
    <n v="13.92"/>
    <n v="106.42"/>
    <n v="41.3"/>
    <s v="Late"/>
    <n v="15"/>
    <n v="0"/>
    <x v="4"/>
  </r>
  <r>
    <s v="LN-00056"/>
    <s v="BRW-0044"/>
    <d v="2025-06-21T00:00:00"/>
    <s v="Debt Consolidation"/>
    <n v="41600"/>
    <n v="36"/>
    <n v="10.34"/>
    <n v="1348.97"/>
    <n v="31.5"/>
    <s v="Current"/>
    <n v="0"/>
    <n v="0"/>
    <x v="0"/>
  </r>
  <r>
    <s v="LN-00057"/>
    <s v="BRW-0045"/>
    <d v="2025-02-09T00:00:00"/>
    <s v="Vacation"/>
    <n v="4000"/>
    <n v="24"/>
    <n v="12.11"/>
    <n v="188.5"/>
    <n v="7.6"/>
    <s v="Current"/>
    <n v="0"/>
    <n v="0"/>
    <x v="1"/>
  </r>
  <r>
    <s v="LN-00058"/>
    <s v="BRW-0046"/>
    <d v="2024-10-19T00:00:00"/>
    <s v="Debt Consolidation"/>
    <n v="14400"/>
    <n v="36"/>
    <n v="12.3"/>
    <n v="480.35"/>
    <n v="38.700000000000003"/>
    <s v="Late"/>
    <n v="0"/>
    <n v="0"/>
    <x v="0"/>
  </r>
  <r>
    <s v="LN-00059"/>
    <s v="BRW-0047"/>
    <d v="2025-05-27T00:00:00"/>
    <s v="Moving"/>
    <n v="24300"/>
    <n v="48"/>
    <n v="6.29"/>
    <n v="573.91999999999996"/>
    <n v="28.8"/>
    <s v="Paid Off"/>
    <n v="0"/>
    <n v="0"/>
    <x v="1"/>
  </r>
  <r>
    <s v="LN-00060"/>
    <s v="BRW-0048"/>
    <d v="2024-07-25T00:00:00"/>
    <s v="Medical Expenses"/>
    <n v="15600"/>
    <n v="12"/>
    <n v="6.86"/>
    <n v="1348.81"/>
    <n v="64.900000000000006"/>
    <s v="Current"/>
    <n v="0"/>
    <n v="0"/>
    <x v="1"/>
  </r>
  <r>
    <s v="LN-00061"/>
    <s v="BRW-0049"/>
    <d v="2025-01-06T00:00:00"/>
    <s v="Medical Expenses"/>
    <n v="7900"/>
    <n v="12"/>
    <n v="13.28"/>
    <n v="706.64"/>
    <n v="53"/>
    <s v="Default"/>
    <n v="128"/>
    <n v="1"/>
    <x v="1"/>
  </r>
  <r>
    <s v="LN-00062"/>
    <s v="BRW-0050"/>
    <d v="2024-06-23T00:00:00"/>
    <s v="Moving"/>
    <n v="9700"/>
    <n v="60"/>
    <n v="8.32"/>
    <n v="198.17"/>
    <n v="13"/>
    <s v="Late"/>
    <n v="0"/>
    <n v="0"/>
    <x v="1"/>
  </r>
  <r>
    <s v="LN-00063"/>
    <s v="BRW-0051"/>
    <d v="2025-04-01T00:00:00"/>
    <s v="Medical Expenses"/>
    <n v="36200"/>
    <n v="48"/>
    <n v="7.37"/>
    <n v="873.08"/>
    <n v="53.3"/>
    <s v="Paid Off"/>
    <n v="0"/>
    <n v="0"/>
    <x v="0"/>
  </r>
  <r>
    <s v="LN-00064"/>
    <s v="BRW-0052"/>
    <d v="2025-05-25T00:00:00"/>
    <s v="Debt Consolidation"/>
    <n v="14100"/>
    <n v="48"/>
    <n v="12.22"/>
    <n v="372.83"/>
    <n v="43.4"/>
    <s v="Paid Off"/>
    <n v="0"/>
    <n v="0"/>
    <x v="2"/>
  </r>
  <r>
    <s v="LN-00065"/>
    <s v="BRW-0052"/>
    <d v="2024-03-22T00:00:00"/>
    <s v="Business Loan"/>
    <n v="26200"/>
    <n v="48"/>
    <n v="11.78"/>
    <n v="687.12"/>
    <n v="48.8"/>
    <s v="Paid Off"/>
    <n v="0"/>
    <n v="0"/>
    <x v="2"/>
  </r>
  <r>
    <s v="LN-00066"/>
    <s v="BRW-0053"/>
    <d v="2024-12-23T00:00:00"/>
    <s v="Moving"/>
    <n v="12000"/>
    <n v="24"/>
    <n v="9.39"/>
    <n v="550.37"/>
    <n v="18.600000000000001"/>
    <s v="Default"/>
    <n v="38"/>
    <n v="1"/>
    <x v="1"/>
  </r>
  <r>
    <s v="LN-00067"/>
    <s v="BRW-0054"/>
    <d v="2024-07-01T00:00:00"/>
    <s v="Wedding"/>
    <n v="37700"/>
    <n v="12"/>
    <n v="11.09"/>
    <n v="3333.57"/>
    <n v="72.599999999999994"/>
    <s v="Default"/>
    <n v="102"/>
    <n v="1"/>
    <x v="0"/>
  </r>
  <r>
    <s v="LN-00068"/>
    <s v="BRW-0055"/>
    <d v="2025-01-03T00:00:00"/>
    <s v="Wedding"/>
    <n v="29000"/>
    <n v="48"/>
    <n v="14.5"/>
    <n v="799.76"/>
    <n v="14.8"/>
    <s v="Current"/>
    <n v="0"/>
    <n v="0"/>
    <x v="0"/>
  </r>
  <r>
    <s v="LN-00069"/>
    <s v="BRW-0056"/>
    <d v="2025-04-27T00:00:00"/>
    <s v="Major Purchase"/>
    <n v="38400"/>
    <n v="60"/>
    <n v="7.84"/>
    <n v="775.68"/>
    <n v="63.1"/>
    <s v="Default"/>
    <n v="100"/>
    <n v="1"/>
    <x v="1"/>
  </r>
  <r>
    <s v="LN-00070"/>
    <s v="BRW-0057"/>
    <d v="2025-06-25T00:00:00"/>
    <s v="Major Purchase"/>
    <n v="20500"/>
    <n v="60"/>
    <n v="8.67"/>
    <n v="422.27"/>
    <n v="27.8"/>
    <s v="Late"/>
    <n v="0"/>
    <n v="0"/>
    <x v="1"/>
  </r>
  <r>
    <s v="LN-00071"/>
    <s v="BRW-0058"/>
    <d v="2024-12-28T00:00:00"/>
    <s v="Auto Loan"/>
    <n v="42700"/>
    <n v="36"/>
    <n v="13.49"/>
    <n v="1448.83"/>
    <n v="36.299999999999997"/>
    <s v="Current"/>
    <n v="0"/>
    <n v="0"/>
    <x v="2"/>
  </r>
  <r>
    <s v="LN-00072"/>
    <s v="BRW-0058"/>
    <d v="2024-10-24T00:00:00"/>
    <s v="Vacation"/>
    <n v="10600"/>
    <n v="60"/>
    <n v="12.03"/>
    <n v="235.95"/>
    <n v="17.7"/>
    <s v="Current"/>
    <n v="0"/>
    <n v="0"/>
    <x v="2"/>
  </r>
  <r>
    <s v="LN-00073"/>
    <s v="BRW-0059"/>
    <d v="2025-02-27T00:00:00"/>
    <s v="Home Improvement"/>
    <n v="12000"/>
    <n v="60"/>
    <n v="12.84"/>
    <n v="272.06"/>
    <n v="52"/>
    <s v="Default"/>
    <n v="119"/>
    <n v="1"/>
    <x v="1"/>
  </r>
  <r>
    <s v="LN-00074"/>
    <s v="BRW-0060"/>
    <d v="2024-03-10T00:00:00"/>
    <s v="Business Loan"/>
    <n v="5200"/>
    <n v="36"/>
    <n v="9.4600000000000009"/>
    <n v="166.47"/>
    <n v="10.5"/>
    <s v="Current"/>
    <n v="0"/>
    <n v="0"/>
    <x v="1"/>
  </r>
  <r>
    <s v="LN-00075"/>
    <s v="BRW-0061"/>
    <d v="2024-06-28T00:00:00"/>
    <s v="Education"/>
    <n v="29500"/>
    <n v="60"/>
    <n v="14.67"/>
    <n v="696.7"/>
    <n v="67.2"/>
    <s v="Default"/>
    <n v="116"/>
    <n v="1"/>
    <x v="1"/>
  </r>
  <r>
    <s v="LN-00076"/>
    <s v="BRW-0062"/>
    <d v="2025-04-16T00:00:00"/>
    <s v="Vacation"/>
    <n v="40300"/>
    <n v="24"/>
    <n v="8.41"/>
    <n v="1830.2"/>
    <n v="53.2"/>
    <s v="Current"/>
    <n v="0"/>
    <n v="0"/>
    <x v="0"/>
  </r>
  <r>
    <s v="LN-00077"/>
    <s v="BRW-0062"/>
    <d v="2024-11-19T00:00:00"/>
    <s v="Major Purchase"/>
    <n v="4700"/>
    <n v="60"/>
    <n v="7.5"/>
    <n v="94.18"/>
    <n v="12.6"/>
    <s v="Current"/>
    <n v="0"/>
    <n v="0"/>
    <x v="0"/>
  </r>
  <r>
    <s v="LN-00078"/>
    <s v="BRW-0063"/>
    <d v="2025-01-19T00:00:00"/>
    <s v="Education"/>
    <n v="5800"/>
    <n v="12"/>
    <n v="9.58"/>
    <n v="508.78"/>
    <n v="47.9"/>
    <s v="Current"/>
    <n v="0"/>
    <n v="0"/>
    <x v="3"/>
  </r>
  <r>
    <s v="LN-00079"/>
    <s v="BRW-0064"/>
    <d v="2024-11-18T00:00:00"/>
    <s v="Wedding"/>
    <n v="15400"/>
    <n v="36"/>
    <n v="9.58"/>
    <n v="493.88"/>
    <n v="36"/>
    <s v="Current"/>
    <n v="0"/>
    <n v="0"/>
    <x v="0"/>
  </r>
  <r>
    <s v="LN-00080"/>
    <s v="BRW-0065"/>
    <d v="2024-06-28T00:00:00"/>
    <s v="Education"/>
    <n v="47600"/>
    <n v="24"/>
    <n v="13.53"/>
    <n v="2274.86"/>
    <n v="86.4"/>
    <s v="Default"/>
    <n v="39"/>
    <n v="1"/>
    <x v="1"/>
  </r>
  <r>
    <s v="LN-00081"/>
    <s v="BRW-0065"/>
    <d v="2025-05-27T00:00:00"/>
    <s v="Business Loan"/>
    <n v="23300"/>
    <n v="12"/>
    <n v="14.9"/>
    <n v="2101.92"/>
    <n v="83.8"/>
    <s v="Default"/>
    <n v="117"/>
    <n v="1"/>
    <x v="1"/>
  </r>
  <r>
    <s v="LN-00082"/>
    <s v="BRW-0066"/>
    <d v="2025-06-12T00:00:00"/>
    <s v="Moving"/>
    <n v="16300"/>
    <n v="12"/>
    <n v="13.69"/>
    <n v="1461.15"/>
    <n v="76.900000000000006"/>
    <s v="Paid Off"/>
    <n v="0"/>
    <n v="0"/>
    <x v="1"/>
  </r>
  <r>
    <s v="LN-00083"/>
    <s v="BRW-0066"/>
    <d v="2024-02-15T00:00:00"/>
    <s v="Vacation"/>
    <n v="43500"/>
    <n v="12"/>
    <n v="9.6"/>
    <n v="3816.25"/>
    <n v="118.6"/>
    <s v="Current"/>
    <n v="0"/>
    <n v="0"/>
    <x v="1"/>
  </r>
  <r>
    <s v="LN-00084"/>
    <s v="BRW-0067"/>
    <d v="2024-11-15T00:00:00"/>
    <s v="Debt Consolidation"/>
    <n v="25900"/>
    <n v="36"/>
    <n v="8.4499999999999993"/>
    <n v="817"/>
    <n v="40"/>
    <s v="Current"/>
    <n v="0"/>
    <n v="0"/>
    <x v="2"/>
  </r>
  <r>
    <s v="LN-00085"/>
    <s v="BRW-0068"/>
    <d v="2024-06-10T00:00:00"/>
    <s v="Moving"/>
    <n v="19800"/>
    <n v="12"/>
    <n v="8.23"/>
    <n v="1724.48"/>
    <n v="51.2"/>
    <s v="Late"/>
    <n v="0"/>
    <n v="0"/>
    <x v="0"/>
  </r>
  <r>
    <s v="LN-00086"/>
    <s v="BRW-0069"/>
    <d v="2024-10-17T00:00:00"/>
    <s v="Business Loan"/>
    <n v="28400"/>
    <n v="36"/>
    <n v="11.71"/>
    <n v="939.36"/>
    <n v="39.700000000000003"/>
    <s v="Current"/>
    <n v="0"/>
    <n v="0"/>
    <x v="0"/>
  </r>
  <r>
    <s v="LN-00087"/>
    <s v="BRW-0070"/>
    <d v="2024-02-21T00:00:00"/>
    <s v="Moving"/>
    <n v="8200"/>
    <n v="48"/>
    <n v="11.25"/>
    <n v="212.93"/>
    <n v="27.5"/>
    <s v="Current"/>
    <n v="0"/>
    <n v="0"/>
    <x v="0"/>
  </r>
  <r>
    <s v="LN-00088"/>
    <s v="BRW-0070"/>
    <d v="2024-11-15T00:00:00"/>
    <s v="Medical Expenses"/>
    <n v="44800"/>
    <n v="48"/>
    <n v="9.81"/>
    <n v="1132.1600000000001"/>
    <n v="37.6"/>
    <s v="Paid Off"/>
    <n v="0"/>
    <n v="0"/>
    <x v="0"/>
  </r>
  <r>
    <s v="LN-00089"/>
    <s v="BRW-0071"/>
    <d v="2024-04-05T00:00:00"/>
    <s v="Home Improvement"/>
    <n v="31800"/>
    <n v="48"/>
    <n v="9.57"/>
    <n v="799.98"/>
    <n v="56.6"/>
    <s v="Late"/>
    <n v="15"/>
    <n v="0"/>
    <x v="3"/>
  </r>
  <r>
    <s v="LN-00090"/>
    <s v="BRW-0071"/>
    <d v="2024-08-17T00:00:00"/>
    <s v="Vacation"/>
    <n v="12900"/>
    <n v="48"/>
    <n v="9.09"/>
    <n v="321.57"/>
    <n v="36.200000000000003"/>
    <s v="Late"/>
    <n v="15"/>
    <n v="0"/>
    <x v="3"/>
  </r>
  <r>
    <s v="LN-00091"/>
    <s v="BRW-0072"/>
    <d v="2024-01-31T00:00:00"/>
    <s v="Medical Expenses"/>
    <n v="27200"/>
    <n v="36"/>
    <n v="11.88"/>
    <n v="901.87"/>
    <n v="70.400000000000006"/>
    <s v="Default"/>
    <n v="58"/>
    <n v="1"/>
    <x v="1"/>
  </r>
  <r>
    <s v="LN-00092"/>
    <s v="BRW-0073"/>
    <d v="2024-05-10T00:00:00"/>
    <s v="Vacation"/>
    <n v="15500"/>
    <n v="36"/>
    <n v="9.64"/>
    <n v="497.53"/>
    <n v="29.3"/>
    <s v="Paid Off"/>
    <n v="0"/>
    <n v="0"/>
    <x v="1"/>
  </r>
  <r>
    <s v="LN-00093"/>
    <s v="BRW-0074"/>
    <d v="2025-02-27T00:00:00"/>
    <s v="Moving"/>
    <n v="35700"/>
    <n v="60"/>
    <n v="11.14"/>
    <n v="778.7"/>
    <n v="74.900000000000006"/>
    <s v="Default"/>
    <n v="92"/>
    <n v="1"/>
    <x v="1"/>
  </r>
  <r>
    <s v="LN-00094"/>
    <s v="BRW-0075"/>
    <d v="2025-03-21T00:00:00"/>
    <s v="Vacation"/>
    <n v="18400"/>
    <n v="60"/>
    <n v="8.11"/>
    <n v="374.06"/>
    <n v="56.7"/>
    <s v="Late"/>
    <n v="0"/>
    <n v="0"/>
    <x v="1"/>
  </r>
  <r>
    <s v="LN-00095"/>
    <s v="BRW-0076"/>
    <d v="2025-04-19T00:00:00"/>
    <s v="Home Improvement"/>
    <n v="36200"/>
    <n v="48"/>
    <n v="7.99"/>
    <n v="883.58"/>
    <n v="21.1"/>
    <s v="Current"/>
    <n v="0"/>
    <n v="0"/>
    <x v="1"/>
  </r>
  <r>
    <s v="LN-00096"/>
    <s v="BRW-0077"/>
    <d v="2025-01-23T00:00:00"/>
    <s v="Major Purchase"/>
    <n v="4900"/>
    <n v="60"/>
    <n v="10.19"/>
    <n v="104.57"/>
    <n v="45.4"/>
    <s v="Current"/>
    <n v="0"/>
    <n v="0"/>
    <x v="1"/>
  </r>
  <r>
    <s v="LN-00097"/>
    <s v="BRW-0078"/>
    <d v="2024-06-01T00:00:00"/>
    <s v="Medical Expenses"/>
    <n v="45400"/>
    <n v="12"/>
    <n v="11.14"/>
    <n v="4015.49"/>
    <n v="92.5"/>
    <s v="Late"/>
    <n v="0"/>
    <n v="0"/>
    <x v="1"/>
  </r>
  <r>
    <s v="LN-00098"/>
    <s v="BRW-0079"/>
    <d v="2024-11-07T00:00:00"/>
    <s v="Business Loan"/>
    <n v="17200"/>
    <n v="60"/>
    <n v="13.11"/>
    <n v="392.32"/>
    <n v="37.799999999999997"/>
    <s v="Late"/>
    <n v="15"/>
    <n v="0"/>
    <x v="1"/>
  </r>
  <r>
    <s v="LN-00099"/>
    <s v="BRW-0080"/>
    <d v="2024-05-10T00:00:00"/>
    <s v="Home Improvement"/>
    <n v="31400"/>
    <n v="60"/>
    <n v="10.79"/>
    <n v="679.43"/>
    <n v="58.2"/>
    <s v="Paid Off"/>
    <n v="0"/>
    <n v="0"/>
    <x v="1"/>
  </r>
  <r>
    <s v="LN-00100"/>
    <s v="BRW-0080"/>
    <d v="2024-10-15T00:00:00"/>
    <s v="Debt Consolidation"/>
    <n v="10800"/>
    <n v="36"/>
    <n v="9.32"/>
    <n v="345.05"/>
    <n v="51.4"/>
    <s v="Paid Off"/>
    <n v="0"/>
    <n v="0"/>
    <x v="1"/>
  </r>
  <r>
    <s v="LN-00101"/>
    <s v="BRW-0081"/>
    <d v="2024-06-26T00:00:00"/>
    <s v="Education"/>
    <n v="21500"/>
    <n v="48"/>
    <n v="12.93"/>
    <n v="576.04"/>
    <n v="59.3"/>
    <s v="Default"/>
    <n v="78"/>
    <n v="1"/>
    <x v="2"/>
  </r>
  <r>
    <s v="LN-00102"/>
    <s v="BRW-0082"/>
    <d v="2024-03-14T00:00:00"/>
    <s v="Education"/>
    <n v="9400"/>
    <n v="24"/>
    <n v="6.99"/>
    <n v="420.82"/>
    <n v="51.6"/>
    <s v="Paid Off"/>
    <n v="0"/>
    <n v="0"/>
    <x v="0"/>
  </r>
  <r>
    <s v="LN-00103"/>
    <s v="BRW-0083"/>
    <d v="2025-03-11T00:00:00"/>
    <s v="Medical Expenses"/>
    <n v="12500"/>
    <n v="48"/>
    <n v="15.13"/>
    <n v="348.71"/>
    <n v="18.7"/>
    <s v="Current"/>
    <n v="0"/>
    <n v="0"/>
    <x v="1"/>
  </r>
  <r>
    <s v="LN-00104"/>
    <s v="BRW-0084"/>
    <d v="2025-05-25T00:00:00"/>
    <s v="Major Purchase"/>
    <n v="10900"/>
    <n v="60"/>
    <n v="8.84"/>
    <n v="225.42"/>
    <n v="41.2"/>
    <s v="Current"/>
    <n v="0"/>
    <n v="0"/>
    <x v="3"/>
  </r>
  <r>
    <s v="LN-00105"/>
    <s v="BRW-0084"/>
    <d v="2025-05-09T00:00:00"/>
    <s v="Major Purchase"/>
    <n v="29700"/>
    <n v="12"/>
    <n v="13.69"/>
    <n v="2662.35"/>
    <n v="80.2"/>
    <s v="Current"/>
    <n v="0"/>
    <n v="0"/>
    <x v="3"/>
  </r>
  <r>
    <s v="LN-00106"/>
    <s v="BRW-0085"/>
    <d v="2024-03-21T00:00:00"/>
    <s v="Medical Expenses"/>
    <n v="16200"/>
    <n v="36"/>
    <n v="9.39"/>
    <n v="518.1"/>
    <n v="63.7"/>
    <s v="Current"/>
    <n v="0"/>
    <n v="0"/>
    <x v="3"/>
  </r>
  <r>
    <s v="LN-00107"/>
    <s v="BRW-0086"/>
    <d v="2024-02-24T00:00:00"/>
    <s v="Home Improvement"/>
    <n v="26700"/>
    <n v="60"/>
    <n v="9.31"/>
    <n v="558.27"/>
    <n v="33.299999999999997"/>
    <s v="Current"/>
    <n v="0"/>
    <n v="0"/>
    <x v="0"/>
  </r>
  <r>
    <s v="LN-00108"/>
    <s v="BRW-0087"/>
    <d v="2024-10-28T00:00:00"/>
    <s v="Vacation"/>
    <n v="17900"/>
    <n v="36"/>
    <n v="15.64"/>
    <n v="626.13"/>
    <n v="29.3"/>
    <s v="Default"/>
    <n v="39"/>
    <n v="1"/>
    <x v="1"/>
  </r>
  <r>
    <s v="LN-00109"/>
    <s v="BRW-0088"/>
    <d v="2025-04-29T00:00:00"/>
    <s v="Wedding"/>
    <n v="36900"/>
    <n v="60"/>
    <n v="7.79"/>
    <n v="744.5"/>
    <n v="45.9"/>
    <s v="Late"/>
    <n v="0"/>
    <n v="0"/>
    <x v="0"/>
  </r>
  <r>
    <s v="LN-00110"/>
    <s v="BRW-0089"/>
    <d v="2024-10-11T00:00:00"/>
    <s v="Wedding"/>
    <n v="9100"/>
    <n v="24"/>
    <n v="12.34"/>
    <n v="429.81"/>
    <n v="26.5"/>
    <s v="Default"/>
    <n v="101"/>
    <n v="1"/>
    <x v="3"/>
  </r>
  <r>
    <s v="LN-00111"/>
    <s v="BRW-0090"/>
    <d v="2024-06-03T00:00:00"/>
    <s v="Auto Loan"/>
    <n v="5100"/>
    <n v="24"/>
    <n v="11.3"/>
    <n v="238.41"/>
    <n v="32.200000000000003"/>
    <s v="Current"/>
    <n v="0"/>
    <n v="0"/>
    <x v="1"/>
  </r>
  <r>
    <s v="LN-00112"/>
    <s v="BRW-0091"/>
    <d v="2024-03-27T00:00:00"/>
    <s v="Business Loan"/>
    <n v="18700"/>
    <n v="12"/>
    <n v="7.86"/>
    <n v="1625.47"/>
    <n v="94.1"/>
    <s v="Paid Off"/>
    <n v="0"/>
    <n v="0"/>
    <x v="3"/>
  </r>
  <r>
    <s v="LN-00113"/>
    <s v="BRW-0092"/>
    <d v="2024-06-20T00:00:00"/>
    <s v="Major Purchase"/>
    <n v="13400"/>
    <n v="48"/>
    <n v="14.78"/>
    <n v="371.44"/>
    <n v="65.599999999999994"/>
    <s v="Default"/>
    <n v="118"/>
    <n v="1"/>
    <x v="0"/>
  </r>
  <r>
    <s v="LN-00114"/>
    <s v="BRW-0092"/>
    <d v="2025-04-20T00:00:00"/>
    <s v="Debt Consolidation"/>
    <n v="34300"/>
    <n v="12"/>
    <n v="11.41"/>
    <n v="3038.05"/>
    <n v="142.30000000000001"/>
    <s v="Default"/>
    <n v="107"/>
    <n v="1"/>
    <x v="0"/>
  </r>
  <r>
    <s v="LN-00115"/>
    <s v="BRW-0093"/>
    <d v="2024-05-28T00:00:00"/>
    <s v="Moving"/>
    <n v="34800"/>
    <n v="48"/>
    <n v="10.54"/>
    <n v="891.67"/>
    <n v="65.2"/>
    <s v="Current"/>
    <n v="0"/>
    <n v="0"/>
    <x v="1"/>
  </r>
  <r>
    <s v="LN-00116"/>
    <s v="BRW-0094"/>
    <d v="2025-06-28T00:00:00"/>
    <s v="Major Purchase"/>
    <n v="48200"/>
    <n v="12"/>
    <n v="11.12"/>
    <n v="4262.6899999999996"/>
    <n v="80.8"/>
    <s v="Late"/>
    <n v="30"/>
    <n v="0"/>
    <x v="1"/>
  </r>
  <r>
    <s v="LN-00117"/>
    <s v="BRW-0095"/>
    <d v="2025-02-04T00:00:00"/>
    <s v="Auto Loan"/>
    <n v="14100"/>
    <n v="12"/>
    <n v="12.06"/>
    <n v="1253.1600000000001"/>
    <n v="32.200000000000003"/>
    <s v="Current"/>
    <n v="0"/>
    <n v="0"/>
    <x v="0"/>
  </r>
  <r>
    <s v="LN-00118"/>
    <s v="BRW-0095"/>
    <d v="2024-01-11T00:00:00"/>
    <s v="Wedding"/>
    <n v="27000"/>
    <n v="24"/>
    <n v="12.35"/>
    <n v="1275.4000000000001"/>
    <n v="32.6"/>
    <s v="Current"/>
    <n v="0"/>
    <n v="0"/>
    <x v="0"/>
  </r>
  <r>
    <s v="LN-00119"/>
    <s v="BRW-0096"/>
    <d v="2024-02-04T00:00:00"/>
    <s v="Home Improvement"/>
    <n v="10300"/>
    <n v="36"/>
    <n v="11.29"/>
    <n v="338.63"/>
    <n v="61.8"/>
    <s v="Default"/>
    <n v="53"/>
    <n v="1"/>
    <x v="2"/>
  </r>
  <r>
    <s v="LN-00120"/>
    <s v="BRW-0097"/>
    <d v="2024-05-02T00:00:00"/>
    <s v="Wedding"/>
    <n v="42100"/>
    <n v="60"/>
    <n v="11.56"/>
    <n v="927.16"/>
    <n v="68.099999999999994"/>
    <s v="Default"/>
    <n v="63"/>
    <n v="1"/>
    <x v="0"/>
  </r>
  <r>
    <s v="LN-00121"/>
    <s v="BRW-0098"/>
    <d v="2024-09-16T00:00:00"/>
    <s v="Wedding"/>
    <n v="10900"/>
    <n v="12"/>
    <n v="9.31"/>
    <n v="954.79"/>
    <n v="72.8"/>
    <s v="Current"/>
    <n v="0"/>
    <n v="0"/>
    <x v="1"/>
  </r>
  <r>
    <s v="LN-00122"/>
    <s v="BRW-0099"/>
    <d v="2024-03-16T00:00:00"/>
    <s v="Auto Loan"/>
    <n v="35200"/>
    <n v="36"/>
    <n v="9.82"/>
    <n v="1132.83"/>
    <n v="42.6"/>
    <s v="Default"/>
    <n v="45"/>
    <n v="1"/>
    <x v="1"/>
  </r>
  <r>
    <s v="LN-00123"/>
    <s v="BRW-0100"/>
    <d v="2024-03-12T00:00:00"/>
    <s v="Education"/>
    <n v="14400"/>
    <n v="36"/>
    <n v="10.52"/>
    <n v="468.17"/>
    <n v="49.3"/>
    <s v="Late"/>
    <n v="15"/>
    <n v="0"/>
    <x v="1"/>
  </r>
  <r>
    <s v="LN-00124"/>
    <s v="BRW-0101"/>
    <d v="2024-04-18T00:00:00"/>
    <s v="Vacation"/>
    <n v="8000"/>
    <n v="48"/>
    <n v="6.93"/>
    <n v="191.31"/>
    <n v="52.7"/>
    <s v="Current"/>
    <n v="0"/>
    <n v="0"/>
    <x v="3"/>
  </r>
  <r>
    <s v="LN-00125"/>
    <s v="BRW-0102"/>
    <d v="2024-06-01T00:00:00"/>
    <s v="Wedding"/>
    <n v="39300"/>
    <n v="12"/>
    <n v="12.63"/>
    <n v="3503.35"/>
    <n v="88.9"/>
    <s v="Current"/>
    <n v="0"/>
    <n v="0"/>
    <x v="1"/>
  </r>
  <r>
    <s v="LN-00126"/>
    <s v="BRW-0103"/>
    <d v="2025-05-17T00:00:00"/>
    <s v="Medical Expenses"/>
    <n v="40800"/>
    <n v="60"/>
    <n v="9.25"/>
    <n v="851.9"/>
    <n v="65.900000000000006"/>
    <s v="Paid Off"/>
    <n v="0"/>
    <n v="0"/>
    <x v="1"/>
  </r>
  <r>
    <s v="LN-00127"/>
    <s v="BRW-0104"/>
    <d v="2025-01-02T00:00:00"/>
    <s v="Home Improvement"/>
    <n v="2200"/>
    <n v="48"/>
    <n v="6.79"/>
    <n v="52.47"/>
    <n v="50.9"/>
    <s v="Current"/>
    <n v="0"/>
    <n v="0"/>
    <x v="0"/>
  </r>
  <r>
    <s v="LN-00128"/>
    <s v="BRW-0104"/>
    <d v="2025-04-15T00:00:00"/>
    <s v="Home Improvement"/>
    <n v="43000"/>
    <n v="36"/>
    <n v="6.59"/>
    <n v="1319.67"/>
    <n v="66.8"/>
    <s v="Current"/>
    <n v="0"/>
    <n v="0"/>
    <x v="0"/>
  </r>
  <r>
    <s v="LN-00129"/>
    <s v="BRW-0105"/>
    <d v="2025-01-02T00:00:00"/>
    <s v="Major Purchase"/>
    <n v="16300"/>
    <n v="48"/>
    <n v="13.45"/>
    <n v="440.94"/>
    <n v="45.3"/>
    <s v="Late"/>
    <n v="15"/>
    <n v="0"/>
    <x v="1"/>
  </r>
  <r>
    <s v="LN-00130"/>
    <s v="BRW-0106"/>
    <d v="2025-02-02T00:00:00"/>
    <s v="Debt Consolidation"/>
    <n v="18500"/>
    <n v="60"/>
    <n v="7.03"/>
    <n v="366.58"/>
    <n v="32.6"/>
    <s v="Default"/>
    <n v="168"/>
    <n v="1"/>
    <x v="1"/>
  </r>
  <r>
    <s v="LN-00131"/>
    <s v="BRW-0107"/>
    <d v="2024-01-17T00:00:00"/>
    <s v="Vacation"/>
    <n v="38600"/>
    <n v="48"/>
    <n v="14.52"/>
    <n v="1064.9000000000001"/>
    <n v="49.5"/>
    <s v="Default"/>
    <n v="44"/>
    <n v="1"/>
    <x v="1"/>
  </r>
  <r>
    <s v="LN-00132"/>
    <s v="BRW-0108"/>
    <d v="2024-06-01T00:00:00"/>
    <s v="Debt Consolidation"/>
    <n v="12200"/>
    <n v="60"/>
    <n v="9.2799999999999994"/>
    <n v="254.91"/>
    <n v="32.4"/>
    <s v="Current"/>
    <n v="0"/>
    <n v="0"/>
    <x v="2"/>
  </r>
  <r>
    <s v="LN-00133"/>
    <s v="BRW-0109"/>
    <d v="2024-05-13T00:00:00"/>
    <s v="Vacation"/>
    <n v="17200"/>
    <n v="60"/>
    <n v="8.1"/>
    <n v="349.58"/>
    <n v="38"/>
    <s v="Default"/>
    <n v="42"/>
    <n v="1"/>
    <x v="4"/>
  </r>
  <r>
    <s v="LN-00134"/>
    <s v="BRW-0110"/>
    <d v="2024-04-18T00:00:00"/>
    <s v="Home Improvement"/>
    <n v="10200"/>
    <n v="60"/>
    <n v="9.09"/>
    <n v="212.18"/>
    <n v="13.5"/>
    <s v="Default"/>
    <n v="86"/>
    <n v="1"/>
    <x v="1"/>
  </r>
  <r>
    <s v="LN-00135"/>
    <s v="BRW-0110"/>
    <d v="2024-05-20T00:00:00"/>
    <s v="Home Improvement"/>
    <n v="22500"/>
    <n v="48"/>
    <n v="10.39"/>
    <n v="574.88"/>
    <n v="18.7"/>
    <s v="Late"/>
    <n v="30"/>
    <n v="0"/>
    <x v="1"/>
  </r>
  <r>
    <s v="LN-00136"/>
    <s v="BRW-0111"/>
    <d v="2024-06-21T00:00:00"/>
    <s v="Medical Expenses"/>
    <n v="6500"/>
    <n v="24"/>
    <n v="12.17"/>
    <n v="306.49"/>
    <n v="57.1"/>
    <s v="Current"/>
    <n v="0"/>
    <n v="0"/>
    <x v="3"/>
  </r>
  <r>
    <s v="LN-00137"/>
    <s v="BRW-0112"/>
    <d v="2024-06-10T00:00:00"/>
    <s v="Debt Consolidation"/>
    <n v="16200"/>
    <n v="60"/>
    <n v="12.73"/>
    <n v="366.36"/>
    <n v="59.5"/>
    <s v="Default"/>
    <n v="154"/>
    <n v="1"/>
    <x v="1"/>
  </r>
  <r>
    <s v="LN-00138"/>
    <s v="BRW-0112"/>
    <d v="2024-10-17T00:00:00"/>
    <s v="Home Improvement"/>
    <n v="4000"/>
    <n v="12"/>
    <n v="14.38"/>
    <n v="359.86"/>
    <n v="59.3"/>
    <s v="Default"/>
    <n v="151"/>
    <n v="1"/>
    <x v="1"/>
  </r>
  <r>
    <s v="LN-00139"/>
    <s v="BRW-0113"/>
    <d v="2024-06-27T00:00:00"/>
    <s v="Business Loan"/>
    <n v="14400"/>
    <n v="48"/>
    <n v="8.3800000000000008"/>
    <n v="354.12"/>
    <n v="29.9"/>
    <s v="Current"/>
    <n v="0"/>
    <n v="0"/>
    <x v="1"/>
  </r>
  <r>
    <s v="LN-00140"/>
    <s v="BRW-0114"/>
    <d v="2024-08-29T00:00:00"/>
    <s v="Home Improvement"/>
    <n v="39600"/>
    <n v="36"/>
    <n v="10.79"/>
    <n v="1292.52"/>
    <n v="73.400000000000006"/>
    <s v="Default"/>
    <n v="165"/>
    <n v="1"/>
    <x v="3"/>
  </r>
  <r>
    <s v="LN-00141"/>
    <s v="BRW-0115"/>
    <d v="2025-04-20T00:00:00"/>
    <s v="Wedding"/>
    <n v="23700"/>
    <n v="60"/>
    <n v="8.3699999999999992"/>
    <n v="484.76"/>
    <n v="25.1"/>
    <s v="Current"/>
    <n v="0"/>
    <n v="0"/>
    <x v="0"/>
  </r>
  <r>
    <s v="LN-00142"/>
    <s v="BRW-0115"/>
    <d v="2024-06-12T00:00:00"/>
    <s v="Business Loan"/>
    <n v="4400"/>
    <n v="48"/>
    <n v="8.32"/>
    <n v="108.08"/>
    <n v="14.2"/>
    <s v="Late"/>
    <n v="0"/>
    <n v="0"/>
    <x v="0"/>
  </r>
  <r>
    <s v="LN-00143"/>
    <s v="BRW-0116"/>
    <d v="2024-02-23T00:00:00"/>
    <s v="Major Purchase"/>
    <n v="17400"/>
    <n v="48"/>
    <n v="11.22"/>
    <n v="451.57"/>
    <n v="56.4"/>
    <s v="Paid Off"/>
    <n v="0"/>
    <n v="0"/>
    <x v="1"/>
  </r>
  <r>
    <s v="LN-00144"/>
    <s v="BRW-0117"/>
    <d v="2024-11-29T00:00:00"/>
    <s v="Home Improvement"/>
    <n v="4200"/>
    <n v="48"/>
    <n v="12.38"/>
    <n v="111.39"/>
    <n v="39.299999999999997"/>
    <s v="Paid Off"/>
    <n v="0"/>
    <n v="0"/>
    <x v="0"/>
  </r>
  <r>
    <s v="LN-00145"/>
    <s v="BRW-0118"/>
    <d v="2025-01-19T00:00:00"/>
    <s v="Home Improvement"/>
    <n v="6300"/>
    <n v="48"/>
    <n v="13.3"/>
    <n v="169.95"/>
    <n v="8.8000000000000007"/>
    <s v="Current"/>
    <n v="0"/>
    <n v="0"/>
    <x v="1"/>
  </r>
  <r>
    <s v="LN-00146"/>
    <s v="BRW-0119"/>
    <d v="2025-01-17T00:00:00"/>
    <s v="Major Purchase"/>
    <n v="25400"/>
    <n v="48"/>
    <n v="10.99"/>
    <n v="656.35"/>
    <n v="41.1"/>
    <s v="Default"/>
    <n v="79"/>
    <n v="1"/>
    <x v="1"/>
  </r>
  <r>
    <s v="LN-00147"/>
    <s v="BRW-0120"/>
    <d v="2024-05-19T00:00:00"/>
    <s v="Auto Loan"/>
    <n v="6800"/>
    <n v="60"/>
    <n v="6.15"/>
    <n v="131.94"/>
    <n v="33.200000000000003"/>
    <s v="Default"/>
    <n v="149"/>
    <n v="1"/>
    <x v="1"/>
  </r>
  <r>
    <s v="LN-00148"/>
    <s v="BRW-0121"/>
    <d v="2024-06-23T00:00:00"/>
    <s v="Medical Expenses"/>
    <n v="12600"/>
    <n v="36"/>
    <n v="10.52"/>
    <n v="409.65"/>
    <n v="31.9"/>
    <s v="Current"/>
    <n v="0"/>
    <n v="0"/>
    <x v="1"/>
  </r>
  <r>
    <s v="LN-00149"/>
    <s v="BRW-0122"/>
    <d v="2025-04-18T00:00:00"/>
    <s v="Moving"/>
    <n v="31100"/>
    <n v="60"/>
    <n v="8.3000000000000007"/>
    <n v="635.07000000000005"/>
    <n v="49.3"/>
    <s v="Paid Off"/>
    <n v="0"/>
    <n v="0"/>
    <x v="1"/>
  </r>
  <r>
    <s v="LN-00150"/>
    <s v="BRW-0123"/>
    <d v="2024-01-06T00:00:00"/>
    <s v="Education"/>
    <n v="10300"/>
    <n v="60"/>
    <n v="11.2"/>
    <n v="224.98"/>
    <n v="27.6"/>
    <s v="Paid Off"/>
    <n v="0"/>
    <n v="0"/>
    <x v="0"/>
  </r>
  <r>
    <s v="LN-00151"/>
    <s v="BRW-0124"/>
    <d v="2024-04-10T00:00:00"/>
    <s v="Moving"/>
    <n v="11900"/>
    <n v="48"/>
    <n v="12.47"/>
    <n v="316.13"/>
    <n v="35"/>
    <s v="Current"/>
    <n v="0"/>
    <n v="0"/>
    <x v="0"/>
  </r>
  <r>
    <s v="LN-00152"/>
    <s v="BRW-0125"/>
    <d v="2024-04-02T00:00:00"/>
    <s v="Major Purchase"/>
    <n v="8400"/>
    <n v="36"/>
    <n v="9.11"/>
    <n v="267.55"/>
    <n v="38.200000000000003"/>
    <s v="Default"/>
    <n v="108"/>
    <n v="1"/>
    <x v="1"/>
  </r>
  <r>
    <s v="LN-00153"/>
    <s v="BRW-0126"/>
    <d v="2025-04-19T00:00:00"/>
    <s v="Vacation"/>
    <n v="37900"/>
    <n v="12"/>
    <n v="12.45"/>
    <n v="3375.35"/>
    <n v="98.6"/>
    <s v="Late"/>
    <n v="15"/>
    <n v="0"/>
    <x v="1"/>
  </r>
  <r>
    <s v="LN-00154"/>
    <s v="BRW-0127"/>
    <d v="2024-03-13T00:00:00"/>
    <s v="Education"/>
    <n v="30000"/>
    <n v="12"/>
    <n v="14.64"/>
    <n v="2702.66"/>
    <n v="100.5"/>
    <s v="Default"/>
    <n v="115"/>
    <n v="1"/>
    <x v="0"/>
  </r>
  <r>
    <s v="LN-00155"/>
    <s v="BRW-0128"/>
    <d v="2024-07-31T00:00:00"/>
    <s v="Auto Loan"/>
    <n v="14900"/>
    <n v="60"/>
    <n v="8.5500000000000007"/>
    <n v="306.06"/>
    <n v="21"/>
    <s v="Paid Off"/>
    <n v="0"/>
    <n v="0"/>
    <x v="2"/>
  </r>
  <r>
    <s v="LN-00156"/>
    <s v="BRW-0129"/>
    <d v="2024-04-23T00:00:00"/>
    <s v="Debt Consolidation"/>
    <n v="45700"/>
    <n v="36"/>
    <n v="12.54"/>
    <n v="1529.71"/>
    <n v="50.5"/>
    <s v="Current"/>
    <n v="0"/>
    <n v="0"/>
    <x v="0"/>
  </r>
  <r>
    <s v="LN-00157"/>
    <s v="BRW-0130"/>
    <d v="2024-12-08T00:00:00"/>
    <s v="Moving"/>
    <n v="25000"/>
    <n v="24"/>
    <n v="7.43"/>
    <n v="1124.19"/>
    <n v="59.5"/>
    <s v="Current"/>
    <n v="0"/>
    <n v="0"/>
    <x v="4"/>
  </r>
  <r>
    <s v="LN-00158"/>
    <s v="BRW-0131"/>
    <d v="2024-09-30T00:00:00"/>
    <s v="Wedding"/>
    <n v="32900"/>
    <n v="24"/>
    <n v="12.42"/>
    <n v="1555.18"/>
    <n v="63.7"/>
    <s v="Current"/>
    <n v="0"/>
    <n v="0"/>
    <x v="4"/>
  </r>
  <r>
    <s v="LN-00159"/>
    <s v="BRW-0131"/>
    <d v="2025-04-26T00:00:00"/>
    <s v="Education"/>
    <n v="12900"/>
    <n v="60"/>
    <n v="14.96"/>
    <n v="306.62"/>
    <n v="19.8"/>
    <s v="Current"/>
    <n v="0"/>
    <n v="0"/>
    <x v="4"/>
  </r>
  <r>
    <s v="LN-00160"/>
    <s v="BRW-0132"/>
    <d v="2025-04-13T00:00:00"/>
    <s v="Wedding"/>
    <n v="34300"/>
    <n v="12"/>
    <n v="9.7100000000000009"/>
    <n v="3010.89"/>
    <n v="63"/>
    <s v="Default"/>
    <n v="130"/>
    <n v="1"/>
    <x v="1"/>
  </r>
  <r>
    <s v="LN-00161"/>
    <s v="BRW-0133"/>
    <d v="2024-05-31T00:00:00"/>
    <s v="Auto Loan"/>
    <n v="5700"/>
    <n v="24"/>
    <n v="12"/>
    <n v="268.32"/>
    <n v="19.100000000000001"/>
    <s v="Late"/>
    <n v="15"/>
    <n v="0"/>
    <x v="1"/>
  </r>
  <r>
    <s v="LN-00162"/>
    <s v="BRW-0133"/>
    <d v="2025-04-30T00:00:00"/>
    <s v="Debt Consolidation"/>
    <n v="48500"/>
    <n v="60"/>
    <n v="15.28"/>
    <n v="1160.95"/>
    <n v="32"/>
    <s v="Late"/>
    <n v="0"/>
    <n v="0"/>
    <x v="1"/>
  </r>
  <r>
    <s v="LN-00163"/>
    <s v="BRW-0134"/>
    <d v="2025-02-25T00:00:00"/>
    <s v="Home Improvement"/>
    <n v="21200"/>
    <n v="60"/>
    <n v="13.29"/>
    <n v="485.52"/>
    <n v="31.3"/>
    <s v="Paid Off"/>
    <n v="0"/>
    <n v="0"/>
    <x v="0"/>
  </r>
  <r>
    <s v="LN-00164"/>
    <s v="BRW-0135"/>
    <d v="2024-11-09T00:00:00"/>
    <s v="Moving"/>
    <n v="20400"/>
    <n v="36"/>
    <n v="11.07"/>
    <n v="668.55"/>
    <n v="30.1"/>
    <s v="Current"/>
    <n v="0"/>
    <n v="0"/>
    <x v="3"/>
  </r>
  <r>
    <s v="LN-00165"/>
    <s v="BRW-0136"/>
    <d v="2024-06-13T00:00:00"/>
    <s v="Debt Consolidation"/>
    <n v="9200"/>
    <n v="24"/>
    <n v="8.93"/>
    <n v="420"/>
    <n v="30.1"/>
    <s v="Paid Off"/>
    <n v="0"/>
    <n v="0"/>
    <x v="3"/>
  </r>
  <r>
    <s v="LN-00166"/>
    <s v="BRW-0136"/>
    <d v="2025-03-27T00:00:00"/>
    <s v="Medical Expenses"/>
    <n v="5100"/>
    <n v="36"/>
    <n v="8.7100000000000009"/>
    <n v="161.49"/>
    <n v="24.6"/>
    <s v="Current"/>
    <n v="0"/>
    <n v="0"/>
    <x v="3"/>
  </r>
  <r>
    <s v="LN-00167"/>
    <s v="BRW-0137"/>
    <d v="2024-06-15T00:00:00"/>
    <s v="Education"/>
    <n v="9100"/>
    <n v="48"/>
    <n v="10.07"/>
    <n v="231.11"/>
    <n v="13.3"/>
    <s v="Current"/>
    <n v="0"/>
    <n v="0"/>
    <x v="0"/>
  </r>
  <r>
    <s v="LN-00168"/>
    <s v="BRW-0138"/>
    <d v="2025-06-03T00:00:00"/>
    <s v="Medical Expenses"/>
    <n v="46500"/>
    <n v="24"/>
    <n v="10.199999999999999"/>
    <n v="2150.0300000000002"/>
    <n v="71.5"/>
    <s v="Default"/>
    <n v="105"/>
    <n v="1"/>
    <x v="1"/>
  </r>
  <r>
    <s v="LN-00169"/>
    <s v="BRW-0138"/>
    <d v="2025-03-28T00:00:00"/>
    <s v="Vacation"/>
    <n v="48500"/>
    <n v="60"/>
    <n v="13.52"/>
    <n v="1116.48"/>
    <n v="61.3"/>
    <s v="Default"/>
    <n v="58"/>
    <n v="1"/>
    <x v="1"/>
  </r>
  <r>
    <s v="LN-00170"/>
    <s v="BRW-0139"/>
    <d v="2024-08-13T00:00:00"/>
    <s v="Debt Consolidation"/>
    <n v="13500"/>
    <n v="36"/>
    <n v="10.039999999999999"/>
    <n v="435.86"/>
    <n v="45.8"/>
    <s v="Current"/>
    <n v="0"/>
    <n v="0"/>
    <x v="4"/>
  </r>
  <r>
    <s v="LN-00171"/>
    <s v="BRW-0140"/>
    <d v="2024-03-26T00:00:00"/>
    <s v="Wedding"/>
    <n v="19900"/>
    <n v="36"/>
    <n v="8.2799999999999994"/>
    <n v="626.16999999999996"/>
    <n v="64.900000000000006"/>
    <s v="Late"/>
    <n v="0"/>
    <n v="0"/>
    <x v="4"/>
  </r>
  <r>
    <s v="LN-00172"/>
    <s v="BRW-0141"/>
    <d v="2024-02-27T00:00:00"/>
    <s v="Moving"/>
    <n v="11000"/>
    <n v="60"/>
    <n v="10.53"/>
    <n v="236.6"/>
    <n v="29.5"/>
    <s v="Current"/>
    <n v="0"/>
    <n v="0"/>
    <x v="4"/>
  </r>
  <r>
    <s v="LN-00173"/>
    <s v="BRW-0142"/>
    <d v="2025-04-01T00:00:00"/>
    <s v="Education"/>
    <n v="2600"/>
    <n v="36"/>
    <n v="12.52"/>
    <n v="87"/>
    <n v="49.7"/>
    <s v="Paid Off"/>
    <n v="0"/>
    <n v="0"/>
    <x v="1"/>
  </r>
  <r>
    <s v="LN-00174"/>
    <s v="BRW-0142"/>
    <d v="2025-03-10T00:00:00"/>
    <s v="Vacation"/>
    <n v="21900"/>
    <n v="48"/>
    <n v="12.21"/>
    <n v="578.97"/>
    <n v="58.1"/>
    <s v="Paid Off"/>
    <n v="0"/>
    <n v="0"/>
    <x v="1"/>
  </r>
  <r>
    <s v="LN-00175"/>
    <s v="BRW-0143"/>
    <d v="2024-03-08T00:00:00"/>
    <s v="Medical Expenses"/>
    <n v="19300"/>
    <n v="60"/>
    <n v="11.3"/>
    <n v="422.52"/>
    <n v="21.6"/>
    <s v="Current"/>
    <n v="0"/>
    <n v="0"/>
    <x v="1"/>
  </r>
  <r>
    <s v="LN-00176"/>
    <s v="BRW-0144"/>
    <d v="2024-05-20T00:00:00"/>
    <s v="Auto Loan"/>
    <n v="20600"/>
    <n v="60"/>
    <n v="14.08"/>
    <n v="480.18"/>
    <n v="26.5"/>
    <s v="Default"/>
    <n v="127"/>
    <n v="1"/>
    <x v="1"/>
  </r>
  <r>
    <s v="LN-00177"/>
    <s v="BRW-0145"/>
    <d v="2025-04-19T00:00:00"/>
    <s v="Vacation"/>
    <n v="17700"/>
    <n v="60"/>
    <n v="7.49"/>
    <n v="354.59"/>
    <n v="32.6"/>
    <s v="Current"/>
    <n v="0"/>
    <n v="0"/>
    <x v="4"/>
  </r>
  <r>
    <s v="LN-00178"/>
    <s v="BRW-0146"/>
    <d v="2025-05-18T00:00:00"/>
    <s v="Vacation"/>
    <n v="24800"/>
    <n v="36"/>
    <n v="10.24"/>
    <n v="803.02"/>
    <n v="31.1"/>
    <s v="Current"/>
    <n v="0"/>
    <n v="0"/>
    <x v="1"/>
  </r>
  <r>
    <s v="LN-00179"/>
    <s v="BRW-0147"/>
    <d v="2025-03-22T00:00:00"/>
    <s v="Vacation"/>
    <n v="5200"/>
    <n v="36"/>
    <n v="12.72"/>
    <n v="174.51"/>
    <n v="25.8"/>
    <s v="Current"/>
    <n v="0"/>
    <n v="0"/>
    <x v="4"/>
  </r>
  <r>
    <s v="LN-00180"/>
    <s v="BRW-0148"/>
    <d v="2024-06-15T00:00:00"/>
    <s v="Home Improvement"/>
    <n v="37200"/>
    <n v="12"/>
    <n v="14.59"/>
    <n v="3350.42"/>
    <n v="96.8"/>
    <s v="Current"/>
    <n v="0"/>
    <n v="0"/>
    <x v="1"/>
  </r>
  <r>
    <s v="LN-00181"/>
    <s v="BRW-0149"/>
    <d v="2024-12-30T00:00:00"/>
    <s v="Education"/>
    <n v="12800"/>
    <n v="48"/>
    <n v="9.6999999999999993"/>
    <n v="322.8"/>
    <n v="10.5"/>
    <s v="Default"/>
    <n v="104"/>
    <n v="1"/>
    <x v="4"/>
  </r>
  <r>
    <s v="LN-00182"/>
    <s v="BRW-0150"/>
    <d v="2024-06-20T00:00:00"/>
    <s v="Home Improvement"/>
    <n v="38800"/>
    <n v="24"/>
    <n v="10.86"/>
    <n v="1805.86"/>
    <n v="58.6"/>
    <s v="Late"/>
    <n v="15"/>
    <n v="0"/>
    <x v="1"/>
  </r>
  <r>
    <s v="LN-00183"/>
    <s v="BRW-0151"/>
    <d v="2024-12-26T00:00:00"/>
    <s v="Auto Loan"/>
    <n v="35500"/>
    <n v="36"/>
    <n v="7"/>
    <n v="1096.1400000000001"/>
    <n v="26.5"/>
    <s v="Current"/>
    <n v="0"/>
    <n v="0"/>
    <x v="1"/>
  </r>
  <r>
    <s v="LN-00184"/>
    <s v="BRW-0152"/>
    <d v="2024-06-07T00:00:00"/>
    <s v="Vacation"/>
    <n v="34400"/>
    <n v="24"/>
    <n v="6.36"/>
    <n v="1530.22"/>
    <n v="64.8"/>
    <s v="Paid Off"/>
    <n v="0"/>
    <n v="0"/>
    <x v="1"/>
  </r>
  <r>
    <s v="LN-00185"/>
    <s v="BRW-0153"/>
    <d v="2024-03-19T00:00:00"/>
    <s v="Moving"/>
    <n v="36200"/>
    <n v="12"/>
    <n v="9.35"/>
    <n v="3171.62"/>
    <n v="103.5"/>
    <s v="Default"/>
    <n v="63"/>
    <n v="1"/>
    <x v="4"/>
  </r>
  <r>
    <s v="LN-00186"/>
    <s v="BRW-0154"/>
    <d v="2025-06-19T00:00:00"/>
    <s v="Vacation"/>
    <n v="31400"/>
    <n v="24"/>
    <n v="11.24"/>
    <n v="1466.99"/>
    <n v="54.3"/>
    <s v="Paid Off"/>
    <n v="0"/>
    <n v="0"/>
    <x v="4"/>
  </r>
  <r>
    <s v="LN-00187"/>
    <s v="BRW-0154"/>
    <d v="2024-05-25T00:00:00"/>
    <s v="Debt Consolidation"/>
    <n v="7700"/>
    <n v="24"/>
    <n v="11.43"/>
    <n v="360.42"/>
    <n v="32.9"/>
    <s v="Current"/>
    <n v="0"/>
    <n v="0"/>
    <x v="4"/>
  </r>
  <r>
    <s v="LN-00188"/>
    <s v="BRW-0155"/>
    <d v="2025-05-10T00:00:00"/>
    <s v="Major Purchase"/>
    <n v="39600"/>
    <n v="12"/>
    <n v="9.0399999999999991"/>
    <n v="3463.81"/>
    <n v="114.2"/>
    <s v="Current"/>
    <n v="0"/>
    <n v="0"/>
    <x v="2"/>
  </r>
  <r>
    <s v="LN-00189"/>
    <s v="BRW-0155"/>
    <d v="2024-11-04T00:00:00"/>
    <s v="Moving"/>
    <n v="24500"/>
    <n v="36"/>
    <n v="9.17"/>
    <n v="781.03"/>
    <n v="65.8"/>
    <s v="Paid Off"/>
    <n v="0"/>
    <n v="0"/>
    <x v="2"/>
  </r>
  <r>
    <s v="LN-00190"/>
    <s v="BRW-0156"/>
    <d v="2024-05-29T00:00:00"/>
    <s v="Business Loan"/>
    <n v="11600"/>
    <n v="36"/>
    <n v="9.86"/>
    <n v="373.54"/>
    <n v="32.5"/>
    <s v="Late"/>
    <n v="15"/>
    <n v="0"/>
    <x v="2"/>
  </r>
  <r>
    <s v="LN-00191"/>
    <s v="BRW-0156"/>
    <d v="2024-03-10T00:00:00"/>
    <s v="Education"/>
    <n v="43000"/>
    <n v="60"/>
    <n v="10.93"/>
    <n v="933.42"/>
    <n v="41"/>
    <s v="Default"/>
    <n v="178"/>
    <n v="1"/>
    <x v="2"/>
  </r>
  <r>
    <s v="LN-00192"/>
    <s v="BRW-0157"/>
    <d v="2024-01-05T00:00:00"/>
    <s v="Moving"/>
    <n v="11200"/>
    <n v="36"/>
    <n v="8.16"/>
    <n v="351.79"/>
    <n v="57.9"/>
    <s v="Current"/>
    <n v="0"/>
    <n v="0"/>
    <x v="2"/>
  </r>
  <r>
    <s v="LN-00193"/>
    <s v="BRW-0158"/>
    <d v="2024-04-19T00:00:00"/>
    <s v="Vacation"/>
    <n v="15600"/>
    <n v="48"/>
    <n v="11.77"/>
    <n v="409.05"/>
    <n v="60.9"/>
    <s v="Default"/>
    <n v="120"/>
    <n v="1"/>
    <x v="1"/>
  </r>
  <r>
    <s v="LN-00194"/>
    <s v="BRW-0159"/>
    <d v="2024-11-17T00:00:00"/>
    <s v="Major Purchase"/>
    <n v="12900"/>
    <n v="12"/>
    <n v="9.64"/>
    <n v="1131.96"/>
    <n v="61.1"/>
    <s v="Default"/>
    <n v="58"/>
    <n v="1"/>
    <x v="0"/>
  </r>
  <r>
    <s v="LN-00195"/>
    <s v="BRW-0159"/>
    <d v="2024-02-11T00:00:00"/>
    <s v="Moving"/>
    <n v="34000"/>
    <n v="36"/>
    <n v="8.6199999999999992"/>
    <n v="1075.19"/>
    <n v="60.4"/>
    <s v="Default"/>
    <n v="156"/>
    <n v="1"/>
    <x v="0"/>
  </r>
  <r>
    <s v="LN-00196"/>
    <s v="BRW-0160"/>
    <d v="2025-02-21T00:00:00"/>
    <s v="Auto Loan"/>
    <n v="31800"/>
    <n v="48"/>
    <n v="9.85"/>
    <n v="804.24"/>
    <n v="56.2"/>
    <s v="Default"/>
    <n v="139"/>
    <n v="1"/>
    <x v="3"/>
  </r>
  <r>
    <s v="LN-00197"/>
    <s v="BRW-0161"/>
    <d v="2025-05-18T00:00:00"/>
    <s v="Home Improvement"/>
    <n v="40500"/>
    <n v="36"/>
    <n v="6.81"/>
    <n v="1247.01"/>
    <n v="56.1"/>
    <s v="Current"/>
    <n v="0"/>
    <n v="0"/>
    <x v="1"/>
  </r>
  <r>
    <s v="LN-00198"/>
    <s v="BRW-0162"/>
    <d v="2024-06-21T00:00:00"/>
    <s v="Home Improvement"/>
    <n v="7000"/>
    <n v="60"/>
    <n v="12.59"/>
    <n v="157.81"/>
    <n v="29.2"/>
    <s v="Default"/>
    <n v="80"/>
    <n v="1"/>
    <x v="3"/>
  </r>
  <r>
    <s v="LN-00199"/>
    <s v="BRW-0163"/>
    <d v="2025-05-26T00:00:00"/>
    <s v="Wedding"/>
    <n v="21400"/>
    <n v="24"/>
    <n v="15.11"/>
    <n v="1038.73"/>
    <n v="71.099999999999994"/>
    <s v="Default"/>
    <n v="178"/>
    <n v="1"/>
    <x v="0"/>
  </r>
  <r>
    <s v="LN-00200"/>
    <s v="BRW-0164"/>
    <d v="2025-06-07T00:00:00"/>
    <s v="Major Purchase"/>
    <n v="30000"/>
    <n v="48"/>
    <n v="13.97"/>
    <n v="819.34"/>
    <n v="27.9"/>
    <s v="Current"/>
    <n v="0"/>
    <n v="0"/>
    <x v="1"/>
  </r>
  <r>
    <s v="LN-00201"/>
    <s v="BRW-0165"/>
    <d v="2024-02-24T00:00:00"/>
    <s v="Vacation"/>
    <n v="28300"/>
    <n v="12"/>
    <n v="7.71"/>
    <n v="2457.98"/>
    <n v="65.099999999999994"/>
    <s v="Current"/>
    <n v="0"/>
    <n v="0"/>
    <x v="2"/>
  </r>
  <r>
    <s v="LN-00202"/>
    <s v="BRW-0166"/>
    <d v="2024-03-19T00:00:00"/>
    <s v="Wedding"/>
    <n v="9300"/>
    <n v="60"/>
    <n v="13.93"/>
    <n v="216.06"/>
    <n v="50.9"/>
    <s v="Current"/>
    <n v="0"/>
    <n v="0"/>
    <x v="1"/>
  </r>
  <r>
    <s v="LN-00203"/>
    <s v="BRW-0167"/>
    <d v="2024-01-19T00:00:00"/>
    <s v="Auto Loan"/>
    <n v="21500"/>
    <n v="36"/>
    <n v="10.93"/>
    <n v="703.17"/>
    <n v="67"/>
    <s v="Current"/>
    <n v="0"/>
    <n v="0"/>
    <x v="0"/>
  </r>
  <r>
    <s v="LN-00204"/>
    <s v="BRW-0168"/>
    <d v="2024-02-03T00:00:00"/>
    <s v="Major Purchase"/>
    <n v="42900"/>
    <n v="48"/>
    <n v="9.85"/>
    <n v="1084.97"/>
    <n v="33.299999999999997"/>
    <s v="Paid Off"/>
    <n v="0"/>
    <n v="0"/>
    <x v="0"/>
  </r>
  <r>
    <s v="LN-00205"/>
    <s v="BRW-0168"/>
    <d v="2024-04-22T00:00:00"/>
    <s v="Medical Expenses"/>
    <n v="8500"/>
    <n v="48"/>
    <n v="9.99"/>
    <n v="215.54"/>
    <n v="25.3"/>
    <s v="Current"/>
    <n v="0"/>
    <n v="0"/>
    <x v="0"/>
  </r>
  <r>
    <s v="LN-00206"/>
    <s v="BRW-0169"/>
    <d v="2024-09-26T00:00:00"/>
    <s v="Vacation"/>
    <n v="36800"/>
    <n v="60"/>
    <n v="7.78"/>
    <n v="742.3"/>
    <n v="39.5"/>
    <s v="Late"/>
    <n v="30"/>
    <n v="0"/>
    <x v="1"/>
  </r>
  <r>
    <s v="LN-00207"/>
    <s v="BRW-0170"/>
    <d v="2025-01-10T00:00:00"/>
    <s v="Auto Loan"/>
    <n v="2500"/>
    <n v="12"/>
    <n v="8.11"/>
    <n v="217.6"/>
    <n v="32.299999999999997"/>
    <s v="Current"/>
    <n v="0"/>
    <n v="0"/>
    <x v="3"/>
  </r>
  <r>
    <s v="LN-00208"/>
    <s v="BRW-0171"/>
    <d v="2024-02-27T00:00:00"/>
    <s v="Education"/>
    <n v="15400"/>
    <n v="36"/>
    <n v="12.59"/>
    <n v="515.85"/>
    <n v="56.6"/>
    <s v="Late"/>
    <n v="0"/>
    <n v="0"/>
    <x v="4"/>
  </r>
  <r>
    <s v="LN-00209"/>
    <s v="BRW-0171"/>
    <d v="2024-06-22T00:00:00"/>
    <s v="Wedding"/>
    <n v="12800"/>
    <n v="36"/>
    <n v="11.11"/>
    <n v="419.72"/>
    <n v="54"/>
    <s v="Default"/>
    <n v="113"/>
    <n v="1"/>
    <x v="4"/>
  </r>
  <r>
    <s v="LN-00210"/>
    <s v="BRW-0172"/>
    <d v="2025-04-25T00:00:00"/>
    <s v="Major Purchase"/>
    <n v="45300"/>
    <n v="36"/>
    <n v="7.2"/>
    <n v="1402.88"/>
    <n v="36.299999999999997"/>
    <s v="Late"/>
    <n v="30"/>
    <n v="0"/>
    <x v="1"/>
  </r>
  <r>
    <s v="LN-00211"/>
    <s v="BRW-0173"/>
    <d v="2025-05-29T00:00:00"/>
    <s v="Wedding"/>
    <n v="14800"/>
    <n v="24"/>
    <n v="8.93"/>
    <n v="675.66"/>
    <n v="23.8"/>
    <s v="Current"/>
    <n v="0"/>
    <n v="0"/>
    <x v="1"/>
  </r>
  <r>
    <s v="LN-00212"/>
    <s v="BRW-0174"/>
    <d v="2024-08-07T00:00:00"/>
    <s v="Major Purchase"/>
    <n v="11400"/>
    <n v="12"/>
    <n v="14.49"/>
    <n v="1026.2"/>
    <n v="90.3"/>
    <s v="Default"/>
    <n v="42"/>
    <n v="1"/>
    <x v="3"/>
  </r>
  <r>
    <s v="LN-00213"/>
    <s v="BRW-0175"/>
    <d v="2024-04-07T00:00:00"/>
    <s v="Wedding"/>
    <n v="10400"/>
    <n v="12"/>
    <n v="9.5399999999999991"/>
    <n v="912.1"/>
    <n v="33.700000000000003"/>
    <s v="Current"/>
    <n v="0"/>
    <n v="0"/>
    <x v="1"/>
  </r>
  <r>
    <s v="LN-00214"/>
    <s v="BRW-0176"/>
    <d v="2024-11-03T00:00:00"/>
    <s v="Major Purchase"/>
    <n v="30700"/>
    <n v="36"/>
    <n v="12.87"/>
    <n v="1032.48"/>
    <n v="56.3"/>
    <s v="Default"/>
    <n v="168"/>
    <n v="1"/>
    <x v="2"/>
  </r>
  <r>
    <s v="LN-00215"/>
    <s v="BRW-0177"/>
    <d v="2024-07-03T00:00:00"/>
    <s v="Major Purchase"/>
    <n v="27100"/>
    <n v="48"/>
    <n v="13.19"/>
    <n v="729.58"/>
    <n v="70.5"/>
    <s v="Current"/>
    <n v="0"/>
    <n v="0"/>
    <x v="1"/>
  </r>
  <r>
    <s v="LN-00216"/>
    <s v="BRW-0178"/>
    <d v="2025-06-29T00:00:00"/>
    <s v="Vacation"/>
    <n v="24700"/>
    <n v="48"/>
    <n v="7.62"/>
    <n v="598.6"/>
    <n v="64.8"/>
    <s v="Late"/>
    <n v="15"/>
    <n v="0"/>
    <x v="1"/>
  </r>
  <r>
    <s v="LN-00217"/>
    <s v="BRW-0179"/>
    <d v="2024-11-03T00:00:00"/>
    <s v="Debt Consolidation"/>
    <n v="14000"/>
    <n v="24"/>
    <n v="7.97"/>
    <n v="632.99"/>
    <n v="31.5"/>
    <s v="Paid Off"/>
    <n v="0"/>
    <n v="0"/>
    <x v="4"/>
  </r>
  <r>
    <s v="LN-00218"/>
    <s v="BRW-0179"/>
    <d v="2024-06-13T00:00:00"/>
    <s v="Home Improvement"/>
    <n v="34000"/>
    <n v="36"/>
    <n v="10.89"/>
    <n v="1111.3499999999999"/>
    <n v="46.7"/>
    <s v="Current"/>
    <n v="0"/>
    <n v="0"/>
    <x v="4"/>
  </r>
  <r>
    <s v="LN-00219"/>
    <s v="BRW-0180"/>
    <d v="2025-03-22T00:00:00"/>
    <s v="Business Loan"/>
    <n v="22700"/>
    <n v="36"/>
    <n v="10.39"/>
    <n v="736.63"/>
    <n v="44.9"/>
    <s v="Late"/>
    <n v="15"/>
    <n v="0"/>
    <x v="1"/>
  </r>
  <r>
    <s v="LN-00220"/>
    <s v="BRW-0181"/>
    <d v="2024-02-13T00:00:00"/>
    <s v="Debt Consolidation"/>
    <n v="22000"/>
    <n v="60"/>
    <n v="11"/>
    <n v="478.33"/>
    <n v="64.7"/>
    <s v="Current"/>
    <n v="0"/>
    <n v="0"/>
    <x v="2"/>
  </r>
  <r>
    <s v="LN-00221"/>
    <s v="BRW-0182"/>
    <d v="2025-02-20T00:00:00"/>
    <s v="Home Improvement"/>
    <n v="10000"/>
    <n v="12"/>
    <n v="15"/>
    <n v="902.58"/>
    <n v="61.8"/>
    <s v="Paid Off"/>
    <n v="0"/>
    <n v="0"/>
    <x v="4"/>
  </r>
  <r>
    <s v="LN-00222"/>
    <s v="BRW-0182"/>
    <d v="2025-05-27T00:00:00"/>
    <s v="Major Purchase"/>
    <n v="36800"/>
    <n v="24"/>
    <n v="11.68"/>
    <n v="1726.81"/>
    <n v="85.1"/>
    <s v="Paid Off"/>
    <n v="0"/>
    <n v="0"/>
    <x v="4"/>
  </r>
  <r>
    <s v="LN-00223"/>
    <s v="BRW-0183"/>
    <d v="2024-11-16T00:00:00"/>
    <s v="Moving"/>
    <n v="27600"/>
    <n v="24"/>
    <n v="9.2200000000000006"/>
    <n v="1263.69"/>
    <n v="64.8"/>
    <s v="Current"/>
    <n v="0"/>
    <n v="0"/>
    <x v="1"/>
  </r>
  <r>
    <s v="LN-00224"/>
    <s v="BRW-0183"/>
    <d v="2024-10-08T00:00:00"/>
    <s v="Business Loan"/>
    <n v="12500"/>
    <n v="12"/>
    <n v="7.09"/>
    <n v="1082.0999999999999"/>
    <n v="60.5"/>
    <s v="Current"/>
    <n v="0"/>
    <n v="0"/>
    <x v="1"/>
  </r>
  <r>
    <s v="LN-00225"/>
    <s v="BRW-0184"/>
    <d v="2024-09-09T00:00:00"/>
    <s v="Education"/>
    <n v="5000"/>
    <n v="60"/>
    <n v="7.95"/>
    <n v="101.26"/>
    <n v="40.700000000000003"/>
    <s v="Late"/>
    <n v="15"/>
    <n v="0"/>
    <x v="2"/>
  </r>
  <r>
    <s v="LN-00226"/>
    <s v="BRW-0185"/>
    <d v="2024-02-25T00:00:00"/>
    <s v="Education"/>
    <n v="2800"/>
    <n v="60"/>
    <n v="8.86"/>
    <n v="57.93"/>
    <n v="22"/>
    <s v="Current"/>
    <n v="0"/>
    <n v="0"/>
    <x v="3"/>
  </r>
  <r>
    <s v="LN-00227"/>
    <s v="BRW-0186"/>
    <d v="2024-08-30T00:00:00"/>
    <s v="Auto Loan"/>
    <n v="35600"/>
    <n v="12"/>
    <n v="9.81"/>
    <n v="3126.66"/>
    <n v="96.8"/>
    <s v="Paid Off"/>
    <n v="0"/>
    <n v="0"/>
    <x v="1"/>
  </r>
  <r>
    <s v="LN-00228"/>
    <s v="BRW-0187"/>
    <d v="2024-06-13T00:00:00"/>
    <s v="Auto Loan"/>
    <n v="46900"/>
    <n v="24"/>
    <n v="9.25"/>
    <n v="2148"/>
    <n v="34.9"/>
    <s v="Paid Off"/>
    <n v="0"/>
    <n v="0"/>
    <x v="1"/>
  </r>
  <r>
    <s v="LN-00229"/>
    <s v="BRW-0188"/>
    <d v="2025-05-18T00:00:00"/>
    <s v="Major Purchase"/>
    <n v="15200"/>
    <n v="12"/>
    <n v="12.02"/>
    <n v="1350.64"/>
    <n v="88"/>
    <s v="Paid Off"/>
    <n v="0"/>
    <n v="0"/>
    <x v="1"/>
  </r>
  <r>
    <s v="LN-00230"/>
    <s v="BRW-0189"/>
    <d v="2025-03-06T00:00:00"/>
    <s v="Home Improvement"/>
    <n v="35500"/>
    <n v="60"/>
    <n v="10.07"/>
    <n v="755.49"/>
    <n v="33.200000000000003"/>
    <s v="Paid Off"/>
    <n v="0"/>
    <n v="0"/>
    <x v="0"/>
  </r>
  <r>
    <s v="LN-00231"/>
    <s v="BRW-0190"/>
    <d v="2024-05-19T00:00:00"/>
    <s v="Debt Consolidation"/>
    <n v="30700"/>
    <n v="24"/>
    <n v="12.35"/>
    <n v="1450.18"/>
    <n v="74.900000000000006"/>
    <s v="Default"/>
    <n v="81"/>
    <n v="1"/>
    <x v="1"/>
  </r>
  <r>
    <s v="LN-00232"/>
    <s v="BRW-0191"/>
    <d v="2024-05-13T00:00:00"/>
    <s v="Education"/>
    <n v="6300"/>
    <n v="24"/>
    <n v="12.83"/>
    <n v="299.01"/>
    <n v="51.9"/>
    <s v="Paid Off"/>
    <n v="0"/>
    <n v="0"/>
    <x v="1"/>
  </r>
  <r>
    <s v="LN-00233"/>
    <s v="BRW-0192"/>
    <d v="2024-12-01T00:00:00"/>
    <s v="Vacation"/>
    <n v="8400"/>
    <n v="24"/>
    <n v="11.52"/>
    <n v="393.54"/>
    <n v="54.4"/>
    <s v="Current"/>
    <n v="0"/>
    <n v="0"/>
    <x v="1"/>
  </r>
  <r>
    <s v="LN-00234"/>
    <s v="BRW-0193"/>
    <d v="2024-01-24T00:00:00"/>
    <s v="Major Purchase"/>
    <n v="44400"/>
    <n v="24"/>
    <n v="10.19"/>
    <n v="2052.73"/>
    <n v="74.7"/>
    <s v="Late"/>
    <n v="0"/>
    <n v="0"/>
    <x v="3"/>
  </r>
  <r>
    <s v="LN-00235"/>
    <s v="BRW-0194"/>
    <d v="2025-03-15T00:00:00"/>
    <s v="Vacation"/>
    <n v="35700"/>
    <n v="24"/>
    <n v="6.98"/>
    <n v="1598.06"/>
    <n v="64.7"/>
    <s v="Paid Off"/>
    <n v="0"/>
    <n v="0"/>
    <x v="1"/>
  </r>
  <r>
    <s v="LN-00236"/>
    <s v="BRW-0194"/>
    <d v="2025-04-09T00:00:00"/>
    <s v="Medical Expenses"/>
    <n v="7600"/>
    <n v="60"/>
    <n v="8.91"/>
    <n v="157.43"/>
    <n v="47.1"/>
    <s v="Current"/>
    <n v="0"/>
    <n v="0"/>
    <x v="1"/>
  </r>
  <r>
    <s v="LN-00237"/>
    <s v="BRW-0195"/>
    <d v="2024-07-30T00:00:00"/>
    <s v="Auto Loan"/>
    <n v="13900"/>
    <n v="24"/>
    <n v="10.54"/>
    <n v="644.88"/>
    <n v="39.1"/>
    <s v="Late"/>
    <n v="30"/>
    <n v="0"/>
    <x v="3"/>
  </r>
  <r>
    <s v="LN-00238"/>
    <s v="BRW-0196"/>
    <d v="2024-09-25T00:00:00"/>
    <s v="Major Purchase"/>
    <n v="29800"/>
    <n v="12"/>
    <n v="7.73"/>
    <n v="2588.54"/>
    <n v="81.900000000000006"/>
    <s v="Current"/>
    <n v="0"/>
    <n v="0"/>
    <x v="1"/>
  </r>
  <r>
    <s v="LN-00239"/>
    <s v="BRW-0197"/>
    <d v="2025-02-11T00:00:00"/>
    <s v="Vacation"/>
    <n v="17500"/>
    <n v="36"/>
    <n v="10.71"/>
    <n v="570.53"/>
    <n v="52"/>
    <s v="Paid Off"/>
    <n v="0"/>
    <n v="0"/>
    <x v="0"/>
  </r>
  <r>
    <s v="LN-00240"/>
    <s v="BRW-0198"/>
    <d v="2024-08-28T00:00:00"/>
    <s v="Auto Loan"/>
    <n v="17700"/>
    <n v="12"/>
    <n v="11.3"/>
    <n v="1566.83"/>
    <n v="48.2"/>
    <s v="Late"/>
    <n v="0"/>
    <n v="0"/>
    <x v="0"/>
  </r>
  <r>
    <s v="LN-00241"/>
    <s v="BRW-0199"/>
    <d v="2025-01-25T00:00:00"/>
    <s v="Wedding"/>
    <n v="32100"/>
    <n v="12"/>
    <n v="10.9"/>
    <n v="2835.55"/>
    <n v="139.69999999999999"/>
    <s v="Default"/>
    <n v="131"/>
    <n v="1"/>
    <x v="3"/>
  </r>
  <r>
    <s v="LN-00242"/>
    <s v="BRW-0200"/>
    <d v="2024-06-22T00:00:00"/>
    <s v="Medical Expenses"/>
    <n v="28900"/>
    <n v="60"/>
    <n v="11.63"/>
    <n v="637.47"/>
    <n v="74.599999999999994"/>
    <s v="Default"/>
    <n v="116"/>
    <n v="1"/>
    <x v="3"/>
  </r>
  <r>
    <s v="LN-00243"/>
    <s v="BRW-0201"/>
    <d v="2024-04-29T00:00:00"/>
    <s v="Medical Expenses"/>
    <n v="15500"/>
    <n v="48"/>
    <n v="7.34"/>
    <n v="373.62"/>
    <n v="49.7"/>
    <s v="Late"/>
    <n v="30"/>
    <n v="0"/>
    <x v="1"/>
  </r>
  <r>
    <s v="LN-00244"/>
    <s v="BRW-0201"/>
    <d v="2024-09-26T00:00:00"/>
    <s v="Auto Loan"/>
    <n v="46500"/>
    <n v="36"/>
    <n v="11.15"/>
    <n v="1525.66"/>
    <n v="76.5"/>
    <s v="Current"/>
    <n v="0"/>
    <n v="0"/>
    <x v="1"/>
  </r>
  <r>
    <s v="LN-00245"/>
    <s v="BRW-0202"/>
    <d v="2025-03-26T00:00:00"/>
    <s v="Medical Expenses"/>
    <n v="49700"/>
    <n v="24"/>
    <n v="11.68"/>
    <n v="2332.13"/>
    <n v="83.2"/>
    <s v="Default"/>
    <n v="68"/>
    <n v="1"/>
    <x v="1"/>
  </r>
  <r>
    <s v="LN-00246"/>
    <s v="BRW-0203"/>
    <d v="2025-05-21T00:00:00"/>
    <s v="Medical Expenses"/>
    <n v="10100"/>
    <n v="48"/>
    <n v="9.1"/>
    <n v="251.82"/>
    <n v="21.8"/>
    <s v="Default"/>
    <n v="121"/>
    <n v="1"/>
    <x v="0"/>
  </r>
  <r>
    <s v="LN-00247"/>
    <s v="BRW-0204"/>
    <d v="2024-04-05T00:00:00"/>
    <s v="Moving"/>
    <n v="25700"/>
    <n v="24"/>
    <n v="8.25"/>
    <n v="1165.27"/>
    <n v="21.4"/>
    <s v="Paid Off"/>
    <n v="0"/>
    <n v="0"/>
    <x v="1"/>
  </r>
  <r>
    <s v="LN-00248"/>
    <s v="BRW-0204"/>
    <d v="2024-01-05T00:00:00"/>
    <s v="Moving"/>
    <n v="29000"/>
    <n v="60"/>
    <n v="8.6999999999999993"/>
    <n v="597.78"/>
    <n v="14.4"/>
    <s v="Current"/>
    <n v="0"/>
    <n v="0"/>
    <x v="1"/>
  </r>
  <r>
    <s v="LN-00249"/>
    <s v="BRW-0205"/>
    <d v="2024-05-04T00:00:00"/>
    <s v="Vacation"/>
    <n v="27200"/>
    <n v="12"/>
    <n v="8.59"/>
    <n v="2373.5100000000002"/>
    <n v="137.4"/>
    <s v="Paid Off"/>
    <n v="0"/>
    <n v="0"/>
    <x v="4"/>
  </r>
  <r>
    <s v="LN-00250"/>
    <s v="BRW-0206"/>
    <d v="2024-10-02T00:00:00"/>
    <s v="Medical Expenses"/>
    <n v="4700"/>
    <n v="48"/>
    <n v="11.45"/>
    <n v="122.5"/>
    <n v="22.8"/>
    <s v="Paid Off"/>
    <n v="0"/>
    <n v="0"/>
    <x v="3"/>
  </r>
  <r>
    <s v="LN-00251"/>
    <s v="BRW-0206"/>
    <d v="2024-02-19T00:00:00"/>
    <s v="Wedding"/>
    <n v="12400"/>
    <n v="60"/>
    <n v="9.83"/>
    <n v="262.43"/>
    <n v="29.9"/>
    <s v="Paid Off"/>
    <n v="0"/>
    <n v="0"/>
    <x v="3"/>
  </r>
  <r>
    <s v="LN-00252"/>
    <s v="BRW-0207"/>
    <d v="2024-09-02T00:00:00"/>
    <s v="Moving"/>
    <n v="20300"/>
    <n v="48"/>
    <n v="11.28"/>
    <n v="527.42999999999995"/>
    <n v="51.1"/>
    <s v="Late"/>
    <n v="15"/>
    <n v="0"/>
    <x v="0"/>
  </r>
  <r>
    <s v="LN-00253"/>
    <s v="BRW-0208"/>
    <d v="2025-05-17T00:00:00"/>
    <s v="Medical Expenses"/>
    <n v="21300"/>
    <n v="24"/>
    <n v="8.7899999999999991"/>
    <n v="971.03"/>
    <n v="49"/>
    <s v="Paid Off"/>
    <n v="0"/>
    <n v="0"/>
    <x v="1"/>
  </r>
  <r>
    <s v="LN-00254"/>
    <s v="BRW-0208"/>
    <d v="2025-05-16T00:00:00"/>
    <s v="Wedding"/>
    <n v="31800"/>
    <n v="36"/>
    <n v="10.75"/>
    <n v="1037.33"/>
    <n v="49.8"/>
    <s v="Current"/>
    <n v="0"/>
    <n v="0"/>
    <x v="1"/>
  </r>
  <r>
    <s v="LN-00255"/>
    <s v="BRW-0209"/>
    <d v="2025-03-12T00:00:00"/>
    <s v="Home Improvement"/>
    <n v="40900"/>
    <n v="60"/>
    <n v="10.37"/>
    <n v="876.47"/>
    <n v="17.3"/>
    <s v="Default"/>
    <n v="161"/>
    <n v="1"/>
    <x v="0"/>
  </r>
  <r>
    <s v="LN-00256"/>
    <s v="BRW-0210"/>
    <d v="2025-06-23T00:00:00"/>
    <s v="Vacation"/>
    <n v="33100"/>
    <n v="24"/>
    <n v="13.1"/>
    <n v="1575.19"/>
    <n v="67.3"/>
    <s v="Current"/>
    <n v="0"/>
    <n v="0"/>
    <x v="1"/>
  </r>
  <r>
    <s v="LN-00257"/>
    <s v="BRW-0211"/>
    <d v="2025-06-19T00:00:00"/>
    <s v="Vacation"/>
    <n v="21300"/>
    <n v="36"/>
    <n v="11.26"/>
    <n v="699.96"/>
    <n v="71.099999999999994"/>
    <s v="Current"/>
    <n v="0"/>
    <n v="0"/>
    <x v="4"/>
  </r>
  <r>
    <s v="LN-00258"/>
    <s v="BRW-0212"/>
    <d v="2024-09-16T00:00:00"/>
    <s v="Moving"/>
    <n v="6900"/>
    <n v="12"/>
    <n v="11.99"/>
    <n v="613.02"/>
    <n v="62.1"/>
    <s v="Default"/>
    <n v="179"/>
    <n v="1"/>
    <x v="1"/>
  </r>
  <r>
    <s v="LN-00259"/>
    <s v="BRW-0212"/>
    <d v="2024-07-05T00:00:00"/>
    <s v="Home Improvement"/>
    <n v="2600"/>
    <n v="48"/>
    <n v="10.56"/>
    <n v="66.64"/>
    <n v="41.2"/>
    <s v="Current"/>
    <n v="0"/>
    <n v="0"/>
    <x v="1"/>
  </r>
  <r>
    <s v="LN-00260"/>
    <s v="BRW-0213"/>
    <d v="2024-09-28T00:00:00"/>
    <s v="Education"/>
    <n v="23800"/>
    <n v="48"/>
    <n v="10.65"/>
    <n v="611.09"/>
    <n v="27.8"/>
    <s v="Late"/>
    <n v="15"/>
    <n v="0"/>
    <x v="2"/>
  </r>
  <r>
    <s v="LN-00261"/>
    <s v="BRW-0214"/>
    <d v="2024-01-19T00:00:00"/>
    <s v="Home Improvement"/>
    <n v="18600"/>
    <n v="12"/>
    <n v="10.15"/>
    <n v="1636.53"/>
    <n v="99.8"/>
    <s v="Default"/>
    <n v="59"/>
    <n v="1"/>
    <x v="4"/>
  </r>
  <r>
    <s v="LN-00262"/>
    <s v="BRW-0215"/>
    <d v="2024-11-06T00:00:00"/>
    <s v="Vacation"/>
    <n v="21400"/>
    <n v="60"/>
    <n v="12.71"/>
    <n v="483.74"/>
    <n v="34.4"/>
    <s v="Late"/>
    <n v="30"/>
    <n v="0"/>
    <x v="1"/>
  </r>
  <r>
    <s v="LN-00263"/>
    <s v="BRW-0216"/>
    <d v="2024-04-24T00:00:00"/>
    <s v="Major Purchase"/>
    <n v="6200"/>
    <n v="24"/>
    <n v="9.9"/>
    <n v="285.81"/>
    <n v="14.5"/>
    <s v="Current"/>
    <n v="0"/>
    <n v="0"/>
    <x v="2"/>
  </r>
  <r>
    <s v="LN-00264"/>
    <s v="BRW-0217"/>
    <d v="2024-07-14T00:00:00"/>
    <s v="Vacation"/>
    <n v="27800"/>
    <n v="48"/>
    <n v="10.78"/>
    <n v="715.54"/>
    <n v="38.1"/>
    <s v="Current"/>
    <n v="0"/>
    <n v="0"/>
    <x v="4"/>
  </r>
  <r>
    <s v="LN-00265"/>
    <s v="BRW-0218"/>
    <d v="2025-04-27T00:00:00"/>
    <s v="Home Improvement"/>
    <n v="5500"/>
    <n v="48"/>
    <n v="11.5"/>
    <n v="143.49"/>
    <n v="36.6"/>
    <s v="Default"/>
    <n v="145"/>
    <n v="1"/>
    <x v="3"/>
  </r>
  <r>
    <s v="LN-00266"/>
    <s v="BRW-0219"/>
    <d v="2024-01-09T00:00:00"/>
    <s v="Business Loan"/>
    <n v="39400"/>
    <n v="48"/>
    <n v="6.77"/>
    <n v="939.28"/>
    <n v="26.5"/>
    <s v="Default"/>
    <n v="140"/>
    <n v="1"/>
    <x v="2"/>
  </r>
  <r>
    <s v="LN-00267"/>
    <s v="BRW-0220"/>
    <d v="2024-02-07T00:00:00"/>
    <s v="Vacation"/>
    <n v="30600"/>
    <n v="60"/>
    <n v="12.03"/>
    <n v="681.14"/>
    <n v="39.4"/>
    <s v="Current"/>
    <n v="0"/>
    <n v="0"/>
    <x v="1"/>
  </r>
  <r>
    <s v="LN-00268"/>
    <s v="BRW-0220"/>
    <d v="2024-03-03T00:00:00"/>
    <s v="Wedding"/>
    <n v="45400"/>
    <n v="48"/>
    <n v="8.19"/>
    <n v="1112.4000000000001"/>
    <n v="43.3"/>
    <s v="Current"/>
    <n v="0"/>
    <n v="0"/>
    <x v="1"/>
  </r>
  <r>
    <s v="LN-00269"/>
    <s v="BRW-0221"/>
    <d v="2024-12-21T00:00:00"/>
    <s v="Major Purchase"/>
    <n v="7600"/>
    <n v="60"/>
    <n v="12.33"/>
    <n v="170.33"/>
    <n v="11"/>
    <s v="Current"/>
    <n v="0"/>
    <n v="0"/>
    <x v="2"/>
  </r>
  <r>
    <s v="LN-00270"/>
    <s v="BRW-0222"/>
    <d v="2024-12-13T00:00:00"/>
    <s v="Vacation"/>
    <n v="13100"/>
    <n v="24"/>
    <n v="13.44"/>
    <n v="625.51"/>
    <n v="53.4"/>
    <s v="Late"/>
    <n v="15"/>
    <n v="0"/>
    <x v="1"/>
  </r>
  <r>
    <s v="LN-00271"/>
    <s v="BRW-0223"/>
    <d v="2025-01-03T00:00:00"/>
    <s v="Auto Loan"/>
    <n v="20700"/>
    <n v="48"/>
    <n v="12"/>
    <n v="545.11"/>
    <n v="19.8"/>
    <s v="Paid Off"/>
    <n v="0"/>
    <n v="0"/>
    <x v="3"/>
  </r>
  <r>
    <s v="LN-00272"/>
    <s v="BRW-0224"/>
    <d v="2024-07-23T00:00:00"/>
    <s v="Auto Loan"/>
    <n v="6100"/>
    <n v="48"/>
    <n v="10.48"/>
    <n v="156.12"/>
    <n v="42.8"/>
    <s v="Default"/>
    <n v="155"/>
    <n v="1"/>
    <x v="1"/>
  </r>
  <r>
    <s v="LN-00273"/>
    <s v="BRW-0225"/>
    <d v="2024-02-18T00:00:00"/>
    <s v="Major Purchase"/>
    <n v="25700"/>
    <n v="24"/>
    <n v="7.93"/>
    <n v="1161.52"/>
    <n v="38.1"/>
    <s v="Current"/>
    <n v="0"/>
    <n v="0"/>
    <x v="0"/>
  </r>
  <r>
    <s v="LN-00274"/>
    <s v="BRW-0226"/>
    <d v="2024-12-11T00:00:00"/>
    <s v="Medical Expenses"/>
    <n v="43900"/>
    <n v="12"/>
    <n v="14.33"/>
    <n v="3948.47"/>
    <n v="177.4"/>
    <s v="Default"/>
    <n v="88"/>
    <n v="1"/>
    <x v="4"/>
  </r>
  <r>
    <s v="LN-00275"/>
    <s v="BRW-0227"/>
    <d v="2024-09-30T00:00:00"/>
    <s v="Business Loan"/>
    <n v="49700"/>
    <n v="36"/>
    <n v="11.21"/>
    <n v="1632.06"/>
    <n v="51.2"/>
    <s v="Late"/>
    <n v="15"/>
    <n v="0"/>
    <x v="1"/>
  </r>
  <r>
    <s v="LN-00276"/>
    <s v="BRW-0228"/>
    <d v="2024-04-23T00:00:00"/>
    <s v="Home Improvement"/>
    <n v="46500"/>
    <n v="48"/>
    <n v="12.61"/>
    <n v="1238.5"/>
    <n v="56.2"/>
    <s v="Late"/>
    <n v="0"/>
    <n v="0"/>
    <x v="0"/>
  </r>
  <r>
    <s v="LN-00277"/>
    <s v="BRW-0229"/>
    <d v="2024-04-30T00:00:00"/>
    <s v="Home Improvement"/>
    <n v="4000"/>
    <n v="12"/>
    <n v="7.24"/>
    <n v="346.55"/>
    <n v="55.6"/>
    <s v="Late"/>
    <n v="15"/>
    <n v="0"/>
    <x v="1"/>
  </r>
  <r>
    <s v="LN-00278"/>
    <s v="BRW-0229"/>
    <d v="2024-04-11T00:00:00"/>
    <s v="Auto Loan"/>
    <n v="38600"/>
    <n v="48"/>
    <n v="10.06"/>
    <n v="980.11"/>
    <n v="61.5"/>
    <s v="Default"/>
    <n v="123"/>
    <n v="1"/>
    <x v="1"/>
  </r>
  <r>
    <s v="LN-00279"/>
    <s v="BRW-0230"/>
    <d v="2024-01-07T00:00:00"/>
    <s v="Medical Expenses"/>
    <n v="8100"/>
    <n v="48"/>
    <n v="12"/>
    <n v="213.3"/>
    <n v="43.4"/>
    <s v="Current"/>
    <n v="0"/>
    <n v="0"/>
    <x v="1"/>
  </r>
  <r>
    <s v="LN-00280"/>
    <s v="BRW-0231"/>
    <d v="2024-09-08T00:00:00"/>
    <s v="Home Improvement"/>
    <n v="22300"/>
    <n v="48"/>
    <n v="8.94"/>
    <n v="554.29999999999995"/>
    <n v="25.8"/>
    <s v="Current"/>
    <n v="0"/>
    <n v="0"/>
    <x v="1"/>
  </r>
  <r>
    <s v="LN-00281"/>
    <s v="BRW-0232"/>
    <d v="2025-06-12T00:00:00"/>
    <s v="Major Purchase"/>
    <n v="21600"/>
    <n v="48"/>
    <n v="11.09"/>
    <n v="559.21"/>
    <n v="46.2"/>
    <s v="Current"/>
    <n v="0"/>
    <n v="0"/>
    <x v="3"/>
  </r>
  <r>
    <s v="LN-00282"/>
    <s v="BRW-0233"/>
    <d v="2024-11-18T00:00:00"/>
    <s v="Debt Consolidation"/>
    <n v="26800"/>
    <n v="12"/>
    <n v="9.7200000000000006"/>
    <n v="2352.66"/>
    <n v="31.1"/>
    <s v="Current"/>
    <n v="0"/>
    <n v="0"/>
    <x v="1"/>
  </r>
  <r>
    <s v="LN-00283"/>
    <s v="BRW-0234"/>
    <d v="2025-06-16T00:00:00"/>
    <s v="Debt Consolidation"/>
    <n v="32800"/>
    <n v="60"/>
    <n v="6.69"/>
    <n v="644.69000000000005"/>
    <n v="36.299999999999997"/>
    <s v="Paid Off"/>
    <n v="0"/>
    <n v="0"/>
    <x v="0"/>
  </r>
  <r>
    <s v="LN-00284"/>
    <s v="BRW-0235"/>
    <d v="2024-10-13T00:00:00"/>
    <s v="Auto Loan"/>
    <n v="17100"/>
    <n v="36"/>
    <n v="7.04"/>
    <n v="528.30999999999995"/>
    <n v="60.7"/>
    <s v="Current"/>
    <n v="0"/>
    <n v="0"/>
    <x v="1"/>
  </r>
  <r>
    <s v="LN-00285"/>
    <s v="BRW-0236"/>
    <d v="2024-12-19T00:00:00"/>
    <s v="Business Loan"/>
    <n v="32000"/>
    <n v="60"/>
    <n v="11.38"/>
    <n v="701.84"/>
    <n v="44.8"/>
    <s v="Current"/>
    <n v="0"/>
    <n v="0"/>
    <x v="1"/>
  </r>
  <r>
    <s v="LN-00286"/>
    <s v="BRW-0237"/>
    <d v="2024-05-09T00:00:00"/>
    <s v="Auto Loan"/>
    <n v="22300"/>
    <n v="48"/>
    <n v="11.48"/>
    <n v="581.57000000000005"/>
    <n v="49.1"/>
    <s v="Current"/>
    <n v="0"/>
    <n v="0"/>
    <x v="2"/>
  </r>
  <r>
    <s v="LN-00287"/>
    <s v="BRW-0238"/>
    <d v="2024-09-21T00:00:00"/>
    <s v="Auto Loan"/>
    <n v="24100"/>
    <n v="24"/>
    <n v="7.82"/>
    <n v="1088"/>
    <n v="72.2"/>
    <s v="Paid Off"/>
    <n v="0"/>
    <n v="0"/>
    <x v="4"/>
  </r>
  <r>
    <s v="LN-00288"/>
    <s v="BRW-0239"/>
    <d v="2024-12-28T00:00:00"/>
    <s v="Home Improvement"/>
    <n v="42400"/>
    <n v="36"/>
    <n v="11.95"/>
    <n v="1407.27"/>
    <n v="48.1"/>
    <s v="Default"/>
    <n v="61"/>
    <n v="1"/>
    <x v="0"/>
  </r>
  <r>
    <s v="LN-00289"/>
    <s v="BRW-0239"/>
    <d v="2024-08-29T00:00:00"/>
    <s v="Vacation"/>
    <n v="37400"/>
    <n v="48"/>
    <n v="10.51"/>
    <n v="957.75"/>
    <n v="41.7"/>
    <s v="Late"/>
    <n v="30"/>
    <n v="0"/>
    <x v="0"/>
  </r>
  <r>
    <s v="LN-00290"/>
    <s v="BRW-0240"/>
    <d v="2024-05-23T00:00:00"/>
    <s v="Moving"/>
    <n v="13200"/>
    <n v="36"/>
    <n v="8.17"/>
    <n v="414.68"/>
    <n v="57.1"/>
    <s v="Current"/>
    <n v="0"/>
    <n v="0"/>
    <x v="1"/>
  </r>
  <r>
    <s v="LN-00291"/>
    <s v="BRW-0240"/>
    <d v="2024-05-30T00:00:00"/>
    <s v="Education"/>
    <n v="11200"/>
    <n v="36"/>
    <n v="9.02"/>
    <n v="356.26"/>
    <n v="56.5"/>
    <s v="Current"/>
    <n v="0"/>
    <n v="0"/>
    <x v="1"/>
  </r>
  <r>
    <s v="LN-00292"/>
    <s v="BRW-0241"/>
    <d v="2025-02-16T00:00:00"/>
    <s v="Medical Expenses"/>
    <n v="22800"/>
    <n v="36"/>
    <n v="14.15"/>
    <n v="780.91"/>
    <n v="25.2"/>
    <s v="Current"/>
    <n v="0"/>
    <n v="0"/>
    <x v="2"/>
  </r>
  <r>
    <s v="LN-00293"/>
    <s v="BRW-0242"/>
    <d v="2025-03-02T00:00:00"/>
    <s v="Vacation"/>
    <n v="37700"/>
    <n v="48"/>
    <n v="9.64"/>
    <n v="949.66"/>
    <n v="70"/>
    <s v="Current"/>
    <n v="0"/>
    <n v="0"/>
    <x v="1"/>
  </r>
  <r>
    <s v="LN-00294"/>
    <s v="BRW-0243"/>
    <d v="2024-08-05T00:00:00"/>
    <s v="Medical Expenses"/>
    <n v="10400"/>
    <n v="60"/>
    <n v="7.41"/>
    <n v="207.95"/>
    <n v="65.5"/>
    <s v="Current"/>
    <n v="0"/>
    <n v="0"/>
    <x v="3"/>
  </r>
  <r>
    <s v="LN-00295"/>
    <s v="BRW-0244"/>
    <d v="2024-10-23T00:00:00"/>
    <s v="Home Improvement"/>
    <n v="14200"/>
    <n v="12"/>
    <n v="12.28"/>
    <n v="1263.51"/>
    <n v="66.2"/>
    <s v="Default"/>
    <n v="69"/>
    <n v="1"/>
    <x v="4"/>
  </r>
  <r>
    <s v="LN-00296"/>
    <s v="BRW-0245"/>
    <d v="2024-05-26T00:00:00"/>
    <s v="Auto Loan"/>
    <n v="16600"/>
    <n v="48"/>
    <n v="7.86"/>
    <n v="404.16"/>
    <n v="49.6"/>
    <s v="Current"/>
    <n v="0"/>
    <n v="0"/>
    <x v="1"/>
  </r>
  <r>
    <s v="LN-00297"/>
    <s v="BRW-0246"/>
    <d v="2024-12-23T00:00:00"/>
    <s v="Auto Loan"/>
    <n v="41100"/>
    <n v="48"/>
    <n v="10.23"/>
    <n v="1046.95"/>
    <n v="50.9"/>
    <s v="Default"/>
    <n v="41"/>
    <n v="1"/>
    <x v="2"/>
  </r>
  <r>
    <s v="LN-00298"/>
    <s v="BRW-0246"/>
    <d v="2025-01-21T00:00:00"/>
    <s v="Major Purchase"/>
    <n v="16900"/>
    <n v="48"/>
    <n v="14.72"/>
    <n v="467.94"/>
    <n v="43.1"/>
    <s v="Late"/>
    <n v="0"/>
    <n v="0"/>
    <x v="2"/>
  </r>
  <r>
    <s v="LN-00299"/>
    <s v="BRW-0247"/>
    <d v="2024-11-29T00:00:00"/>
    <s v="Moving"/>
    <n v="31000"/>
    <n v="48"/>
    <n v="9.18"/>
    <n v="774.09"/>
    <n v="40.200000000000003"/>
    <s v="Default"/>
    <n v="134"/>
    <n v="1"/>
    <x v="1"/>
  </r>
  <r>
    <s v="LN-00300"/>
    <s v="BRW-0248"/>
    <d v="2024-03-31T00:00:00"/>
    <s v="Major Purchase"/>
    <n v="3800"/>
    <n v="48"/>
    <n v="14.21"/>
    <n v="104.24"/>
    <n v="16.100000000000001"/>
    <s v="Current"/>
    <n v="0"/>
    <n v="0"/>
    <x v="1"/>
  </r>
  <r>
    <s v="LN-00301"/>
    <s v="BRW-0249"/>
    <d v="2024-02-24T00:00:00"/>
    <s v="Auto Loan"/>
    <n v="5100"/>
    <n v="60"/>
    <n v="8.2899999999999991"/>
    <n v="104.12"/>
    <n v="51.2"/>
    <s v="Paid Off"/>
    <n v="0"/>
    <n v="0"/>
    <x v="1"/>
  </r>
  <r>
    <s v="LN-00302"/>
    <s v="BRW-0250"/>
    <d v="2024-10-08T00:00:00"/>
    <s v="Debt Consolidation"/>
    <n v="27200"/>
    <n v="24"/>
    <n v="14.71"/>
    <n v="1315.09"/>
    <n v="66.5"/>
    <s v="Paid Off"/>
    <n v="0"/>
    <n v="0"/>
    <x v="1"/>
  </r>
  <r>
    <s v="LN-00303"/>
    <s v="BRW-0251"/>
    <d v="2024-02-16T00:00:00"/>
    <s v="Vacation"/>
    <n v="12100"/>
    <n v="36"/>
    <n v="10.28"/>
    <n v="392.03"/>
    <n v="52.7"/>
    <s v="Late"/>
    <n v="15"/>
    <n v="0"/>
    <x v="1"/>
  </r>
  <r>
    <s v="LN-00304"/>
    <s v="BRW-0251"/>
    <d v="2024-04-03T00:00:00"/>
    <s v="Medical Expenses"/>
    <n v="35900"/>
    <n v="36"/>
    <n v="10.18"/>
    <n v="1161.43"/>
    <n v="70.5"/>
    <s v="Default"/>
    <n v="55"/>
    <n v="1"/>
    <x v="1"/>
  </r>
  <r>
    <s v="LN-00305"/>
    <s v="BRW-0252"/>
    <d v="2025-02-21T00:00:00"/>
    <s v="Auto Loan"/>
    <n v="9900"/>
    <n v="12"/>
    <n v="9.92"/>
    <n v="870"/>
    <n v="54"/>
    <s v="Paid Off"/>
    <n v="0"/>
    <n v="0"/>
    <x v="0"/>
  </r>
  <r>
    <s v="LN-00306"/>
    <s v="BRW-0253"/>
    <d v="2024-11-27T00:00:00"/>
    <s v="Debt Consolidation"/>
    <n v="5700"/>
    <n v="24"/>
    <n v="11.13"/>
    <n v="266.01"/>
    <n v="49.6"/>
    <s v="Late"/>
    <n v="15"/>
    <n v="0"/>
    <x v="0"/>
  </r>
  <r>
    <s v="LN-00307"/>
    <s v="BRW-0254"/>
    <d v="2025-05-31T00:00:00"/>
    <s v="Business Loan"/>
    <n v="30100"/>
    <n v="48"/>
    <n v="13.59"/>
    <n v="816.35"/>
    <n v="27"/>
    <s v="Current"/>
    <n v="0"/>
    <n v="0"/>
    <x v="1"/>
  </r>
  <r>
    <s v="LN-00308"/>
    <s v="BRW-0255"/>
    <d v="2024-01-20T00:00:00"/>
    <s v="Major Purchase"/>
    <n v="2400"/>
    <n v="24"/>
    <n v="14.87"/>
    <n v="116.22"/>
    <n v="38.299999999999997"/>
    <s v="Default"/>
    <n v="180"/>
    <n v="1"/>
    <x v="3"/>
  </r>
  <r>
    <s v="LN-00309"/>
    <s v="BRW-0256"/>
    <d v="2025-02-20T00:00:00"/>
    <s v="Business Loan"/>
    <n v="33300"/>
    <n v="24"/>
    <n v="11.81"/>
    <n v="1564.59"/>
    <n v="34.299999999999997"/>
    <s v="Current"/>
    <n v="0"/>
    <n v="0"/>
    <x v="1"/>
  </r>
  <r>
    <s v="LN-00310"/>
    <s v="BRW-0257"/>
    <d v="2025-03-09T00:00:00"/>
    <s v="Medical Expenses"/>
    <n v="23500"/>
    <n v="24"/>
    <n v="12.7"/>
    <n v="1113.92"/>
    <n v="71.2"/>
    <s v="Current"/>
    <n v="0"/>
    <n v="0"/>
    <x v="1"/>
  </r>
  <r>
    <s v="LN-00311"/>
    <s v="BRW-0258"/>
    <d v="2025-05-08T00:00:00"/>
    <s v="Wedding"/>
    <n v="32700"/>
    <n v="12"/>
    <n v="7.25"/>
    <n v="2833.19"/>
    <n v="85.7"/>
    <s v="Late"/>
    <n v="0"/>
    <n v="0"/>
    <x v="4"/>
  </r>
  <r>
    <s v="LN-00312"/>
    <s v="BRW-0258"/>
    <d v="2024-06-14T00:00:00"/>
    <s v="Education"/>
    <n v="12200"/>
    <n v="60"/>
    <n v="8.36"/>
    <n v="249.48"/>
    <n v="26"/>
    <s v="Current"/>
    <n v="0"/>
    <n v="0"/>
    <x v="4"/>
  </r>
  <r>
    <s v="LN-00313"/>
    <s v="BRW-0259"/>
    <d v="2024-08-03T00:00:00"/>
    <s v="Home Improvement"/>
    <n v="35000"/>
    <n v="36"/>
    <n v="12.84"/>
    <n v="1176.5899999999999"/>
    <n v="76.099999999999994"/>
    <s v="Late"/>
    <n v="30"/>
    <n v="0"/>
    <x v="3"/>
  </r>
  <r>
    <s v="LN-00314"/>
    <s v="BRW-0260"/>
    <d v="2024-11-25T00:00:00"/>
    <s v="Education"/>
    <n v="49000"/>
    <n v="48"/>
    <n v="10.83"/>
    <n v="1262.3900000000001"/>
    <n v="46.7"/>
    <s v="Current"/>
    <n v="0"/>
    <n v="0"/>
    <x v="1"/>
  </r>
  <r>
    <s v="LN-00315"/>
    <s v="BRW-0261"/>
    <d v="2024-01-10T00:00:00"/>
    <s v="Medical Expenses"/>
    <n v="2100"/>
    <n v="48"/>
    <n v="8.42"/>
    <n v="51.68"/>
    <n v="11.8"/>
    <s v="Paid Off"/>
    <n v="0"/>
    <n v="0"/>
    <x v="4"/>
  </r>
  <r>
    <s v="LN-00316"/>
    <s v="BRW-0262"/>
    <d v="2025-03-31T00:00:00"/>
    <s v="Major Purchase"/>
    <n v="13300"/>
    <n v="12"/>
    <n v="9.34"/>
    <n v="1165.2"/>
    <n v="96.6"/>
    <s v="Paid Off"/>
    <n v="0"/>
    <n v="0"/>
    <x v="4"/>
  </r>
  <r>
    <s v="LN-00317"/>
    <s v="BRW-0263"/>
    <d v="2025-01-14T00:00:00"/>
    <s v="Education"/>
    <n v="42300"/>
    <n v="12"/>
    <n v="7.97"/>
    <n v="3679.02"/>
    <n v="72.599999999999994"/>
    <s v="Current"/>
    <n v="0"/>
    <n v="0"/>
    <x v="1"/>
  </r>
  <r>
    <s v="LN-00318"/>
    <s v="BRW-0263"/>
    <d v="2024-11-06T00:00:00"/>
    <s v="Debt Consolidation"/>
    <n v="34700"/>
    <n v="36"/>
    <n v="8.31"/>
    <n v="1092.3399999999999"/>
    <n v="48.2"/>
    <s v="Paid Off"/>
    <n v="0"/>
    <n v="0"/>
    <x v="1"/>
  </r>
  <r>
    <s v="LN-00319"/>
    <s v="BRW-0264"/>
    <d v="2024-07-19T00:00:00"/>
    <s v="Debt Consolidation"/>
    <n v="40100"/>
    <n v="60"/>
    <n v="7.03"/>
    <n v="794.6"/>
    <n v="64.8"/>
    <s v="Current"/>
    <n v="0"/>
    <n v="0"/>
    <x v="1"/>
  </r>
  <r>
    <s v="LN-00320"/>
    <s v="BRW-0264"/>
    <d v="2024-06-28T00:00:00"/>
    <s v="Auto Loan"/>
    <n v="25700"/>
    <n v="60"/>
    <n v="6.95"/>
    <n v="508.28"/>
    <n v="59.8"/>
    <s v="Default"/>
    <n v="62"/>
    <n v="1"/>
    <x v="1"/>
  </r>
  <r>
    <s v="LN-00321"/>
    <s v="BRW-0265"/>
    <d v="2024-10-07T00:00:00"/>
    <s v="Medical Expenses"/>
    <n v="29400"/>
    <n v="24"/>
    <n v="10.76"/>
    <n v="1367"/>
    <n v="38.799999999999997"/>
    <s v="Paid Off"/>
    <n v="0"/>
    <n v="0"/>
    <x v="1"/>
  </r>
  <r>
    <s v="LN-00322"/>
    <s v="BRW-0266"/>
    <d v="2025-03-13T00:00:00"/>
    <s v="Moving"/>
    <n v="32400"/>
    <n v="48"/>
    <n v="7.78"/>
    <n v="787.64"/>
    <n v="30.9"/>
    <s v="Late"/>
    <n v="15"/>
    <n v="0"/>
    <x v="3"/>
  </r>
  <r>
    <s v="LN-00323"/>
    <s v="BRW-0267"/>
    <d v="2025-04-22T00:00:00"/>
    <s v="Major Purchase"/>
    <n v="21500"/>
    <n v="12"/>
    <n v="9.58"/>
    <n v="1885.99"/>
    <n v="68.099999999999994"/>
    <s v="Current"/>
    <n v="0"/>
    <n v="0"/>
    <x v="1"/>
  </r>
  <r>
    <s v="LN-00324"/>
    <s v="BRW-0267"/>
    <d v="2024-01-06T00:00:00"/>
    <s v="Business Loan"/>
    <n v="25600"/>
    <n v="60"/>
    <n v="8.43"/>
    <n v="524.36"/>
    <n v="47.1"/>
    <s v="Paid Off"/>
    <n v="0"/>
    <n v="0"/>
    <x v="1"/>
  </r>
  <r>
    <s v="LN-00325"/>
    <s v="BRW-0268"/>
    <d v="2024-07-20T00:00:00"/>
    <s v="Business Loan"/>
    <n v="22300"/>
    <n v="12"/>
    <n v="14.87"/>
    <n v="2011.39"/>
    <n v="109.3"/>
    <s v="Default"/>
    <n v="109"/>
    <n v="1"/>
    <x v="1"/>
  </r>
  <r>
    <s v="LN-00326"/>
    <s v="BRW-0268"/>
    <d v="2024-01-25T00:00:00"/>
    <s v="Home Improvement"/>
    <n v="6100"/>
    <n v="48"/>
    <n v="12.44"/>
    <n v="161.96"/>
    <n v="56.6"/>
    <s v="Current"/>
    <n v="0"/>
    <n v="0"/>
    <x v="1"/>
  </r>
  <r>
    <s v="LN-00327"/>
    <s v="BRW-0269"/>
    <d v="2025-06-16T00:00:00"/>
    <s v="Home Improvement"/>
    <n v="48000"/>
    <n v="12"/>
    <n v="10.76"/>
    <n v="4236.95"/>
    <n v="117.3"/>
    <s v="Late"/>
    <n v="15"/>
    <n v="0"/>
    <x v="1"/>
  </r>
  <r>
    <s v="LN-00328"/>
    <s v="BRW-0270"/>
    <d v="2024-02-04T00:00:00"/>
    <s v="Home Improvement"/>
    <n v="29700"/>
    <n v="12"/>
    <n v="15.86"/>
    <n v="2692.74"/>
    <n v="119.6"/>
    <s v="Default"/>
    <n v="46"/>
    <n v="1"/>
    <x v="1"/>
  </r>
  <r>
    <s v="LN-00329"/>
    <s v="BRW-0271"/>
    <d v="2025-03-18T00:00:00"/>
    <s v="Debt Consolidation"/>
    <n v="22200"/>
    <n v="36"/>
    <n v="10.67"/>
    <n v="723.34"/>
    <n v="39.9"/>
    <s v="Default"/>
    <n v="44"/>
    <n v="1"/>
    <x v="3"/>
  </r>
  <r>
    <s v="LN-00330"/>
    <s v="BRW-0272"/>
    <d v="2024-08-26T00:00:00"/>
    <s v="Auto Loan"/>
    <n v="21300"/>
    <n v="60"/>
    <n v="13.16"/>
    <n v="486.39"/>
    <n v="23"/>
    <s v="Late"/>
    <n v="0"/>
    <n v="0"/>
    <x v="1"/>
  </r>
  <r>
    <s v="LN-00331"/>
    <s v="BRW-0273"/>
    <d v="2024-01-27T00:00:00"/>
    <s v="Vacation"/>
    <n v="44200"/>
    <n v="60"/>
    <n v="10.81"/>
    <n v="956.83"/>
    <n v="29.8"/>
    <s v="Current"/>
    <n v="0"/>
    <n v="0"/>
    <x v="2"/>
  </r>
  <r>
    <s v="LN-00332"/>
    <s v="BRW-0274"/>
    <d v="2024-05-09T00:00:00"/>
    <s v="Wedding"/>
    <n v="30500"/>
    <n v="24"/>
    <n v="10.36"/>
    <n v="1412.49"/>
    <n v="38.1"/>
    <s v="Current"/>
    <n v="0"/>
    <n v="0"/>
    <x v="1"/>
  </r>
  <r>
    <s v="LN-00333"/>
    <s v="BRW-0275"/>
    <d v="2024-11-15T00:00:00"/>
    <s v="Vacation"/>
    <n v="7900"/>
    <n v="12"/>
    <n v="8.77"/>
    <n v="690.02"/>
    <n v="29.9"/>
    <s v="Late"/>
    <n v="0"/>
    <n v="0"/>
    <x v="2"/>
  </r>
  <r>
    <s v="LN-00334"/>
    <s v="BRW-0276"/>
    <d v="2024-12-17T00:00:00"/>
    <s v="Wedding"/>
    <n v="39200"/>
    <n v="24"/>
    <n v="8.35"/>
    <n v="1779.17"/>
    <n v="69.400000000000006"/>
    <s v="Late"/>
    <n v="30"/>
    <n v="0"/>
    <x v="1"/>
  </r>
  <r>
    <s v="LN-00335"/>
    <s v="BRW-0277"/>
    <d v="2025-03-08T00:00:00"/>
    <s v="Medical Expenses"/>
    <n v="8800"/>
    <n v="60"/>
    <n v="14.04"/>
    <n v="204.94"/>
    <n v="33.4"/>
    <s v="Late"/>
    <n v="30"/>
    <n v="0"/>
    <x v="4"/>
  </r>
  <r>
    <s v="LN-00336"/>
    <s v="BRW-0278"/>
    <d v="2024-12-05T00:00:00"/>
    <s v="Home Improvement"/>
    <n v="28000"/>
    <n v="48"/>
    <n v="12.52"/>
    <n v="744.52"/>
    <n v="40.9"/>
    <s v="Current"/>
    <n v="0"/>
    <n v="0"/>
    <x v="4"/>
  </r>
  <r>
    <s v="LN-00337"/>
    <s v="BRW-0279"/>
    <d v="2024-01-04T00:00:00"/>
    <s v="Education"/>
    <n v="17200"/>
    <n v="12"/>
    <n v="12.86"/>
    <n v="1535.13"/>
    <n v="44.4"/>
    <s v="Current"/>
    <n v="0"/>
    <n v="0"/>
    <x v="2"/>
  </r>
  <r>
    <s v="LN-00338"/>
    <s v="BRW-0280"/>
    <d v="2025-01-19T00:00:00"/>
    <s v="Vacation"/>
    <n v="47700"/>
    <n v="36"/>
    <n v="10.99"/>
    <n v="1561.41"/>
    <n v="77.5"/>
    <s v="Paid Off"/>
    <n v="0"/>
    <n v="0"/>
    <x v="0"/>
  </r>
  <r>
    <s v="LN-00339"/>
    <s v="BRW-0281"/>
    <d v="2024-07-18T00:00:00"/>
    <s v="Home Improvement"/>
    <n v="28600"/>
    <n v="24"/>
    <n v="8.6999999999999993"/>
    <n v="1302.6500000000001"/>
    <n v="64"/>
    <s v="Late"/>
    <n v="15"/>
    <n v="0"/>
    <x v="0"/>
  </r>
  <r>
    <s v="LN-00340"/>
    <s v="BRW-0282"/>
    <d v="2024-12-13T00:00:00"/>
    <s v="Business Loan"/>
    <n v="4500"/>
    <n v="36"/>
    <n v="11.88"/>
    <n v="149.21"/>
    <n v="22.8"/>
    <s v="Current"/>
    <n v="0"/>
    <n v="0"/>
    <x v="4"/>
  </r>
  <r>
    <s v="LN-00341"/>
    <s v="BRW-0282"/>
    <d v="2024-05-20T00:00:00"/>
    <s v="Medical Expenses"/>
    <n v="36100"/>
    <n v="12"/>
    <n v="12.44"/>
    <n v="3214.88"/>
    <n v="145"/>
    <s v="Current"/>
    <n v="0"/>
    <n v="0"/>
    <x v="4"/>
  </r>
  <r>
    <s v="LN-00342"/>
    <s v="BRW-0283"/>
    <d v="2025-06-23T00:00:00"/>
    <s v="Auto Loan"/>
    <n v="19700"/>
    <n v="36"/>
    <n v="10.74"/>
    <n v="642.53"/>
    <n v="25"/>
    <s v="Late"/>
    <n v="30"/>
    <n v="0"/>
    <x v="2"/>
  </r>
  <r>
    <s v="LN-00343"/>
    <s v="BRW-0283"/>
    <d v="2024-07-15T00:00:00"/>
    <s v="Home Improvement"/>
    <n v="31300"/>
    <n v="24"/>
    <n v="11.41"/>
    <n v="1464.79"/>
    <n v="37.4"/>
    <s v="Current"/>
    <n v="0"/>
    <n v="0"/>
    <x v="2"/>
  </r>
  <r>
    <s v="LN-00344"/>
    <s v="BRW-0284"/>
    <d v="2024-10-28T00:00:00"/>
    <s v="Business Loan"/>
    <n v="38600"/>
    <n v="60"/>
    <n v="10.6"/>
    <n v="831.58"/>
    <n v="31"/>
    <s v="Current"/>
    <n v="0"/>
    <n v="0"/>
    <x v="1"/>
  </r>
  <r>
    <s v="LN-00345"/>
    <s v="BRW-0285"/>
    <d v="2024-03-24T00:00:00"/>
    <s v="Medical Expenses"/>
    <n v="48500"/>
    <n v="48"/>
    <n v="8.6300000000000008"/>
    <n v="1198.42"/>
    <n v="58.9"/>
    <s v="Late"/>
    <n v="0"/>
    <n v="0"/>
    <x v="0"/>
  </r>
  <r>
    <s v="LN-00346"/>
    <s v="BRW-0286"/>
    <d v="2025-06-15T00:00:00"/>
    <s v="Major Purchase"/>
    <n v="33000"/>
    <n v="60"/>
    <n v="9.6"/>
    <n v="694.68"/>
    <n v="38"/>
    <s v="Current"/>
    <n v="0"/>
    <n v="0"/>
    <x v="0"/>
  </r>
  <r>
    <s v="LN-00347"/>
    <s v="BRW-0287"/>
    <d v="2024-07-31T00:00:00"/>
    <s v="Vacation"/>
    <n v="25800"/>
    <n v="60"/>
    <n v="10.98"/>
    <n v="560.70000000000005"/>
    <n v="37"/>
    <s v="Paid Off"/>
    <n v="0"/>
    <n v="0"/>
    <x v="0"/>
  </r>
  <r>
    <s v="LN-00348"/>
    <s v="BRW-0288"/>
    <d v="2025-01-18T00:00:00"/>
    <s v="Auto Loan"/>
    <n v="20100"/>
    <n v="24"/>
    <n v="14.98"/>
    <n v="974.39"/>
    <n v="26.1"/>
    <s v="Default"/>
    <n v="51"/>
    <n v="1"/>
    <x v="1"/>
  </r>
  <r>
    <s v="LN-00349"/>
    <s v="BRW-0289"/>
    <d v="2025-04-21T00:00:00"/>
    <s v="Home Improvement"/>
    <n v="19900"/>
    <n v="24"/>
    <n v="9.8699999999999992"/>
    <n v="917.09"/>
    <n v="53.6"/>
    <s v="Current"/>
    <n v="0"/>
    <n v="0"/>
    <x v="4"/>
  </r>
  <r>
    <s v="LN-00350"/>
    <s v="BRW-0290"/>
    <d v="2025-03-28T00:00:00"/>
    <s v="Education"/>
    <n v="17200"/>
    <n v="48"/>
    <n v="10.56"/>
    <n v="440.88"/>
    <n v="9.8000000000000007"/>
    <s v="Default"/>
    <n v="49"/>
    <n v="1"/>
    <x v="0"/>
  </r>
  <r>
    <s v="LN-00351"/>
    <s v="BRW-0291"/>
    <d v="2024-10-10T00:00:00"/>
    <s v="Home Improvement"/>
    <n v="26100"/>
    <n v="60"/>
    <n v="12.42"/>
    <n v="586.13"/>
    <n v="19.899999999999999"/>
    <s v="Current"/>
    <n v="0"/>
    <n v="0"/>
    <x v="1"/>
  </r>
  <r>
    <s v="LN-00352"/>
    <s v="BRW-0292"/>
    <d v="2024-10-08T00:00:00"/>
    <s v="Business Loan"/>
    <n v="12600"/>
    <n v="36"/>
    <n v="11.36"/>
    <n v="414.66"/>
    <n v="62.4"/>
    <s v="Default"/>
    <n v="65"/>
    <n v="1"/>
    <x v="1"/>
  </r>
  <r>
    <s v="LN-00353"/>
    <s v="BRW-0293"/>
    <d v="2024-12-20T00:00:00"/>
    <s v="Moving"/>
    <n v="2400"/>
    <n v="36"/>
    <n v="8.51"/>
    <n v="75.77"/>
    <n v="29.5"/>
    <s v="Current"/>
    <n v="0"/>
    <n v="0"/>
    <x v="0"/>
  </r>
  <r>
    <s v="LN-00354"/>
    <s v="BRW-0293"/>
    <d v="2024-06-01T00:00:00"/>
    <s v="Wedding"/>
    <n v="2600"/>
    <n v="60"/>
    <n v="12.05"/>
    <n v="57.9"/>
    <n v="28.9"/>
    <s v="Paid Off"/>
    <n v="0"/>
    <n v="0"/>
    <x v="0"/>
  </r>
  <r>
    <s v="LN-00355"/>
    <s v="BRW-0294"/>
    <d v="2025-04-17T00:00:00"/>
    <s v="Business Loan"/>
    <n v="39700"/>
    <n v="48"/>
    <n v="10.93"/>
    <n v="1024.72"/>
    <n v="21.3"/>
    <s v="Paid Off"/>
    <n v="0"/>
    <n v="0"/>
    <x v="2"/>
  </r>
  <r>
    <s v="LN-00356"/>
    <s v="BRW-0295"/>
    <d v="2024-05-22T00:00:00"/>
    <s v="Major Purchase"/>
    <n v="9300"/>
    <n v="60"/>
    <n v="8.15"/>
    <n v="189.24"/>
    <n v="38.4"/>
    <s v="Paid Off"/>
    <n v="0"/>
    <n v="0"/>
    <x v="1"/>
  </r>
  <r>
    <s v="LN-00357"/>
    <s v="BRW-0296"/>
    <d v="2024-11-02T00:00:00"/>
    <s v="Education"/>
    <n v="19900"/>
    <n v="48"/>
    <n v="13.08"/>
    <n v="534.66"/>
    <n v="49.5"/>
    <s v="Paid Off"/>
    <n v="0"/>
    <n v="0"/>
    <x v="1"/>
  </r>
  <r>
    <s v="LN-00358"/>
    <s v="BRW-0297"/>
    <d v="2025-02-04T00:00:00"/>
    <s v="Medical Expenses"/>
    <n v="49700"/>
    <n v="60"/>
    <n v="9.3000000000000007"/>
    <n v="1038.94"/>
    <n v="37.5"/>
    <s v="Current"/>
    <n v="0"/>
    <n v="0"/>
    <x v="1"/>
  </r>
  <r>
    <s v="LN-00359"/>
    <s v="BRW-0297"/>
    <d v="2025-04-07T00:00:00"/>
    <s v="Moving"/>
    <n v="18800"/>
    <n v="36"/>
    <n v="9"/>
    <n v="597.83000000000004"/>
    <n v="26.7"/>
    <s v="Current"/>
    <n v="0"/>
    <n v="0"/>
    <x v="1"/>
  </r>
  <r>
    <s v="LN-00360"/>
    <s v="BRW-0298"/>
    <d v="2024-07-22T00:00:00"/>
    <s v="Medical Expenses"/>
    <n v="19000"/>
    <n v="48"/>
    <n v="6.03"/>
    <n v="446.48"/>
    <n v="54.1"/>
    <s v="Default"/>
    <n v="128"/>
    <n v="1"/>
    <x v="1"/>
  </r>
  <r>
    <s v="LN-00361"/>
    <s v="BRW-0299"/>
    <d v="2025-06-14T00:00:00"/>
    <s v="Business Loan"/>
    <n v="8100"/>
    <n v="48"/>
    <n v="8.1999999999999993"/>
    <n v="198.51"/>
    <n v="64.099999999999994"/>
    <s v="Default"/>
    <n v="113"/>
    <n v="1"/>
    <x v="3"/>
  </r>
  <r>
    <s v="LN-00362"/>
    <s v="BRW-0300"/>
    <d v="2025-05-04T00:00:00"/>
    <s v="Major Purchase"/>
    <n v="49500"/>
    <n v="24"/>
    <n v="13.08"/>
    <n v="2355.1799999999998"/>
    <n v="86.4"/>
    <s v="Paid Off"/>
    <n v="0"/>
    <n v="0"/>
    <x v="1"/>
  </r>
  <r>
    <s v="LN-00363"/>
    <s v="BRW-0300"/>
    <d v="2025-05-01T00:00:00"/>
    <s v="Business Loan"/>
    <n v="9200"/>
    <n v="48"/>
    <n v="14.49"/>
    <n v="253.67"/>
    <n v="55.4"/>
    <s v="Default"/>
    <n v="177"/>
    <n v="1"/>
    <x v="1"/>
  </r>
  <r>
    <s v="LN-00364"/>
    <s v="BRW-0301"/>
    <d v="2024-01-08T00:00:00"/>
    <s v="Wedding"/>
    <n v="26800"/>
    <n v="48"/>
    <n v="7.81"/>
    <n v="651.88"/>
    <n v="55.1"/>
    <s v="Paid Off"/>
    <n v="0"/>
    <n v="0"/>
    <x v="2"/>
  </r>
  <r>
    <s v="LN-00365"/>
    <s v="BRW-0301"/>
    <d v="2025-04-16T00:00:00"/>
    <s v="Wedding"/>
    <n v="27200"/>
    <n v="60"/>
    <n v="10.83"/>
    <n v="589.09"/>
    <n v="54"/>
    <s v="Current"/>
    <n v="0"/>
    <n v="0"/>
    <x v="2"/>
  </r>
  <r>
    <s v="LN-00366"/>
    <s v="BRW-0302"/>
    <d v="2024-06-28T00:00:00"/>
    <s v="Vacation"/>
    <n v="33100"/>
    <n v="36"/>
    <n v="12.62"/>
    <n v="1109.22"/>
    <n v="67.8"/>
    <s v="Default"/>
    <n v="75"/>
    <n v="1"/>
    <x v="1"/>
  </r>
  <r>
    <s v="LN-00367"/>
    <s v="BRW-0303"/>
    <d v="2024-04-07T00:00:00"/>
    <s v="Major Purchase"/>
    <n v="45700"/>
    <n v="24"/>
    <n v="9.33"/>
    <n v="2094.7199999999998"/>
    <n v="76"/>
    <s v="Late"/>
    <n v="15"/>
    <n v="0"/>
    <x v="1"/>
  </r>
  <r>
    <s v="LN-00368"/>
    <s v="BRW-0303"/>
    <d v="2024-03-09T00:00:00"/>
    <s v="Medical Expenses"/>
    <n v="32100"/>
    <n v="36"/>
    <n v="9.17"/>
    <n v="1023.31"/>
    <n v="63.2"/>
    <s v="Current"/>
    <n v="0"/>
    <n v="0"/>
    <x v="1"/>
  </r>
  <r>
    <s v="LN-00369"/>
    <s v="BRW-0304"/>
    <d v="2024-11-29T00:00:00"/>
    <s v="Moving"/>
    <n v="14600"/>
    <n v="12"/>
    <n v="8.36"/>
    <n v="1272.46"/>
    <n v="66.099999999999994"/>
    <s v="Current"/>
    <n v="0"/>
    <n v="0"/>
    <x v="1"/>
  </r>
  <r>
    <s v="LN-00370"/>
    <s v="BRW-0305"/>
    <d v="2025-02-12T00:00:00"/>
    <s v="Debt Consolidation"/>
    <n v="6200"/>
    <n v="48"/>
    <n v="7.94"/>
    <n v="151.19"/>
    <n v="50.7"/>
    <s v="Current"/>
    <n v="0"/>
    <n v="0"/>
    <x v="4"/>
  </r>
  <r>
    <s v="LN-00371"/>
    <s v="BRW-0306"/>
    <d v="2024-03-25T00:00:00"/>
    <s v="Medical Expenses"/>
    <n v="12300"/>
    <n v="48"/>
    <n v="9.32"/>
    <n v="307.95999999999998"/>
    <n v="34.200000000000003"/>
    <s v="Paid Off"/>
    <n v="0"/>
    <n v="0"/>
    <x v="1"/>
  </r>
  <r>
    <s v="LN-00372"/>
    <s v="BRW-0307"/>
    <d v="2024-06-30T00:00:00"/>
    <s v="Auto Loan"/>
    <n v="8800"/>
    <n v="12"/>
    <n v="13.28"/>
    <n v="787.15"/>
    <n v="48.2"/>
    <s v="Default"/>
    <n v="166"/>
    <n v="1"/>
    <x v="0"/>
  </r>
  <r>
    <s v="LN-00373"/>
    <s v="BRW-0308"/>
    <d v="2025-01-01T00:00:00"/>
    <s v="Medical Expenses"/>
    <n v="11000"/>
    <n v="36"/>
    <n v="7.78"/>
    <n v="343.58"/>
    <n v="45.1"/>
    <s v="Paid Off"/>
    <n v="0"/>
    <n v="0"/>
    <x v="4"/>
  </r>
  <r>
    <s v="LN-00374"/>
    <s v="BRW-0309"/>
    <d v="2024-04-15T00:00:00"/>
    <s v="Vacation"/>
    <n v="42200"/>
    <n v="60"/>
    <n v="13.39"/>
    <n v="968.63"/>
    <n v="69.7"/>
    <s v="Default"/>
    <n v="108"/>
    <n v="1"/>
    <x v="0"/>
  </r>
  <r>
    <s v="LN-00375"/>
    <s v="BRW-0310"/>
    <d v="2025-01-18T00:00:00"/>
    <s v="Wedding"/>
    <n v="13400"/>
    <n v="24"/>
    <n v="14.29"/>
    <n v="645.21"/>
    <n v="51.9"/>
    <s v="Current"/>
    <n v="0"/>
    <n v="0"/>
    <x v="1"/>
  </r>
  <r>
    <s v="LN-00376"/>
    <s v="BRW-0311"/>
    <d v="2024-04-08T00:00:00"/>
    <s v="Debt Consolidation"/>
    <n v="10100"/>
    <n v="12"/>
    <n v="9.89"/>
    <n v="887.43"/>
    <n v="67.099999999999994"/>
    <s v="Current"/>
    <n v="0"/>
    <n v="0"/>
    <x v="1"/>
  </r>
  <r>
    <s v="LN-00377"/>
    <s v="BRW-0312"/>
    <d v="2024-07-13T00:00:00"/>
    <s v="Major Purchase"/>
    <n v="23900"/>
    <n v="36"/>
    <n v="10.64"/>
    <n v="778.39"/>
    <n v="76.8"/>
    <s v="Late"/>
    <n v="15"/>
    <n v="0"/>
    <x v="1"/>
  </r>
  <r>
    <s v="LN-00378"/>
    <s v="BRW-0313"/>
    <d v="2024-11-19T00:00:00"/>
    <s v="Business Loan"/>
    <n v="8300"/>
    <n v="24"/>
    <n v="8.84"/>
    <n v="378.57"/>
    <n v="41"/>
    <s v="Default"/>
    <n v="84"/>
    <n v="1"/>
    <x v="1"/>
  </r>
  <r>
    <s v="LN-00379"/>
    <s v="BRW-0314"/>
    <d v="2024-03-09T00:00:00"/>
    <s v="Home Improvement"/>
    <n v="15400"/>
    <n v="60"/>
    <n v="8.19"/>
    <n v="313.66000000000003"/>
    <n v="20.9"/>
    <s v="Paid Off"/>
    <n v="0"/>
    <n v="0"/>
    <x v="4"/>
  </r>
  <r>
    <s v="LN-00380"/>
    <s v="BRW-0315"/>
    <d v="2024-04-07T00:00:00"/>
    <s v="Home Improvement"/>
    <n v="38100"/>
    <n v="60"/>
    <n v="9.17"/>
    <n v="794.04"/>
    <n v="64.5"/>
    <s v="Late"/>
    <n v="30"/>
    <n v="0"/>
    <x v="0"/>
  </r>
  <r>
    <s v="LN-00381"/>
    <s v="BRW-0316"/>
    <d v="2025-05-08T00:00:00"/>
    <s v="Medical Expenses"/>
    <n v="13700"/>
    <n v="36"/>
    <n v="15.64"/>
    <n v="479.22"/>
    <n v="36.200000000000003"/>
    <s v="Default"/>
    <n v="34"/>
    <n v="1"/>
    <x v="4"/>
  </r>
  <r>
    <s v="LN-00382"/>
    <s v="BRW-0317"/>
    <d v="2024-01-14T00:00:00"/>
    <s v="Wedding"/>
    <n v="26500"/>
    <n v="24"/>
    <n v="12.88"/>
    <n v="1258.3699999999999"/>
    <n v="30.3"/>
    <s v="Default"/>
    <n v="61"/>
    <n v="1"/>
    <x v="2"/>
  </r>
  <r>
    <s v="LN-00383"/>
    <s v="BRW-0318"/>
    <d v="2025-05-25T00:00:00"/>
    <s v="Major Purchase"/>
    <n v="21000"/>
    <n v="12"/>
    <n v="9.4499999999999993"/>
    <n v="1840.87"/>
    <n v="121.8"/>
    <s v="Current"/>
    <n v="0"/>
    <n v="0"/>
    <x v="0"/>
  </r>
  <r>
    <s v="LN-00384"/>
    <s v="BRW-0319"/>
    <d v="2024-11-21T00:00:00"/>
    <s v="Wedding"/>
    <n v="22800"/>
    <n v="36"/>
    <n v="10.199999999999999"/>
    <n v="737.83"/>
    <n v="37.200000000000003"/>
    <s v="Current"/>
    <n v="0"/>
    <n v="0"/>
    <x v="1"/>
  </r>
  <r>
    <s v="LN-00385"/>
    <s v="BRW-0320"/>
    <d v="2024-07-29T00:00:00"/>
    <s v="Auto Loan"/>
    <n v="13000"/>
    <n v="36"/>
    <n v="11.03"/>
    <n v="425.79"/>
    <n v="16.3"/>
    <s v="Late"/>
    <n v="15"/>
    <n v="0"/>
    <x v="1"/>
  </r>
  <r>
    <s v="LN-00386"/>
    <s v="BRW-0320"/>
    <d v="2025-01-25T00:00:00"/>
    <s v="Business Loan"/>
    <n v="35400"/>
    <n v="24"/>
    <n v="12.36"/>
    <n v="1672.36"/>
    <n v="36.299999999999997"/>
    <s v="Late"/>
    <n v="0"/>
    <n v="0"/>
    <x v="1"/>
  </r>
  <r>
    <s v="LN-00387"/>
    <s v="BRW-0321"/>
    <d v="2024-05-08T00:00:00"/>
    <s v="Vacation"/>
    <n v="5800"/>
    <n v="24"/>
    <n v="14.02"/>
    <n v="278.52999999999997"/>
    <n v="28.6"/>
    <s v="Default"/>
    <n v="170"/>
    <n v="1"/>
    <x v="0"/>
  </r>
  <r>
    <s v="LN-00388"/>
    <s v="BRW-0322"/>
    <d v="2024-07-21T00:00:00"/>
    <s v="Business Loan"/>
    <n v="4200"/>
    <n v="48"/>
    <n v="11.24"/>
    <n v="109.04"/>
    <n v="44.9"/>
    <s v="Default"/>
    <n v="75"/>
    <n v="1"/>
    <x v="1"/>
  </r>
  <r>
    <s v="LN-00389"/>
    <s v="BRW-0322"/>
    <d v="2024-07-25T00:00:00"/>
    <s v="Wedding"/>
    <n v="10200"/>
    <n v="48"/>
    <n v="14.52"/>
    <n v="281.39999999999998"/>
    <n v="49"/>
    <s v="Default"/>
    <n v="153"/>
    <n v="1"/>
    <x v="1"/>
  </r>
  <r>
    <s v="LN-00390"/>
    <s v="BRW-0323"/>
    <d v="2025-03-19T00:00:00"/>
    <s v="Education"/>
    <n v="8200"/>
    <n v="48"/>
    <n v="12.25"/>
    <n v="216.95"/>
    <n v="16.7"/>
    <s v="Paid Off"/>
    <n v="0"/>
    <n v="0"/>
    <x v="1"/>
  </r>
  <r>
    <s v="LN-00391"/>
    <s v="BRW-0324"/>
    <d v="2024-06-05T00:00:00"/>
    <s v="Major Purchase"/>
    <n v="4900"/>
    <n v="36"/>
    <n v="9.18"/>
    <n v="156.22999999999999"/>
    <n v="59"/>
    <s v="Current"/>
    <n v="0"/>
    <n v="0"/>
    <x v="3"/>
  </r>
  <r>
    <s v="LN-00392"/>
    <s v="BRW-0325"/>
    <d v="2025-04-25T00:00:00"/>
    <s v="Auto Loan"/>
    <n v="30600"/>
    <n v="12"/>
    <n v="9.93"/>
    <n v="2689.23"/>
    <n v="100.4"/>
    <s v="Default"/>
    <n v="78"/>
    <n v="1"/>
    <x v="1"/>
  </r>
  <r>
    <s v="LN-00393"/>
    <s v="BRW-0326"/>
    <d v="2025-02-08T00:00:00"/>
    <s v="Moving"/>
    <n v="20000"/>
    <n v="48"/>
    <n v="12.16"/>
    <n v="528.25"/>
    <n v="30.1"/>
    <s v="Current"/>
    <n v="0"/>
    <n v="0"/>
    <x v="1"/>
  </r>
  <r>
    <s v="LN-00394"/>
    <s v="BRW-0327"/>
    <d v="2024-06-15T00:00:00"/>
    <s v="Wedding"/>
    <n v="6100"/>
    <n v="12"/>
    <n v="10.74"/>
    <n v="538.39"/>
    <n v="47.2"/>
    <s v="Default"/>
    <n v="141"/>
    <n v="1"/>
    <x v="3"/>
  </r>
  <r>
    <s v="LN-00395"/>
    <s v="BRW-0328"/>
    <d v="2025-01-29T00:00:00"/>
    <s v="Education"/>
    <n v="24900"/>
    <n v="36"/>
    <n v="10.17"/>
    <n v="805.44"/>
    <n v="24"/>
    <s v="Current"/>
    <n v="0"/>
    <n v="0"/>
    <x v="1"/>
  </r>
  <r>
    <s v="LN-00396"/>
    <s v="BRW-0328"/>
    <d v="2024-05-31T00:00:00"/>
    <s v="Debt Consolidation"/>
    <n v="19300"/>
    <n v="12"/>
    <n v="10.17"/>
    <n v="1698.3"/>
    <n v="44"/>
    <s v="Late"/>
    <n v="0"/>
    <n v="0"/>
    <x v="1"/>
  </r>
  <r>
    <s v="LN-00397"/>
    <s v="BRW-0329"/>
    <d v="2024-04-04T00:00:00"/>
    <s v="Wedding"/>
    <n v="33800"/>
    <n v="24"/>
    <n v="6.85"/>
    <n v="1511.02"/>
    <n v="36.4"/>
    <s v="Late"/>
    <n v="15"/>
    <n v="0"/>
    <x v="1"/>
  </r>
  <r>
    <s v="LN-00398"/>
    <s v="BRW-0330"/>
    <d v="2025-03-13T00:00:00"/>
    <s v="Home Improvement"/>
    <n v="11100"/>
    <n v="48"/>
    <n v="9.5299999999999994"/>
    <n v="279.02999999999997"/>
    <n v="48.1"/>
    <s v="Default"/>
    <n v="107"/>
    <n v="1"/>
    <x v="1"/>
  </r>
  <r>
    <s v="LN-00399"/>
    <s v="BRW-0331"/>
    <d v="2024-04-01T00:00:00"/>
    <s v="Moving"/>
    <n v="20400"/>
    <n v="36"/>
    <n v="12.24"/>
    <n v="679.91"/>
    <n v="60.2"/>
    <s v="Default"/>
    <n v="176"/>
    <n v="1"/>
    <x v="1"/>
  </r>
  <r>
    <s v="LN-00400"/>
    <s v="BRW-0332"/>
    <d v="2025-02-11T00:00:00"/>
    <s v="Education"/>
    <n v="14900"/>
    <n v="24"/>
    <n v="14.15"/>
    <n v="716.45"/>
    <n v="32"/>
    <s v="Current"/>
    <n v="0"/>
    <n v="0"/>
    <x v="2"/>
  </r>
  <r>
    <s v="LN-00401"/>
    <s v="BRW-0333"/>
    <d v="2024-10-22T00:00:00"/>
    <s v="Home Improvement"/>
    <n v="15500"/>
    <n v="60"/>
    <n v="8.4499999999999993"/>
    <n v="317.63"/>
    <n v="52.3"/>
    <s v="Current"/>
    <n v="0"/>
    <n v="0"/>
    <x v="0"/>
  </r>
  <r>
    <s v="LN-00402"/>
    <s v="BRW-0334"/>
    <d v="2024-08-05T00:00:00"/>
    <s v="Business Loan"/>
    <n v="20100"/>
    <n v="12"/>
    <n v="12.95"/>
    <n v="1794.81"/>
    <n v="55.1"/>
    <s v="Default"/>
    <n v="45"/>
    <n v="1"/>
    <x v="1"/>
  </r>
  <r>
    <s v="LN-00403"/>
    <s v="BRW-0335"/>
    <d v="2024-04-21T00:00:00"/>
    <s v="Business Loan"/>
    <n v="34700"/>
    <n v="48"/>
    <n v="10.54"/>
    <n v="889.11"/>
    <n v="29.1"/>
    <s v="Current"/>
    <n v="0"/>
    <n v="0"/>
    <x v="1"/>
  </r>
  <r>
    <s v="LN-00404"/>
    <s v="BRW-0336"/>
    <d v="2024-04-13T00:00:00"/>
    <s v="Auto Loan"/>
    <n v="3400"/>
    <n v="24"/>
    <n v="10.039999999999999"/>
    <n v="156.96"/>
    <n v="13.2"/>
    <s v="Default"/>
    <n v="98"/>
    <n v="1"/>
    <x v="2"/>
  </r>
  <r>
    <s v="LN-00405"/>
    <s v="BRW-0337"/>
    <d v="2025-06-18T00:00:00"/>
    <s v="Debt Consolidation"/>
    <n v="39900"/>
    <n v="12"/>
    <n v="7.25"/>
    <n v="3457.02"/>
    <n v="77.599999999999994"/>
    <s v="Current"/>
    <n v="0"/>
    <n v="0"/>
    <x v="1"/>
  </r>
  <r>
    <s v="LN-00406"/>
    <s v="BRW-0338"/>
    <d v="2024-12-10T00:00:00"/>
    <s v="Auto Loan"/>
    <n v="24700"/>
    <n v="36"/>
    <n v="12.46"/>
    <n v="825.83"/>
    <n v="23.3"/>
    <s v="Late"/>
    <n v="15"/>
    <n v="0"/>
    <x v="1"/>
  </r>
  <r>
    <s v="LN-00407"/>
    <s v="BRW-0338"/>
    <d v="2024-12-30T00:00:00"/>
    <s v="Business Loan"/>
    <n v="33900"/>
    <n v="48"/>
    <n v="12.49"/>
    <n v="900.89"/>
    <n v="24.2"/>
    <s v="Current"/>
    <n v="0"/>
    <n v="0"/>
    <x v="1"/>
  </r>
  <r>
    <s v="LN-00408"/>
    <s v="BRW-0339"/>
    <d v="2024-05-05T00:00:00"/>
    <s v="Major Purchase"/>
    <n v="44600"/>
    <n v="24"/>
    <n v="6.46"/>
    <n v="1985.96"/>
    <n v="98.4"/>
    <s v="Late"/>
    <n v="0"/>
    <n v="0"/>
    <x v="4"/>
  </r>
  <r>
    <s v="LN-00409"/>
    <s v="BRW-0339"/>
    <d v="2024-07-11T00:00:00"/>
    <s v="Business Loan"/>
    <n v="25000"/>
    <n v="48"/>
    <n v="8.91"/>
    <n v="621.05999999999995"/>
    <n v="67.400000000000006"/>
    <s v="Default"/>
    <n v="112"/>
    <n v="1"/>
    <x v="4"/>
  </r>
  <r>
    <s v="LN-00410"/>
    <s v="BRW-0340"/>
    <d v="2024-08-27T00:00:00"/>
    <s v="Education"/>
    <n v="48500"/>
    <n v="36"/>
    <n v="11.66"/>
    <n v="1603.03"/>
    <n v="75.900000000000006"/>
    <s v="Late"/>
    <n v="0"/>
    <n v="0"/>
    <x v="1"/>
  </r>
  <r>
    <s v="LN-00411"/>
    <s v="BRW-0341"/>
    <d v="2024-04-12T00:00:00"/>
    <s v="Major Purchase"/>
    <n v="47200"/>
    <n v="48"/>
    <n v="13"/>
    <n v="1266.26"/>
    <n v="21.4"/>
    <s v="Current"/>
    <n v="0"/>
    <n v="0"/>
    <x v="0"/>
  </r>
  <r>
    <s v="LN-00412"/>
    <s v="BRW-0342"/>
    <d v="2025-05-24T00:00:00"/>
    <s v="Moving"/>
    <n v="39700"/>
    <n v="60"/>
    <n v="7.59"/>
    <n v="797.21"/>
    <n v="65.400000000000006"/>
    <s v="Late"/>
    <n v="0"/>
    <n v="0"/>
    <x v="0"/>
  </r>
  <r>
    <s v="LN-00413"/>
    <s v="BRW-0343"/>
    <d v="2024-09-03T00:00:00"/>
    <s v="Vacation"/>
    <n v="17000"/>
    <n v="12"/>
    <n v="8.58"/>
    <n v="1483.37"/>
    <n v="33.700000000000003"/>
    <s v="Paid Off"/>
    <n v="0"/>
    <n v="0"/>
    <x v="1"/>
  </r>
  <r>
    <s v="LN-00414"/>
    <s v="BRW-0344"/>
    <d v="2024-11-30T00:00:00"/>
    <s v="Home Improvement"/>
    <n v="36400"/>
    <n v="24"/>
    <n v="15.11"/>
    <n v="1766.82"/>
    <n v="37.6"/>
    <s v="Current"/>
    <n v="0"/>
    <n v="0"/>
    <x v="1"/>
  </r>
  <r>
    <s v="LN-00415"/>
    <s v="BRW-0345"/>
    <d v="2025-05-18T00:00:00"/>
    <s v="Vacation"/>
    <n v="34200"/>
    <n v="24"/>
    <n v="15.53"/>
    <n v="1666.87"/>
    <n v="73.900000000000006"/>
    <s v="Default"/>
    <n v="115"/>
    <n v="1"/>
    <x v="4"/>
  </r>
  <r>
    <s v="LN-00416"/>
    <s v="BRW-0346"/>
    <d v="2025-01-25T00:00:00"/>
    <s v="Wedding"/>
    <n v="22100"/>
    <n v="36"/>
    <n v="8.42"/>
    <n v="696.82"/>
    <n v="47.8"/>
    <s v="Paid Off"/>
    <n v="0"/>
    <n v="0"/>
    <x v="1"/>
  </r>
  <r>
    <s v="LN-00417"/>
    <s v="BRW-0346"/>
    <d v="2024-04-24T00:00:00"/>
    <s v="Major Purchase"/>
    <n v="9800"/>
    <n v="12"/>
    <n v="7.99"/>
    <n v="852.44"/>
    <n v="54.2"/>
    <s v="Default"/>
    <n v="78"/>
    <n v="1"/>
    <x v="1"/>
  </r>
  <r>
    <s v="LN-00418"/>
    <s v="BRW-0347"/>
    <d v="2024-01-02T00:00:00"/>
    <s v="Home Improvement"/>
    <n v="7000"/>
    <n v="36"/>
    <n v="11.75"/>
    <n v="231.67"/>
    <n v="26.4"/>
    <s v="Current"/>
    <n v="0"/>
    <n v="0"/>
    <x v="1"/>
  </r>
  <r>
    <s v="LN-00419"/>
    <s v="BRW-0348"/>
    <d v="2024-08-15T00:00:00"/>
    <s v="Major Purchase"/>
    <n v="12900"/>
    <n v="24"/>
    <n v="12.02"/>
    <n v="607.37"/>
    <n v="26.4"/>
    <s v="Default"/>
    <n v="32"/>
    <n v="1"/>
    <x v="1"/>
  </r>
  <r>
    <s v="LN-00420"/>
    <s v="BRW-0349"/>
    <d v="2025-05-26T00:00:00"/>
    <s v="Vacation"/>
    <n v="32200"/>
    <n v="36"/>
    <n v="10.02"/>
    <n v="1039.31"/>
    <n v="45.1"/>
    <s v="Current"/>
    <n v="0"/>
    <n v="0"/>
    <x v="2"/>
  </r>
  <r>
    <s v="LN-00421"/>
    <s v="BRW-0350"/>
    <d v="2025-05-04T00:00:00"/>
    <s v="Debt Consolidation"/>
    <n v="11300"/>
    <n v="12"/>
    <n v="10.33"/>
    <n v="995.18"/>
    <n v="47.5"/>
    <s v="Current"/>
    <n v="0"/>
    <n v="0"/>
    <x v="1"/>
  </r>
  <r>
    <s v="LN-00422"/>
    <s v="BRW-0351"/>
    <d v="2024-08-18T00:00:00"/>
    <s v="Debt Consolidation"/>
    <n v="18000"/>
    <n v="24"/>
    <n v="10.31"/>
    <n v="833.19"/>
    <n v="44.6"/>
    <s v="Paid Off"/>
    <n v="0"/>
    <n v="0"/>
    <x v="1"/>
  </r>
  <r>
    <s v="LN-00423"/>
    <s v="BRW-0351"/>
    <d v="2024-06-12T00:00:00"/>
    <s v="Medical Expenses"/>
    <n v="36900"/>
    <n v="36"/>
    <n v="10.99"/>
    <n v="1207.8800000000001"/>
    <n v="50.7"/>
    <s v="Current"/>
    <n v="0"/>
    <n v="0"/>
    <x v="1"/>
  </r>
  <r>
    <s v="LN-00424"/>
    <s v="BRW-0352"/>
    <d v="2024-10-16T00:00:00"/>
    <s v="Education"/>
    <n v="20800"/>
    <n v="60"/>
    <n v="12.8"/>
    <n v="471.14"/>
    <n v="52.9"/>
    <s v="Paid Off"/>
    <n v="0"/>
    <n v="0"/>
    <x v="4"/>
  </r>
  <r>
    <s v="LN-00425"/>
    <s v="BRW-0353"/>
    <d v="2024-11-07T00:00:00"/>
    <s v="Medical Expenses"/>
    <n v="40000"/>
    <n v="12"/>
    <n v="10.08"/>
    <n v="3518.12"/>
    <n v="107.2"/>
    <s v="Current"/>
    <n v="0"/>
    <n v="0"/>
    <x v="1"/>
  </r>
  <r>
    <s v="LN-00426"/>
    <s v="BRW-0354"/>
    <d v="2024-01-10T00:00:00"/>
    <s v="Auto Loan"/>
    <n v="12100"/>
    <n v="24"/>
    <n v="11.16"/>
    <n v="564.85"/>
    <n v="54.6"/>
    <s v="Late"/>
    <n v="15"/>
    <n v="0"/>
    <x v="2"/>
  </r>
  <r>
    <s v="LN-00427"/>
    <s v="BRW-0355"/>
    <d v="2024-04-08T00:00:00"/>
    <s v="Medical Expenses"/>
    <n v="49200"/>
    <n v="24"/>
    <n v="14.9"/>
    <n v="2383.21"/>
    <n v="69.400000000000006"/>
    <s v="Default"/>
    <n v="151"/>
    <n v="1"/>
    <x v="1"/>
  </r>
  <r>
    <s v="LN-00428"/>
    <s v="BRW-0356"/>
    <d v="2024-06-01T00:00:00"/>
    <s v="Debt Consolidation"/>
    <n v="21600"/>
    <n v="36"/>
    <n v="8.8000000000000007"/>
    <n v="684.87"/>
    <n v="21.5"/>
    <s v="Current"/>
    <n v="0"/>
    <n v="0"/>
    <x v="2"/>
  </r>
  <r>
    <s v="LN-00429"/>
    <s v="BRW-0357"/>
    <d v="2025-01-19T00:00:00"/>
    <s v="Vacation"/>
    <n v="12000"/>
    <n v="24"/>
    <n v="13.61"/>
    <n v="573.95000000000005"/>
    <n v="46.6"/>
    <s v="Late"/>
    <n v="30"/>
    <n v="0"/>
    <x v="4"/>
  </r>
  <r>
    <s v="LN-00430"/>
    <s v="BRW-0358"/>
    <d v="2025-03-31T00:00:00"/>
    <s v="Vacation"/>
    <n v="33200"/>
    <n v="36"/>
    <n v="10.3"/>
    <n v="1075.95"/>
    <n v="58.6"/>
    <s v="Current"/>
    <n v="0"/>
    <n v="0"/>
    <x v="0"/>
  </r>
  <r>
    <s v="LN-00431"/>
    <s v="BRW-0359"/>
    <d v="2024-04-06T00:00:00"/>
    <s v="Moving"/>
    <n v="30200"/>
    <n v="60"/>
    <n v="11.38"/>
    <n v="662.36"/>
    <n v="31.8"/>
    <s v="Current"/>
    <n v="0"/>
    <n v="0"/>
    <x v="1"/>
  </r>
  <r>
    <s v="LN-00432"/>
    <s v="BRW-0360"/>
    <d v="2024-07-08T00:00:00"/>
    <s v="Major Purchase"/>
    <n v="8000"/>
    <n v="36"/>
    <n v="7.22"/>
    <n v="247.82"/>
    <n v="23.8"/>
    <s v="Current"/>
    <n v="0"/>
    <n v="0"/>
    <x v="1"/>
  </r>
  <r>
    <s v="LN-00433"/>
    <s v="BRW-0361"/>
    <d v="2024-05-07T00:00:00"/>
    <s v="Moving"/>
    <n v="26900"/>
    <n v="60"/>
    <n v="8.5299999999999994"/>
    <n v="552.28"/>
    <n v="51.9"/>
    <s v="Late"/>
    <n v="0"/>
    <n v="0"/>
    <x v="1"/>
  </r>
  <r>
    <s v="LN-00434"/>
    <s v="BRW-0361"/>
    <d v="2025-04-02T00:00:00"/>
    <s v="Home Improvement"/>
    <n v="30800"/>
    <n v="24"/>
    <n v="5.86"/>
    <n v="1363.13"/>
    <n v="60.2"/>
    <s v="Current"/>
    <n v="0"/>
    <n v="0"/>
    <x v="1"/>
  </r>
  <r>
    <s v="LN-00435"/>
    <s v="BRW-0362"/>
    <d v="2024-05-07T00:00:00"/>
    <s v="Medical Expenses"/>
    <n v="14300"/>
    <n v="12"/>
    <n v="6.87"/>
    <n v="1236.48"/>
    <n v="23.6"/>
    <s v="Current"/>
    <n v="0"/>
    <n v="0"/>
    <x v="2"/>
  </r>
  <r>
    <s v="LN-00436"/>
    <s v="BRW-0363"/>
    <d v="2024-10-27T00:00:00"/>
    <s v="Debt Consolidation"/>
    <n v="3900"/>
    <n v="60"/>
    <n v="13.91"/>
    <n v="90.56"/>
    <n v="24.5"/>
    <s v="Current"/>
    <n v="0"/>
    <n v="0"/>
    <x v="1"/>
  </r>
  <r>
    <s v="LN-00437"/>
    <s v="BRW-0364"/>
    <d v="2024-08-02T00:00:00"/>
    <s v="Moving"/>
    <n v="49800"/>
    <n v="60"/>
    <n v="8.52"/>
    <n v="1022.2"/>
    <n v="52.7"/>
    <s v="Current"/>
    <n v="0"/>
    <n v="0"/>
    <x v="2"/>
  </r>
  <r>
    <s v="LN-00438"/>
    <s v="BRW-0365"/>
    <d v="2024-08-09T00:00:00"/>
    <s v="Medical Expenses"/>
    <n v="24000"/>
    <n v="24"/>
    <n v="11.19"/>
    <n v="1120.71"/>
    <n v="77.8"/>
    <s v="Paid Off"/>
    <n v="0"/>
    <n v="0"/>
    <x v="2"/>
  </r>
  <r>
    <s v="LN-00439"/>
    <s v="BRW-0366"/>
    <d v="2024-03-26T00:00:00"/>
    <s v="Moving"/>
    <n v="9800"/>
    <n v="24"/>
    <n v="8.3800000000000008"/>
    <n v="444.93"/>
    <n v="29.8"/>
    <s v="Paid Off"/>
    <n v="0"/>
    <n v="0"/>
    <x v="1"/>
  </r>
  <r>
    <s v="LN-00440"/>
    <s v="BRW-0367"/>
    <d v="2025-06-07T00:00:00"/>
    <s v="Business Loan"/>
    <n v="26000"/>
    <n v="24"/>
    <n v="14.51"/>
    <n v="1254.6099999999999"/>
    <n v="61.7"/>
    <s v="Current"/>
    <n v="0"/>
    <n v="0"/>
    <x v="1"/>
  </r>
  <r>
    <s v="LN-00441"/>
    <s v="BRW-0368"/>
    <d v="2024-05-07T00:00:00"/>
    <s v="Major Purchase"/>
    <n v="31700"/>
    <n v="24"/>
    <n v="6.22"/>
    <n v="1408.11"/>
    <n v="66.8"/>
    <s v="Current"/>
    <n v="0"/>
    <n v="0"/>
    <x v="2"/>
  </r>
  <r>
    <s v="LN-00442"/>
    <s v="BRW-0368"/>
    <d v="2024-05-29T00:00:00"/>
    <s v="Education"/>
    <n v="18100"/>
    <n v="36"/>
    <n v="9.7200000000000006"/>
    <n v="581.66"/>
    <n v="44"/>
    <s v="Current"/>
    <n v="0"/>
    <n v="0"/>
    <x v="2"/>
  </r>
  <r>
    <s v="LN-00443"/>
    <s v="BRW-0369"/>
    <d v="2024-11-09T00:00:00"/>
    <s v="Business Loan"/>
    <n v="7000"/>
    <n v="12"/>
    <n v="8.5"/>
    <n v="610.54"/>
    <n v="54.8"/>
    <s v="Current"/>
    <n v="0"/>
    <n v="0"/>
    <x v="0"/>
  </r>
  <r>
    <s v="LN-00444"/>
    <s v="BRW-0370"/>
    <d v="2024-02-19T00:00:00"/>
    <s v="Wedding"/>
    <n v="25100"/>
    <n v="60"/>
    <n v="10.83"/>
    <n v="543.61"/>
    <n v="68"/>
    <s v="Default"/>
    <n v="129"/>
    <n v="1"/>
    <x v="3"/>
  </r>
  <r>
    <s v="LN-00445"/>
    <s v="BRW-0371"/>
    <d v="2024-05-10T00:00:00"/>
    <s v="Moving"/>
    <n v="42100"/>
    <n v="48"/>
    <n v="11.95"/>
    <n v="1107.6199999999999"/>
    <n v="72.2"/>
    <s v="Default"/>
    <n v="161"/>
    <n v="1"/>
    <x v="4"/>
  </r>
  <r>
    <s v="LN-00446"/>
    <s v="BRW-0372"/>
    <d v="2025-01-14T00:00:00"/>
    <s v="Medical Expenses"/>
    <n v="14100"/>
    <n v="36"/>
    <n v="11.21"/>
    <n v="463.02"/>
    <n v="36.4"/>
    <s v="Late"/>
    <n v="0"/>
    <n v="0"/>
    <x v="1"/>
  </r>
  <r>
    <s v="LN-00447"/>
    <s v="BRW-0373"/>
    <d v="2024-10-09T00:00:00"/>
    <s v="Medical Expenses"/>
    <n v="17600"/>
    <n v="48"/>
    <n v="10.76"/>
    <n v="452.83"/>
    <n v="60.1"/>
    <s v="Paid Off"/>
    <n v="0"/>
    <n v="0"/>
    <x v="4"/>
  </r>
  <r>
    <s v="LN-00448"/>
    <s v="BRW-0374"/>
    <d v="2024-11-16T00:00:00"/>
    <s v="Business Loan"/>
    <n v="29700"/>
    <n v="36"/>
    <n v="8.4499999999999993"/>
    <n v="936.87"/>
    <n v="39.799999999999997"/>
    <s v="Current"/>
    <n v="0"/>
    <n v="0"/>
    <x v="1"/>
  </r>
  <r>
    <s v="LN-00449"/>
    <s v="BRW-0374"/>
    <d v="2024-10-19T00:00:00"/>
    <s v="Business Loan"/>
    <n v="9900"/>
    <n v="12"/>
    <n v="6.84"/>
    <n v="855.88"/>
    <n v="37.9"/>
    <s v="Paid Off"/>
    <n v="0"/>
    <n v="0"/>
    <x v="1"/>
  </r>
  <r>
    <s v="LN-00450"/>
    <s v="BRW-0375"/>
    <d v="2025-06-11T00:00:00"/>
    <s v="Major Purchase"/>
    <n v="46800"/>
    <n v="24"/>
    <n v="10.46"/>
    <n v="2169.5300000000002"/>
    <n v="43.4"/>
    <s v="Current"/>
    <n v="0"/>
    <n v="0"/>
    <x v="1"/>
  </r>
  <r>
    <s v="LN-00451"/>
    <s v="BRW-0375"/>
    <d v="2024-12-19T00:00:00"/>
    <s v="Home Improvement"/>
    <n v="31600"/>
    <n v="12"/>
    <n v="11.64"/>
    <n v="2802.3"/>
    <n v="50.1"/>
    <s v="Paid Off"/>
    <n v="0"/>
    <n v="0"/>
    <x v="1"/>
  </r>
  <r>
    <s v="LN-00452"/>
    <s v="BRW-0376"/>
    <d v="2025-06-20T00:00:00"/>
    <s v="Moving"/>
    <n v="3700"/>
    <n v="48"/>
    <n v="15.07"/>
    <n v="103.11"/>
    <n v="55.4"/>
    <s v="Current"/>
    <n v="0"/>
    <n v="0"/>
    <x v="3"/>
  </r>
  <r>
    <s v="LN-00453"/>
    <s v="BRW-0376"/>
    <d v="2024-06-23T00:00:00"/>
    <s v="Medical Expenses"/>
    <n v="33800"/>
    <n v="48"/>
    <n v="12.73"/>
    <n v="902.25"/>
    <n v="80.2"/>
    <s v="Default"/>
    <n v="58"/>
    <n v="1"/>
    <x v="3"/>
  </r>
  <r>
    <s v="LN-00454"/>
    <s v="BRW-0377"/>
    <d v="2025-05-09T00:00:00"/>
    <s v="Business Loan"/>
    <n v="42800"/>
    <n v="12"/>
    <n v="9.3699999999999992"/>
    <n v="3750.27"/>
    <n v="105.8"/>
    <s v="Paid Off"/>
    <n v="0"/>
    <n v="0"/>
    <x v="1"/>
  </r>
  <r>
    <s v="LN-00455"/>
    <s v="BRW-0378"/>
    <d v="2024-02-06T00:00:00"/>
    <s v="Business Loan"/>
    <n v="46600"/>
    <n v="60"/>
    <n v="11.4"/>
    <n v="1022.52"/>
    <n v="38"/>
    <s v="Late"/>
    <n v="15"/>
    <n v="0"/>
    <x v="4"/>
  </r>
  <r>
    <s v="LN-00456"/>
    <s v="BRW-0379"/>
    <d v="2024-12-24T00:00:00"/>
    <s v="Debt Consolidation"/>
    <n v="17800"/>
    <n v="36"/>
    <n v="11.5"/>
    <n v="586.97"/>
    <n v="42.5"/>
    <s v="Current"/>
    <n v="0"/>
    <n v="0"/>
    <x v="1"/>
  </r>
  <r>
    <s v="LN-00457"/>
    <s v="BRW-0380"/>
    <d v="2025-05-14T00:00:00"/>
    <s v="Vacation"/>
    <n v="14100"/>
    <n v="24"/>
    <n v="7.99"/>
    <n v="637.64"/>
    <n v="45.4"/>
    <s v="Default"/>
    <n v="94"/>
    <n v="1"/>
    <x v="0"/>
  </r>
  <r>
    <s v="LN-00458"/>
    <s v="BRW-0381"/>
    <d v="2024-10-02T00:00:00"/>
    <s v="Major Purchase"/>
    <n v="11000"/>
    <n v="24"/>
    <n v="13.82"/>
    <n v="527.21"/>
    <n v="56.6"/>
    <s v="Default"/>
    <n v="142"/>
    <n v="1"/>
    <x v="1"/>
  </r>
  <r>
    <s v="LN-00459"/>
    <s v="BRW-0382"/>
    <d v="2024-07-22T00:00:00"/>
    <s v="Vacation"/>
    <n v="19000"/>
    <n v="48"/>
    <n v="8.2100000000000009"/>
    <n v="465.72"/>
    <n v="17.600000000000001"/>
    <s v="Current"/>
    <n v="0"/>
    <n v="0"/>
    <x v="1"/>
  </r>
  <r>
    <s v="LN-00460"/>
    <s v="BRW-0383"/>
    <d v="2024-09-29T00:00:00"/>
    <s v="Education"/>
    <n v="9700"/>
    <n v="24"/>
    <n v="10.74"/>
    <n v="450.93"/>
    <n v="20.3"/>
    <s v="Current"/>
    <n v="0"/>
    <n v="0"/>
    <x v="1"/>
  </r>
  <r>
    <s v="LN-00461"/>
    <s v="BRW-0384"/>
    <d v="2025-02-02T00:00:00"/>
    <s v="Medical Expenses"/>
    <n v="38700"/>
    <n v="48"/>
    <n v="9.99"/>
    <n v="981.35"/>
    <n v="27.2"/>
    <s v="Late"/>
    <n v="30"/>
    <n v="0"/>
    <x v="1"/>
  </r>
  <r>
    <s v="LN-00462"/>
    <s v="BRW-0385"/>
    <d v="2024-12-16T00:00:00"/>
    <s v="Education"/>
    <n v="38800"/>
    <n v="24"/>
    <n v="11.03"/>
    <n v="1808.92"/>
    <n v="70.099999999999994"/>
    <s v="Default"/>
    <n v="32"/>
    <n v="1"/>
    <x v="1"/>
  </r>
  <r>
    <s v="LN-00463"/>
    <s v="BRW-0386"/>
    <d v="2024-06-05T00:00:00"/>
    <s v="Auto Loan"/>
    <n v="6000"/>
    <n v="48"/>
    <n v="11.91"/>
    <n v="157.74"/>
    <n v="12.6"/>
    <s v="Current"/>
    <n v="0"/>
    <n v="0"/>
    <x v="0"/>
  </r>
  <r>
    <s v="LN-00464"/>
    <s v="BRW-0387"/>
    <d v="2024-04-15T00:00:00"/>
    <s v="Auto Loan"/>
    <n v="13900"/>
    <n v="48"/>
    <n v="6.83"/>
    <n v="331.76"/>
    <n v="35.700000000000003"/>
    <s v="Current"/>
    <n v="0"/>
    <n v="0"/>
    <x v="1"/>
  </r>
  <r>
    <s v="LN-00465"/>
    <s v="BRW-0388"/>
    <d v="2024-02-09T00:00:00"/>
    <s v="Wedding"/>
    <n v="9100"/>
    <n v="12"/>
    <n v="10.78"/>
    <n v="803.34"/>
    <n v="54.5"/>
    <s v="Default"/>
    <n v="79"/>
    <n v="1"/>
    <x v="1"/>
  </r>
  <r>
    <s v="LN-00466"/>
    <s v="BRW-0388"/>
    <d v="2025-01-24T00:00:00"/>
    <s v="Medical Expenses"/>
    <n v="31600"/>
    <n v="12"/>
    <n v="14.44"/>
    <n v="2843.82"/>
    <n v="80.7"/>
    <s v="Default"/>
    <n v="108"/>
    <n v="1"/>
    <x v="1"/>
  </r>
  <r>
    <s v="LN-00467"/>
    <s v="BRW-0389"/>
    <d v="2024-02-22T00:00:00"/>
    <s v="Business Loan"/>
    <n v="8800"/>
    <n v="12"/>
    <n v="9.35"/>
    <n v="771"/>
    <n v="36.200000000000003"/>
    <s v="Current"/>
    <n v="0"/>
    <n v="0"/>
    <x v="1"/>
  </r>
  <r>
    <s v="LN-00468"/>
    <s v="BRW-0390"/>
    <d v="2024-02-23T00:00:00"/>
    <s v="Major Purchase"/>
    <n v="45000"/>
    <n v="24"/>
    <n v="9.1999999999999993"/>
    <n v="2059.9499999999998"/>
    <n v="72.5"/>
    <s v="Current"/>
    <n v="0"/>
    <n v="0"/>
    <x v="0"/>
  </r>
  <r>
    <s v="LN-00469"/>
    <s v="BRW-0391"/>
    <d v="2024-11-07T00:00:00"/>
    <s v="Wedding"/>
    <n v="5800"/>
    <n v="48"/>
    <n v="12.35"/>
    <n v="153.72999999999999"/>
    <n v="57.8"/>
    <s v="Default"/>
    <n v="33"/>
    <n v="1"/>
    <x v="4"/>
  </r>
  <r>
    <s v="LN-00470"/>
    <s v="BRW-0392"/>
    <d v="2025-06-25T00:00:00"/>
    <s v="Medical Expenses"/>
    <n v="35100"/>
    <n v="36"/>
    <n v="14.46"/>
    <n v="1207.49"/>
    <n v="63.5"/>
    <s v="Current"/>
    <n v="0"/>
    <n v="0"/>
    <x v="1"/>
  </r>
  <r>
    <s v="LN-00471"/>
    <s v="BRW-0393"/>
    <d v="2024-07-14T00:00:00"/>
    <s v="Home Improvement"/>
    <n v="8300"/>
    <n v="60"/>
    <n v="10.6"/>
    <n v="178.81"/>
    <n v="40"/>
    <s v="Default"/>
    <n v="144"/>
    <n v="1"/>
    <x v="2"/>
  </r>
  <r>
    <s v="LN-00472"/>
    <s v="BRW-0394"/>
    <d v="2024-07-25T00:00:00"/>
    <s v="Home Improvement"/>
    <n v="26300"/>
    <n v="36"/>
    <n v="11.46"/>
    <n v="866.77"/>
    <n v="75.599999999999994"/>
    <s v="Current"/>
    <n v="0"/>
    <n v="0"/>
    <x v="2"/>
  </r>
  <r>
    <s v="LN-00473"/>
    <s v="BRW-0394"/>
    <d v="2025-01-09T00:00:00"/>
    <s v="Major Purchase"/>
    <n v="8500"/>
    <n v="60"/>
    <n v="12.71"/>
    <n v="192.14"/>
    <n v="47.5"/>
    <s v="Paid Off"/>
    <n v="0"/>
    <n v="0"/>
    <x v="2"/>
  </r>
  <r>
    <s v="LN-00474"/>
    <s v="BRW-0395"/>
    <d v="2024-10-07T00:00:00"/>
    <s v="Major Purchase"/>
    <n v="47700"/>
    <n v="12"/>
    <n v="10.97"/>
    <n v="4215.1400000000003"/>
    <n v="122"/>
    <s v="Current"/>
    <n v="0"/>
    <n v="0"/>
    <x v="3"/>
  </r>
  <r>
    <s v="LN-00475"/>
    <s v="BRW-0396"/>
    <d v="2024-03-17T00:00:00"/>
    <s v="Business Loan"/>
    <n v="21100"/>
    <n v="60"/>
    <n v="11.78"/>
    <n v="467.02"/>
    <n v="17.5"/>
    <s v="Current"/>
    <n v="0"/>
    <n v="0"/>
    <x v="3"/>
  </r>
  <r>
    <s v="LN-00476"/>
    <s v="BRW-0397"/>
    <d v="2024-08-11T00:00:00"/>
    <s v="Major Purchase"/>
    <n v="11900"/>
    <n v="12"/>
    <n v="7.52"/>
    <n v="1032.52"/>
    <n v="17.600000000000001"/>
    <s v="Paid Off"/>
    <n v="0"/>
    <n v="0"/>
    <x v="0"/>
  </r>
  <r>
    <s v="LN-00477"/>
    <s v="BRW-0398"/>
    <d v="2024-10-30T00:00:00"/>
    <s v="Moving"/>
    <n v="27200"/>
    <n v="36"/>
    <n v="10.43"/>
    <n v="883.17"/>
    <n v="48.4"/>
    <s v="Current"/>
    <n v="0"/>
    <n v="0"/>
    <x v="0"/>
  </r>
  <r>
    <s v="LN-00478"/>
    <s v="BRW-0399"/>
    <d v="2024-10-03T00:00:00"/>
    <s v="Business Loan"/>
    <n v="32700"/>
    <n v="36"/>
    <n v="13.44"/>
    <n v="1108.74"/>
    <n v="24.4"/>
    <s v="Paid Off"/>
    <n v="0"/>
    <n v="0"/>
    <x v="1"/>
  </r>
  <r>
    <s v="LN-00479"/>
    <s v="BRW-0400"/>
    <d v="2025-01-12T00:00:00"/>
    <s v="Business Loan"/>
    <n v="2000"/>
    <n v="36"/>
    <n v="13.08"/>
    <n v="67.459999999999994"/>
    <n v="15.9"/>
    <s v="Late"/>
    <n v="15"/>
    <n v="0"/>
    <x v="3"/>
  </r>
  <r>
    <s v="LN-00480"/>
    <s v="BRW-0400"/>
    <d v="2024-02-28T00:00:00"/>
    <s v="Auto Loan"/>
    <n v="15700"/>
    <n v="60"/>
    <n v="11.39"/>
    <n v="344.42"/>
    <n v="26.8"/>
    <s v="Current"/>
    <n v="0"/>
    <n v="0"/>
    <x v="3"/>
  </r>
  <r>
    <s v="LN-00481"/>
    <s v="BRW-0401"/>
    <d v="2024-04-18T00:00:00"/>
    <s v="Auto Loan"/>
    <n v="21100"/>
    <n v="60"/>
    <n v="10.14"/>
    <n v="449.77"/>
    <n v="29.5"/>
    <s v="Paid Off"/>
    <n v="0"/>
    <n v="0"/>
    <x v="1"/>
  </r>
  <r>
    <s v="LN-00482"/>
    <s v="BRW-0402"/>
    <d v="2024-07-27T00:00:00"/>
    <s v="Wedding"/>
    <n v="20300"/>
    <n v="24"/>
    <n v="8.6199999999999992"/>
    <n v="923.86"/>
    <n v="49.5"/>
    <s v="Paid Off"/>
    <n v="0"/>
    <n v="0"/>
    <x v="3"/>
  </r>
  <r>
    <s v="LN-00483"/>
    <s v="BRW-0403"/>
    <d v="2024-04-05T00:00:00"/>
    <s v="Business Loan"/>
    <n v="12500"/>
    <n v="24"/>
    <n v="14.99"/>
    <n v="606.02"/>
    <n v="82"/>
    <s v="Default"/>
    <n v="147"/>
    <n v="1"/>
    <x v="3"/>
  </r>
  <r>
    <s v="LN-00484"/>
    <s v="BRW-0404"/>
    <d v="2024-01-22T00:00:00"/>
    <s v="Medical Expenses"/>
    <n v="20000"/>
    <n v="24"/>
    <n v="11.22"/>
    <n v="934.2"/>
    <n v="48.3"/>
    <s v="Late"/>
    <n v="15"/>
    <n v="0"/>
    <x v="0"/>
  </r>
  <r>
    <s v="LN-00485"/>
    <s v="BRW-0405"/>
    <d v="2025-02-16T00:00:00"/>
    <s v="Business Loan"/>
    <n v="3600"/>
    <n v="24"/>
    <n v="9.51"/>
    <n v="165.31"/>
    <n v="25.2"/>
    <s v="Paid Off"/>
    <n v="0"/>
    <n v="0"/>
    <x v="0"/>
  </r>
  <r>
    <s v="LN-00486"/>
    <s v="BRW-0406"/>
    <d v="2024-02-14T00:00:00"/>
    <s v="Wedding"/>
    <n v="20400"/>
    <n v="12"/>
    <n v="14.07"/>
    <n v="1832.33"/>
    <n v="59"/>
    <s v="Default"/>
    <n v="51"/>
    <n v="1"/>
    <x v="1"/>
  </r>
  <r>
    <s v="LN-00487"/>
    <s v="BRW-0406"/>
    <d v="2024-01-10T00:00:00"/>
    <s v="Auto Loan"/>
    <n v="32100"/>
    <n v="12"/>
    <n v="13.9"/>
    <n v="2880.66"/>
    <n v="69.400000000000006"/>
    <s v="Paid Off"/>
    <n v="0"/>
    <n v="0"/>
    <x v="1"/>
  </r>
  <r>
    <s v="LN-00488"/>
    <s v="BRW-0407"/>
    <d v="2024-06-16T00:00:00"/>
    <s v="Home Improvement"/>
    <n v="14900"/>
    <n v="60"/>
    <n v="14.61"/>
    <n v="351.43"/>
    <n v="48.8"/>
    <s v="Default"/>
    <n v="152"/>
    <n v="1"/>
    <x v="1"/>
  </r>
  <r>
    <s v="LN-00489"/>
    <s v="BRW-0408"/>
    <d v="2024-02-15T00:00:00"/>
    <s v="Debt Consolidation"/>
    <n v="14800"/>
    <n v="60"/>
    <n v="6.52"/>
    <n v="289.72000000000003"/>
    <n v="37.6"/>
    <s v="Default"/>
    <n v="105"/>
    <n v="1"/>
    <x v="1"/>
  </r>
  <r>
    <s v="LN-00490"/>
    <s v="BRW-0409"/>
    <d v="2025-01-29T00:00:00"/>
    <s v="Major Purchase"/>
    <n v="17800"/>
    <n v="12"/>
    <n v="11.9"/>
    <n v="1580.68"/>
    <n v="90.2"/>
    <s v="Default"/>
    <n v="103"/>
    <n v="1"/>
    <x v="1"/>
  </r>
  <r>
    <s v="LN-00491"/>
    <s v="BRW-0410"/>
    <d v="2024-04-22T00:00:00"/>
    <s v="Major Purchase"/>
    <n v="36300"/>
    <n v="12"/>
    <n v="12.58"/>
    <n v="3235.07"/>
    <n v="72.099999999999994"/>
    <s v="Default"/>
    <n v="102"/>
    <n v="1"/>
    <x v="1"/>
  </r>
  <r>
    <s v="LN-00492"/>
    <s v="BRW-0411"/>
    <d v="2024-06-03T00:00:00"/>
    <s v="Wedding"/>
    <n v="13100"/>
    <n v="12"/>
    <n v="13.53"/>
    <n v="1173.32"/>
    <n v="57.8"/>
    <s v="Default"/>
    <n v="165"/>
    <n v="1"/>
    <x v="3"/>
  </r>
  <r>
    <s v="LN-00493"/>
    <s v="BRW-0412"/>
    <d v="2024-10-20T00:00:00"/>
    <s v="Medical Expenses"/>
    <n v="6600"/>
    <n v="36"/>
    <n v="10.01"/>
    <n v="212.99"/>
    <n v="49.3"/>
    <s v="Paid Off"/>
    <n v="0"/>
    <n v="0"/>
    <x v="3"/>
  </r>
  <r>
    <s v="LN-00494"/>
    <s v="BRW-0413"/>
    <d v="2024-06-01T00:00:00"/>
    <s v="Auto Loan"/>
    <n v="36100"/>
    <n v="12"/>
    <n v="12.48"/>
    <n v="3215.55"/>
    <n v="85.5"/>
    <s v="Current"/>
    <n v="0"/>
    <n v="0"/>
    <x v="1"/>
  </r>
  <r>
    <s v="LN-00495"/>
    <s v="BRW-0414"/>
    <d v="2024-10-12T00:00:00"/>
    <s v="Vacation"/>
    <n v="7400"/>
    <n v="48"/>
    <n v="14.9"/>
    <n v="205.57"/>
    <n v="56.2"/>
    <s v="Default"/>
    <n v="112"/>
    <n v="1"/>
    <x v="0"/>
  </r>
  <r>
    <s v="LN-00496"/>
    <s v="BRW-0415"/>
    <d v="2025-02-27T00:00:00"/>
    <s v="Medical Expenses"/>
    <n v="18900"/>
    <n v="48"/>
    <n v="10.69"/>
    <n v="485.64"/>
    <n v="30.2"/>
    <s v="Current"/>
    <n v="0"/>
    <n v="0"/>
    <x v="0"/>
  </r>
  <r>
    <s v="LN-00497"/>
    <s v="BRW-0415"/>
    <d v="2025-06-29T00:00:00"/>
    <s v="Business Loan"/>
    <n v="28400"/>
    <n v="60"/>
    <n v="11.24"/>
    <n v="620.89"/>
    <n v="31.9"/>
    <s v="Current"/>
    <n v="0"/>
    <n v="0"/>
    <x v="0"/>
  </r>
  <r>
    <s v="LN-00498"/>
    <s v="BRW-0416"/>
    <d v="2024-08-28T00:00:00"/>
    <s v="Moving"/>
    <n v="35300"/>
    <n v="24"/>
    <n v="13.15"/>
    <n v="1680.71"/>
    <n v="62.3"/>
    <s v="Paid Off"/>
    <n v="0"/>
    <n v="0"/>
    <x v="1"/>
  </r>
  <r>
    <s v="LN-00499"/>
    <s v="BRW-0417"/>
    <d v="2025-01-04T00:00:00"/>
    <s v="Vacation"/>
    <n v="46200"/>
    <n v="12"/>
    <n v="11.87"/>
    <n v="4102"/>
    <n v="155.30000000000001"/>
    <s v="Late"/>
    <n v="15"/>
    <n v="0"/>
    <x v="1"/>
  </r>
  <r>
    <s v="LN-00500"/>
    <s v="BRW-0418"/>
    <d v="2024-08-17T00:00:00"/>
    <s v="Medical Expenses"/>
    <n v="28500"/>
    <n v="48"/>
    <n v="9.76"/>
    <n v="719.55"/>
    <n v="53.9"/>
    <s v="Default"/>
    <n v="65"/>
    <n v="1"/>
    <x v="1"/>
  </r>
  <r>
    <s v="LN-00501"/>
    <s v="BRW-0419"/>
    <d v="2024-04-18T00:00:00"/>
    <s v="Medical Expenses"/>
    <n v="2300"/>
    <n v="48"/>
    <n v="11.06"/>
    <n v="59.51"/>
    <n v="31.5"/>
    <s v="Paid Off"/>
    <n v="0"/>
    <n v="0"/>
    <x v="3"/>
  </r>
  <r>
    <s v="LN-00502"/>
    <s v="BRW-0420"/>
    <d v="2025-03-02T00:00:00"/>
    <s v="Debt Consolidation"/>
    <n v="8800"/>
    <n v="24"/>
    <n v="6.29"/>
    <n v="391.17"/>
    <n v="18.100000000000001"/>
    <s v="Paid Off"/>
    <n v="0"/>
    <n v="0"/>
    <x v="0"/>
  </r>
  <r>
    <s v="LN-00503"/>
    <s v="BRW-0420"/>
    <d v="2025-03-30T00:00:00"/>
    <s v="Moving"/>
    <n v="16400"/>
    <n v="48"/>
    <n v="9.51"/>
    <n v="412.1"/>
    <n v="18.399999999999999"/>
    <s v="Current"/>
    <n v="0"/>
    <n v="0"/>
    <x v="0"/>
  </r>
  <r>
    <s v="LN-00504"/>
    <s v="BRW-0421"/>
    <d v="2025-03-09T00:00:00"/>
    <s v="Debt Consolidation"/>
    <n v="6800"/>
    <n v="24"/>
    <n v="10.29"/>
    <n v="314.7"/>
    <n v="24.5"/>
    <s v="Late"/>
    <n v="15"/>
    <n v="0"/>
    <x v="4"/>
  </r>
  <r>
    <s v="LN-00505"/>
    <s v="BRW-0422"/>
    <d v="2024-10-05T00:00:00"/>
    <s v="Wedding"/>
    <n v="36000"/>
    <n v="48"/>
    <n v="14.34"/>
    <n v="989.9"/>
    <n v="56.2"/>
    <s v="Paid Off"/>
    <n v="0"/>
    <n v="0"/>
    <x v="1"/>
  </r>
  <r>
    <s v="LN-00506"/>
    <s v="BRW-0422"/>
    <d v="2024-07-07T00:00:00"/>
    <s v="Medical Expenses"/>
    <n v="21200"/>
    <n v="12"/>
    <n v="10.78"/>
    <n v="1871.52"/>
    <n v="67.400000000000006"/>
    <s v="Late"/>
    <n v="30"/>
    <n v="0"/>
    <x v="1"/>
  </r>
  <r>
    <s v="LN-00507"/>
    <s v="BRW-0423"/>
    <d v="2024-06-17T00:00:00"/>
    <s v="Vacation"/>
    <n v="33300"/>
    <n v="48"/>
    <n v="10.34"/>
    <n v="850.02"/>
    <n v="45.4"/>
    <s v="Default"/>
    <n v="125"/>
    <n v="1"/>
    <x v="0"/>
  </r>
  <r>
    <s v="LN-00508"/>
    <s v="BRW-0424"/>
    <d v="2024-12-09T00:00:00"/>
    <s v="Business Loan"/>
    <n v="5100"/>
    <n v="36"/>
    <n v="9.5500000000000007"/>
    <n v="163.49"/>
    <n v="19.5"/>
    <s v="Default"/>
    <n v="102"/>
    <n v="1"/>
    <x v="0"/>
  </r>
  <r>
    <s v="LN-00509"/>
    <s v="BRW-0425"/>
    <d v="2024-07-25T00:00:00"/>
    <s v="Home Improvement"/>
    <n v="17400"/>
    <n v="36"/>
    <n v="6.77"/>
    <n v="535.42999999999995"/>
    <n v="62.8"/>
    <s v="Current"/>
    <n v="0"/>
    <n v="0"/>
    <x v="1"/>
  </r>
  <r>
    <s v="LN-00510"/>
    <s v="BRW-0426"/>
    <d v="2024-11-18T00:00:00"/>
    <s v="Wedding"/>
    <n v="10800"/>
    <n v="48"/>
    <n v="6.06"/>
    <n v="253.94"/>
    <n v="49"/>
    <s v="Default"/>
    <n v="109"/>
    <n v="1"/>
    <x v="1"/>
  </r>
  <r>
    <s v="LN-00511"/>
    <s v="BRW-0426"/>
    <d v="2024-11-18T00:00:00"/>
    <s v="Debt Consolidation"/>
    <n v="34800"/>
    <n v="48"/>
    <n v="8.33"/>
    <n v="854.97"/>
    <n v="72.400000000000006"/>
    <s v="Paid Off"/>
    <n v="0"/>
    <n v="0"/>
    <x v="1"/>
  </r>
  <r>
    <s v="LN-00512"/>
    <s v="BRW-0427"/>
    <d v="2024-06-02T00:00:00"/>
    <s v="Home Improvement"/>
    <n v="30100"/>
    <n v="60"/>
    <n v="9.49"/>
    <n v="632.01"/>
    <n v="61.9"/>
    <s v="Default"/>
    <n v="127"/>
    <n v="1"/>
    <x v="0"/>
  </r>
  <r>
    <s v="LN-00513"/>
    <s v="BRW-0428"/>
    <d v="2024-04-05T00:00:00"/>
    <s v="Debt Consolidation"/>
    <n v="8700"/>
    <n v="48"/>
    <n v="8.9600000000000009"/>
    <n v="216.33"/>
    <n v="13.4"/>
    <s v="Current"/>
    <n v="0"/>
    <n v="0"/>
    <x v="1"/>
  </r>
  <r>
    <s v="LN-00514"/>
    <s v="BRW-0429"/>
    <d v="2025-06-19T00:00:00"/>
    <s v="Medical Expenses"/>
    <n v="7500"/>
    <n v="60"/>
    <n v="8.4600000000000009"/>
    <n v="153.72999999999999"/>
    <n v="21.5"/>
    <s v="Paid Off"/>
    <n v="0"/>
    <n v="0"/>
    <x v="3"/>
  </r>
  <r>
    <s v="LN-00515"/>
    <s v="BRW-0430"/>
    <d v="2025-01-31T00:00:00"/>
    <s v="Education"/>
    <n v="47100"/>
    <n v="12"/>
    <n v="14.85"/>
    <n v="4247.83"/>
    <n v="64.8"/>
    <s v="Default"/>
    <n v="49"/>
    <n v="1"/>
    <x v="0"/>
  </r>
  <r>
    <s v="LN-00516"/>
    <s v="BRW-0431"/>
    <d v="2024-11-12T00:00:00"/>
    <s v="Wedding"/>
    <n v="14000"/>
    <n v="12"/>
    <n v="10.029999999999999"/>
    <n v="1231.02"/>
    <n v="86"/>
    <s v="Late"/>
    <n v="30"/>
    <n v="0"/>
    <x v="1"/>
  </r>
  <r>
    <s v="LN-00517"/>
    <s v="BRW-0431"/>
    <d v="2024-06-14T00:00:00"/>
    <s v="Home Improvement"/>
    <n v="11300"/>
    <n v="24"/>
    <n v="13.99"/>
    <n v="542.49"/>
    <n v="52.8"/>
    <s v="Default"/>
    <n v="177"/>
    <n v="1"/>
    <x v="1"/>
  </r>
  <r>
    <s v="LN-00518"/>
    <s v="BRW-0432"/>
    <d v="2025-04-29T00:00:00"/>
    <s v="Home Improvement"/>
    <n v="11800"/>
    <n v="48"/>
    <n v="7.19"/>
    <n v="283.61"/>
    <n v="55.7"/>
    <s v="Current"/>
    <n v="0"/>
    <n v="0"/>
    <x v="1"/>
  </r>
  <r>
    <s v="LN-00519"/>
    <s v="BRW-0433"/>
    <d v="2025-02-14T00:00:00"/>
    <s v="Home Improvement"/>
    <n v="25400"/>
    <n v="36"/>
    <n v="12.56"/>
    <n v="850.45"/>
    <n v="32.4"/>
    <s v="Late"/>
    <n v="0"/>
    <n v="0"/>
    <x v="1"/>
  </r>
  <r>
    <s v="LN-00520"/>
    <s v="BRW-0433"/>
    <d v="2025-02-27T00:00:00"/>
    <s v="Vacation"/>
    <n v="42600"/>
    <n v="36"/>
    <n v="10.14"/>
    <n v="1377.38"/>
    <n v="37.6"/>
    <s v="Paid Off"/>
    <n v="0"/>
    <n v="0"/>
    <x v="1"/>
  </r>
  <r>
    <s v="LN-00521"/>
    <s v="BRW-0434"/>
    <d v="2024-01-09T00:00:00"/>
    <s v="Wedding"/>
    <n v="4400"/>
    <n v="24"/>
    <n v="11.42"/>
    <n v="205.93"/>
    <n v="47.1"/>
    <s v="Current"/>
    <n v="0"/>
    <n v="0"/>
    <x v="1"/>
  </r>
  <r>
    <s v="LN-00522"/>
    <s v="BRW-0435"/>
    <d v="2025-04-24T00:00:00"/>
    <s v="Home Improvement"/>
    <n v="12600"/>
    <n v="12"/>
    <n v="8.26"/>
    <n v="1097.57"/>
    <n v="77.8"/>
    <s v="Late"/>
    <n v="15"/>
    <n v="0"/>
    <x v="4"/>
  </r>
  <r>
    <s v="LN-00523"/>
    <s v="BRW-0436"/>
    <d v="2024-12-02T00:00:00"/>
    <s v="Home Improvement"/>
    <n v="46300"/>
    <n v="48"/>
    <n v="8.98"/>
    <n v="1151.74"/>
    <n v="23.8"/>
    <s v="Late"/>
    <n v="0"/>
    <n v="0"/>
    <x v="1"/>
  </r>
  <r>
    <s v="LN-00524"/>
    <s v="BRW-0437"/>
    <d v="2025-04-26T00:00:00"/>
    <s v="Vacation"/>
    <n v="8700"/>
    <n v="60"/>
    <n v="10.5"/>
    <n v="187"/>
    <n v="48.4"/>
    <s v="Default"/>
    <n v="84"/>
    <n v="1"/>
    <x v="2"/>
  </r>
  <r>
    <s v="LN-00525"/>
    <s v="BRW-0438"/>
    <d v="2025-01-05T00:00:00"/>
    <s v="Debt Consolidation"/>
    <n v="39200"/>
    <n v="12"/>
    <n v="15.28"/>
    <n v="3543.31"/>
    <n v="124.5"/>
    <s v="Late"/>
    <n v="30"/>
    <n v="0"/>
    <x v="1"/>
  </r>
  <r>
    <s v="LN-00526"/>
    <s v="BRW-0439"/>
    <d v="2024-06-29T00:00:00"/>
    <s v="Debt Consolidation"/>
    <n v="26200"/>
    <n v="36"/>
    <n v="7.23"/>
    <n v="811.74"/>
    <n v="59"/>
    <s v="Default"/>
    <n v="47"/>
    <n v="1"/>
    <x v="0"/>
  </r>
  <r>
    <s v="LN-00527"/>
    <s v="BRW-0440"/>
    <d v="2024-09-22T00:00:00"/>
    <s v="Home Improvement"/>
    <n v="14900"/>
    <n v="48"/>
    <n v="10.77"/>
    <n v="383.44"/>
    <n v="32.4"/>
    <s v="Paid Off"/>
    <n v="0"/>
    <n v="0"/>
    <x v="3"/>
  </r>
  <r>
    <s v="LN-00528"/>
    <s v="BRW-0441"/>
    <d v="2024-06-13T00:00:00"/>
    <s v="Auto Loan"/>
    <n v="8800"/>
    <n v="48"/>
    <n v="10.51"/>
    <n v="225.35"/>
    <n v="34.4"/>
    <s v="Paid Off"/>
    <n v="0"/>
    <n v="0"/>
    <x v="3"/>
  </r>
  <r>
    <s v="LN-00529"/>
    <s v="BRW-0442"/>
    <d v="2024-05-28T00:00:00"/>
    <s v="Debt Consolidation"/>
    <n v="44900"/>
    <n v="24"/>
    <n v="6.22"/>
    <n v="1994.45"/>
    <n v="49.4"/>
    <s v="Late"/>
    <n v="30"/>
    <n v="0"/>
    <x v="1"/>
  </r>
  <r>
    <s v="LN-00530"/>
    <s v="BRW-0443"/>
    <d v="2024-11-20T00:00:00"/>
    <s v="Education"/>
    <n v="12800"/>
    <n v="24"/>
    <n v="13.03"/>
    <n v="608.72"/>
    <n v="50.5"/>
    <s v="Default"/>
    <n v="134"/>
    <n v="1"/>
    <x v="0"/>
  </r>
  <r>
    <s v="LN-00531"/>
    <s v="BRW-0444"/>
    <d v="2024-04-09T00:00:00"/>
    <s v="Debt Consolidation"/>
    <n v="47300"/>
    <n v="24"/>
    <n v="12.12"/>
    <n v="2229.23"/>
    <n v="90.1"/>
    <s v="Default"/>
    <n v="78"/>
    <n v="1"/>
    <x v="1"/>
  </r>
  <r>
    <s v="LN-00532"/>
    <s v="BRW-0445"/>
    <d v="2024-07-14T00:00:00"/>
    <s v="Moving"/>
    <n v="30800"/>
    <n v="24"/>
    <n v="10.36"/>
    <n v="1426.39"/>
    <n v="45.1"/>
    <s v="Current"/>
    <n v="0"/>
    <n v="0"/>
    <x v="2"/>
  </r>
  <r>
    <s v="LN-00533"/>
    <s v="BRW-0446"/>
    <d v="2025-04-11T00:00:00"/>
    <s v="Debt Consolidation"/>
    <n v="16700"/>
    <n v="12"/>
    <n v="9.33"/>
    <n v="1463"/>
    <n v="32"/>
    <s v="Paid Off"/>
    <n v="0"/>
    <n v="0"/>
    <x v="2"/>
  </r>
  <r>
    <s v="LN-00534"/>
    <s v="BRW-0446"/>
    <d v="2025-04-14T00:00:00"/>
    <s v="Major Purchase"/>
    <n v="38700"/>
    <n v="12"/>
    <n v="10.47"/>
    <n v="3410.81"/>
    <n v="57.4"/>
    <s v="Current"/>
    <n v="0"/>
    <n v="0"/>
    <x v="2"/>
  </r>
  <r>
    <s v="LN-00535"/>
    <s v="BRW-0447"/>
    <d v="2024-04-11T00:00:00"/>
    <s v="Major Purchase"/>
    <n v="33700"/>
    <n v="48"/>
    <n v="9.89"/>
    <n v="852.94"/>
    <n v="15.6"/>
    <s v="Current"/>
    <n v="0"/>
    <n v="0"/>
    <x v="0"/>
  </r>
  <r>
    <s v="LN-00536"/>
    <s v="BRW-0448"/>
    <d v="2024-04-12T00:00:00"/>
    <s v="Wedding"/>
    <n v="7000"/>
    <n v="60"/>
    <n v="12.74"/>
    <n v="158.34"/>
    <n v="10.5"/>
    <s v="Paid Off"/>
    <n v="0"/>
    <n v="0"/>
    <x v="0"/>
  </r>
  <r>
    <s v="LN-00537"/>
    <s v="BRW-0449"/>
    <d v="2024-07-19T00:00:00"/>
    <s v="Major Purchase"/>
    <n v="23500"/>
    <n v="60"/>
    <n v="10.74"/>
    <n v="507.91"/>
    <n v="49.1"/>
    <s v="Late"/>
    <n v="30"/>
    <n v="0"/>
    <x v="0"/>
  </r>
  <r>
    <s v="LN-00538"/>
    <s v="BRW-0450"/>
    <d v="2025-01-18T00:00:00"/>
    <s v="Vacation"/>
    <n v="30100"/>
    <n v="48"/>
    <n v="9.07"/>
    <n v="750.04"/>
    <n v="42.4"/>
    <s v="Current"/>
    <n v="0"/>
    <n v="0"/>
    <x v="2"/>
  </r>
  <r>
    <s v="LN-00539"/>
    <s v="BRW-0451"/>
    <d v="2024-01-05T00:00:00"/>
    <s v="Auto Loan"/>
    <n v="40200"/>
    <n v="48"/>
    <n v="10.18"/>
    <n v="1023.05"/>
    <n v="52.7"/>
    <s v="Current"/>
    <n v="0"/>
    <n v="0"/>
    <x v="1"/>
  </r>
  <r>
    <s v="LN-00540"/>
    <s v="BRW-0452"/>
    <d v="2024-06-23T00:00:00"/>
    <s v="Education"/>
    <n v="26900"/>
    <n v="60"/>
    <n v="11.75"/>
    <n v="594.98"/>
    <n v="45.4"/>
    <s v="Late"/>
    <n v="30"/>
    <n v="0"/>
    <x v="1"/>
  </r>
  <r>
    <s v="LN-00541"/>
    <s v="BRW-0453"/>
    <d v="2025-03-15T00:00:00"/>
    <s v="Business Loan"/>
    <n v="19600"/>
    <n v="12"/>
    <n v="11.67"/>
    <n v="1738.41"/>
    <n v="59.4"/>
    <s v="Default"/>
    <n v="129"/>
    <n v="1"/>
    <x v="3"/>
  </r>
  <r>
    <s v="LN-00542"/>
    <s v="BRW-0453"/>
    <d v="2024-04-11T00:00:00"/>
    <s v="Medical Expenses"/>
    <n v="12600"/>
    <n v="24"/>
    <n v="9.85"/>
    <n v="580.54999999999995"/>
    <n v="28.5"/>
    <s v="Current"/>
    <n v="0"/>
    <n v="0"/>
    <x v="3"/>
  </r>
  <r>
    <s v="LN-00543"/>
    <s v="BRW-0454"/>
    <d v="2024-06-11T00:00:00"/>
    <s v="Major Purchase"/>
    <n v="32100"/>
    <n v="36"/>
    <n v="13.94"/>
    <n v="1096.17"/>
    <n v="61.3"/>
    <s v="Current"/>
    <n v="0"/>
    <n v="0"/>
    <x v="2"/>
  </r>
  <r>
    <s v="LN-00544"/>
    <s v="BRW-0455"/>
    <d v="2024-03-21T00:00:00"/>
    <s v="Wedding"/>
    <n v="26800"/>
    <n v="60"/>
    <n v="13.19"/>
    <n v="612.39"/>
    <n v="56.8"/>
    <s v="Paid Off"/>
    <n v="0"/>
    <n v="0"/>
    <x v="2"/>
  </r>
  <r>
    <s v="LN-00545"/>
    <s v="BRW-0456"/>
    <d v="2024-09-08T00:00:00"/>
    <s v="Education"/>
    <n v="13000"/>
    <n v="24"/>
    <n v="7.77"/>
    <n v="586.59"/>
    <n v="32.9"/>
    <s v="Current"/>
    <n v="0"/>
    <n v="0"/>
    <x v="1"/>
  </r>
  <r>
    <s v="LN-00546"/>
    <s v="BRW-0456"/>
    <d v="2024-04-15T00:00:00"/>
    <s v="Auto Loan"/>
    <n v="12200"/>
    <n v="24"/>
    <n v="9.42"/>
    <n v="559.71"/>
    <n v="32"/>
    <s v="Late"/>
    <n v="15"/>
    <n v="0"/>
    <x v="1"/>
  </r>
  <r>
    <s v="LN-00547"/>
    <s v="BRW-0457"/>
    <d v="2024-07-31T00:00:00"/>
    <s v="Auto Loan"/>
    <n v="6500"/>
    <n v="48"/>
    <n v="13.44"/>
    <n v="175.8"/>
    <n v="34.799999999999997"/>
    <s v="Current"/>
    <n v="0"/>
    <n v="0"/>
    <x v="1"/>
  </r>
  <r>
    <s v="LN-00548"/>
    <s v="BRW-0458"/>
    <d v="2025-04-06T00:00:00"/>
    <s v="Home Improvement"/>
    <n v="19500"/>
    <n v="36"/>
    <n v="12.75"/>
    <n v="654.69000000000005"/>
    <n v="54.1"/>
    <s v="Current"/>
    <n v="0"/>
    <n v="0"/>
    <x v="2"/>
  </r>
  <r>
    <s v="LN-00549"/>
    <s v="BRW-0459"/>
    <d v="2024-12-21T00:00:00"/>
    <s v="Wedding"/>
    <n v="43000"/>
    <n v="12"/>
    <n v="10.71"/>
    <n v="3794.6"/>
    <n v="79.900000000000006"/>
    <s v="Current"/>
    <n v="0"/>
    <n v="0"/>
    <x v="1"/>
  </r>
  <r>
    <s v="LN-00550"/>
    <s v="BRW-0460"/>
    <d v="2025-06-14T00:00:00"/>
    <s v="Auto Loan"/>
    <n v="11300"/>
    <n v="12"/>
    <n v="9.33"/>
    <n v="989.93"/>
    <n v="70.8"/>
    <s v="Paid Off"/>
    <n v="0"/>
    <n v="0"/>
    <x v="1"/>
  </r>
  <r>
    <s v="LN-00551"/>
    <s v="BRW-0461"/>
    <d v="2024-05-09T00:00:00"/>
    <s v="Business Loan"/>
    <n v="5900"/>
    <n v="12"/>
    <n v="9.74"/>
    <n v="517.99"/>
    <n v="23.6"/>
    <s v="Paid Off"/>
    <n v="0"/>
    <n v="0"/>
    <x v="0"/>
  </r>
  <r>
    <s v="LN-00552"/>
    <s v="BRW-0462"/>
    <d v="2025-02-13T00:00:00"/>
    <s v="Moving"/>
    <n v="24400"/>
    <n v="48"/>
    <n v="11.75"/>
    <n v="639.54999999999995"/>
    <n v="47"/>
    <s v="Current"/>
    <n v="0"/>
    <n v="0"/>
    <x v="2"/>
  </r>
  <r>
    <s v="LN-00553"/>
    <s v="BRW-0463"/>
    <d v="2024-07-29T00:00:00"/>
    <s v="Auto Loan"/>
    <n v="6900"/>
    <n v="60"/>
    <n v="10.039999999999999"/>
    <n v="146.74"/>
    <n v="38"/>
    <s v="Paid Off"/>
    <n v="0"/>
    <n v="0"/>
    <x v="0"/>
  </r>
  <r>
    <s v="LN-00554"/>
    <s v="BRW-0463"/>
    <d v="2025-01-27T00:00:00"/>
    <s v="Major Purchase"/>
    <n v="14300"/>
    <n v="36"/>
    <n v="11.6"/>
    <n v="472.24"/>
    <n v="46.4"/>
    <s v="Current"/>
    <n v="0"/>
    <n v="0"/>
    <x v="0"/>
  </r>
  <r>
    <s v="LN-00555"/>
    <s v="BRW-0464"/>
    <d v="2025-02-23T00:00:00"/>
    <s v="Home Improvement"/>
    <n v="44700"/>
    <n v="60"/>
    <n v="9.92"/>
    <n v="947.98"/>
    <n v="46.1"/>
    <s v="Late"/>
    <n v="0"/>
    <n v="0"/>
    <x v="1"/>
  </r>
  <r>
    <s v="LN-00556"/>
    <s v="BRW-0465"/>
    <d v="2024-07-09T00:00:00"/>
    <s v="Education"/>
    <n v="4600"/>
    <n v="36"/>
    <n v="10.78"/>
    <n v="150.12"/>
    <n v="17.600000000000001"/>
    <s v="Late"/>
    <n v="0"/>
    <n v="0"/>
    <x v="3"/>
  </r>
  <r>
    <s v="LN-00557"/>
    <s v="BRW-0465"/>
    <d v="2024-01-12T00:00:00"/>
    <s v="Education"/>
    <n v="6000"/>
    <n v="12"/>
    <n v="10.23"/>
    <n v="528.14"/>
    <n v="32.200000000000003"/>
    <s v="Current"/>
    <n v="0"/>
    <n v="0"/>
    <x v="3"/>
  </r>
  <r>
    <s v="LN-00558"/>
    <s v="BRW-0466"/>
    <d v="2024-08-10T00:00:00"/>
    <s v="Business Loan"/>
    <n v="20000"/>
    <n v="60"/>
    <n v="10.86"/>
    <n v="433.45"/>
    <n v="55.4"/>
    <s v="Default"/>
    <n v="101"/>
    <n v="1"/>
    <x v="1"/>
  </r>
  <r>
    <s v="LN-00559"/>
    <s v="BRW-0467"/>
    <d v="2024-11-23T00:00:00"/>
    <s v="Home Improvement"/>
    <n v="33000"/>
    <n v="48"/>
    <n v="7.42"/>
    <n v="796.67"/>
    <n v="70.099999999999994"/>
    <s v="Default"/>
    <n v="42"/>
    <n v="1"/>
    <x v="0"/>
  </r>
  <r>
    <s v="LN-00560"/>
    <s v="BRW-0468"/>
    <d v="2024-06-24T00:00:00"/>
    <s v="Vacation"/>
    <n v="4900"/>
    <n v="12"/>
    <n v="6.69"/>
    <n v="423.28"/>
    <n v="50"/>
    <s v="Current"/>
    <n v="0"/>
    <n v="0"/>
    <x v="1"/>
  </r>
  <r>
    <s v="LN-00561"/>
    <s v="BRW-0468"/>
    <d v="2025-04-17T00:00:00"/>
    <s v="Debt Consolidation"/>
    <n v="15400"/>
    <n v="60"/>
    <n v="11.01"/>
    <n v="334.91"/>
    <n v="47"/>
    <s v="Current"/>
    <n v="0"/>
    <n v="0"/>
    <x v="1"/>
  </r>
  <r>
    <s v="LN-00562"/>
    <s v="BRW-0469"/>
    <d v="2025-03-01T00:00:00"/>
    <s v="Moving"/>
    <n v="5000"/>
    <n v="12"/>
    <n v="12.2"/>
    <n v="444.71"/>
    <n v="79.2"/>
    <s v="Paid Off"/>
    <n v="0"/>
    <n v="0"/>
    <x v="4"/>
  </r>
  <r>
    <s v="LN-00563"/>
    <s v="BRW-0469"/>
    <d v="2025-02-06T00:00:00"/>
    <s v="Major Purchase"/>
    <n v="6300"/>
    <n v="48"/>
    <n v="12.91"/>
    <n v="168.73"/>
    <n v="62"/>
    <s v="Default"/>
    <n v="146"/>
    <n v="1"/>
    <x v="4"/>
  </r>
  <r>
    <s v="LN-00564"/>
    <s v="BRW-0470"/>
    <d v="2024-02-18T00:00:00"/>
    <s v="Home Improvement"/>
    <n v="47000"/>
    <n v="12"/>
    <n v="6.91"/>
    <n v="4064.81"/>
    <n v="102.4"/>
    <s v="Paid Off"/>
    <n v="0"/>
    <n v="0"/>
    <x v="1"/>
  </r>
  <r>
    <s v="LN-00565"/>
    <s v="BRW-0471"/>
    <d v="2024-01-06T00:00:00"/>
    <s v="Major Purchase"/>
    <n v="6200"/>
    <n v="36"/>
    <n v="11.68"/>
    <n v="204.98"/>
    <n v="33.5"/>
    <s v="Late"/>
    <n v="15"/>
    <n v="0"/>
    <x v="1"/>
  </r>
  <r>
    <s v="LN-00566"/>
    <s v="BRW-0471"/>
    <d v="2025-01-23T00:00:00"/>
    <s v="Debt Consolidation"/>
    <n v="39200"/>
    <n v="12"/>
    <n v="8.92"/>
    <n v="3426.64"/>
    <n v="74"/>
    <s v="Default"/>
    <n v="73"/>
    <n v="1"/>
    <x v="1"/>
  </r>
  <r>
    <s v="LN-00567"/>
    <s v="BRW-0472"/>
    <d v="2025-02-27T00:00:00"/>
    <s v="Wedding"/>
    <n v="5200"/>
    <n v="24"/>
    <n v="10.25"/>
    <n v="240.55"/>
    <n v="44.2"/>
    <s v="Current"/>
    <n v="0"/>
    <n v="0"/>
    <x v="1"/>
  </r>
  <r>
    <s v="LN-00568"/>
    <s v="BRW-0472"/>
    <d v="2025-05-09T00:00:00"/>
    <s v="Business Loan"/>
    <n v="22000"/>
    <n v="36"/>
    <n v="8.09"/>
    <n v="690.31"/>
    <n v="60.9"/>
    <s v="Current"/>
    <n v="0"/>
    <n v="0"/>
    <x v="1"/>
  </r>
  <r>
    <s v="LN-00569"/>
    <s v="BRW-0473"/>
    <d v="2024-03-17T00:00:00"/>
    <s v="Moving"/>
    <n v="13600"/>
    <n v="24"/>
    <n v="13.16"/>
    <n v="647.59"/>
    <n v="38.700000000000003"/>
    <s v="Current"/>
    <n v="0"/>
    <n v="0"/>
    <x v="1"/>
  </r>
  <r>
    <s v="LN-00570"/>
    <s v="BRW-0474"/>
    <d v="2025-06-24T00:00:00"/>
    <s v="Major Purchase"/>
    <n v="6100"/>
    <n v="24"/>
    <n v="10.25"/>
    <n v="282.19"/>
    <n v="47.8"/>
    <s v="Paid Off"/>
    <n v="0"/>
    <n v="0"/>
    <x v="4"/>
  </r>
  <r>
    <s v="LN-00571"/>
    <s v="BRW-0475"/>
    <d v="2025-01-07T00:00:00"/>
    <s v="Medical Expenses"/>
    <n v="7100"/>
    <n v="24"/>
    <n v="7.01"/>
    <n v="317.92"/>
    <n v="40"/>
    <s v="Late"/>
    <n v="0"/>
    <n v="0"/>
    <x v="1"/>
  </r>
  <r>
    <s v="LN-00572"/>
    <s v="BRW-0476"/>
    <d v="2024-04-14T00:00:00"/>
    <s v="Major Purchase"/>
    <n v="10300"/>
    <n v="24"/>
    <n v="11.51"/>
    <n v="482.5"/>
    <n v="26.9"/>
    <s v="Late"/>
    <n v="15"/>
    <n v="0"/>
    <x v="1"/>
  </r>
  <r>
    <s v="LN-00573"/>
    <s v="BRW-0477"/>
    <d v="2024-09-28T00:00:00"/>
    <s v="Vacation"/>
    <n v="2900"/>
    <n v="60"/>
    <n v="8.6300000000000008"/>
    <n v="59.68"/>
    <n v="34.799999999999997"/>
    <s v="Current"/>
    <n v="0"/>
    <n v="0"/>
    <x v="0"/>
  </r>
  <r>
    <s v="LN-00574"/>
    <s v="BRW-0478"/>
    <d v="2025-01-13T00:00:00"/>
    <s v="Major Purchase"/>
    <n v="26400"/>
    <n v="12"/>
    <n v="8.7899999999999991"/>
    <n v="2306.15"/>
    <n v="39.1"/>
    <s v="Paid Off"/>
    <n v="0"/>
    <n v="0"/>
    <x v="0"/>
  </r>
  <r>
    <s v="LN-00575"/>
    <s v="BRW-0479"/>
    <d v="2025-05-20T00:00:00"/>
    <s v="Auto Loan"/>
    <n v="7000"/>
    <n v="36"/>
    <n v="12.5"/>
    <n v="234.18"/>
    <n v="43"/>
    <s v="Current"/>
    <n v="0"/>
    <n v="0"/>
    <x v="1"/>
  </r>
  <r>
    <s v="LN-00576"/>
    <s v="BRW-0480"/>
    <d v="2024-09-01T00:00:00"/>
    <s v="Home Improvement"/>
    <n v="3600"/>
    <n v="12"/>
    <n v="9.94"/>
    <n v="316.39999999999998"/>
    <n v="55.8"/>
    <s v="Default"/>
    <n v="55"/>
    <n v="1"/>
    <x v="2"/>
  </r>
  <r>
    <s v="LN-00577"/>
    <s v="BRW-0481"/>
    <d v="2024-10-01T00:00:00"/>
    <s v="Wedding"/>
    <n v="21400"/>
    <n v="48"/>
    <n v="6.99"/>
    <n v="512.35"/>
    <n v="12.1"/>
    <s v="Current"/>
    <n v="0"/>
    <n v="0"/>
    <x v="1"/>
  </r>
  <r>
    <s v="LN-00578"/>
    <s v="BRW-0482"/>
    <d v="2025-05-03T00:00:00"/>
    <s v="Wedding"/>
    <n v="2100"/>
    <n v="24"/>
    <n v="10.25"/>
    <n v="97.15"/>
    <n v="12.6"/>
    <s v="Late"/>
    <n v="15"/>
    <n v="0"/>
    <x v="1"/>
  </r>
  <r>
    <s v="LN-00579"/>
    <s v="BRW-0483"/>
    <d v="2024-01-14T00:00:00"/>
    <s v="Home Improvement"/>
    <n v="8200"/>
    <n v="48"/>
    <n v="10.09"/>
    <n v="208.33"/>
    <n v="54.1"/>
    <s v="Current"/>
    <n v="0"/>
    <n v="0"/>
    <x v="0"/>
  </r>
  <r>
    <s v="LN-00580"/>
    <s v="BRW-0484"/>
    <d v="2025-04-30T00:00:00"/>
    <s v="Home Improvement"/>
    <n v="27600"/>
    <n v="12"/>
    <n v="8.84"/>
    <n v="2411.61"/>
    <n v="66.900000000000006"/>
    <s v="Current"/>
    <n v="0"/>
    <n v="0"/>
    <x v="1"/>
  </r>
  <r>
    <s v="LN-00581"/>
    <s v="BRW-0484"/>
    <d v="2025-06-21T00:00:00"/>
    <s v="Home Improvement"/>
    <n v="2400"/>
    <n v="36"/>
    <n v="10.039999999999999"/>
    <n v="77.489999999999995"/>
    <n v="27.3"/>
    <s v="Paid Off"/>
    <n v="0"/>
    <n v="0"/>
    <x v="1"/>
  </r>
  <r>
    <s v="LN-00582"/>
    <s v="BRW-0485"/>
    <d v="2025-05-13T00:00:00"/>
    <s v="Education"/>
    <n v="37300"/>
    <n v="60"/>
    <n v="7.5"/>
    <n v="747.42"/>
    <n v="22.9"/>
    <s v="Paid Off"/>
    <n v="0"/>
    <n v="0"/>
    <x v="1"/>
  </r>
  <r>
    <s v="LN-00583"/>
    <s v="BRW-0486"/>
    <d v="2024-10-03T00:00:00"/>
    <s v="Education"/>
    <n v="39200"/>
    <n v="60"/>
    <n v="11.84"/>
    <n v="868.82"/>
    <n v="60.1"/>
    <s v="Current"/>
    <n v="0"/>
    <n v="0"/>
    <x v="3"/>
  </r>
  <r>
    <s v="LN-00584"/>
    <s v="BRW-0487"/>
    <d v="2025-03-17T00:00:00"/>
    <s v="Business Loan"/>
    <n v="8800"/>
    <n v="48"/>
    <n v="5.99"/>
    <n v="206.63"/>
    <n v="22.5"/>
    <s v="Current"/>
    <n v="0"/>
    <n v="0"/>
    <x v="1"/>
  </r>
  <r>
    <s v="LN-00585"/>
    <s v="BRW-0487"/>
    <d v="2025-04-05T00:00:00"/>
    <s v="Major Purchase"/>
    <n v="48300"/>
    <n v="60"/>
    <n v="10.33"/>
    <n v="1034.0899999999999"/>
    <n v="32.700000000000003"/>
    <s v="Late"/>
    <n v="15"/>
    <n v="0"/>
    <x v="1"/>
  </r>
  <r>
    <s v="LN-00586"/>
    <s v="BRW-0488"/>
    <d v="2024-10-09T00:00:00"/>
    <s v="Education"/>
    <n v="20800"/>
    <n v="48"/>
    <n v="14.43"/>
    <n v="572.89"/>
    <n v="47.4"/>
    <s v="Current"/>
    <n v="0"/>
    <n v="0"/>
    <x v="1"/>
  </r>
  <r>
    <s v="LN-00587"/>
    <s v="BRW-0488"/>
    <d v="2024-12-21T00:00:00"/>
    <s v="Education"/>
    <n v="7900"/>
    <n v="48"/>
    <n v="12.53"/>
    <n v="210.1"/>
    <n v="40.5"/>
    <s v="Late"/>
    <n v="30"/>
    <n v="0"/>
    <x v="1"/>
  </r>
  <r>
    <s v="LN-00588"/>
    <s v="BRW-0489"/>
    <d v="2024-06-15T00:00:00"/>
    <s v="Vacation"/>
    <n v="27100"/>
    <n v="36"/>
    <n v="9.3699999999999992"/>
    <n v="866.45"/>
    <n v="23.2"/>
    <s v="Paid Off"/>
    <n v="0"/>
    <n v="0"/>
    <x v="1"/>
  </r>
  <r>
    <s v="LN-00589"/>
    <s v="BRW-0490"/>
    <d v="2024-11-09T00:00:00"/>
    <s v="Debt Consolidation"/>
    <n v="41600"/>
    <n v="12"/>
    <n v="6.52"/>
    <n v="3590.31"/>
    <n v="72.7"/>
    <s v="Default"/>
    <n v="120"/>
    <n v="1"/>
    <x v="1"/>
  </r>
  <r>
    <s v="LN-00590"/>
    <s v="BRW-0491"/>
    <d v="2025-05-29T00:00:00"/>
    <s v="Debt Consolidation"/>
    <n v="4800"/>
    <n v="36"/>
    <n v="9.7799999999999994"/>
    <n v="154.38999999999999"/>
    <n v="40"/>
    <s v="Current"/>
    <n v="0"/>
    <n v="0"/>
    <x v="1"/>
  </r>
  <r>
    <s v="LN-00591"/>
    <s v="BRW-0492"/>
    <d v="2024-03-23T00:00:00"/>
    <s v="Auto Loan"/>
    <n v="13200"/>
    <n v="48"/>
    <n v="13.58"/>
    <n v="357.93"/>
    <n v="49.4"/>
    <s v="Default"/>
    <n v="38"/>
    <n v="1"/>
    <x v="3"/>
  </r>
  <r>
    <s v="LN-00592"/>
    <s v="BRW-0493"/>
    <d v="2024-04-10T00:00:00"/>
    <s v="Education"/>
    <n v="10000"/>
    <n v="48"/>
    <n v="9.58"/>
    <n v="251.61"/>
    <n v="38.700000000000003"/>
    <s v="Late"/>
    <n v="15"/>
    <n v="0"/>
    <x v="3"/>
  </r>
  <r>
    <s v="LN-00593"/>
    <s v="BRW-0494"/>
    <d v="2024-07-23T00:00:00"/>
    <s v="Major Purchase"/>
    <n v="17500"/>
    <n v="60"/>
    <n v="9.65"/>
    <n v="368.82"/>
    <n v="30.8"/>
    <s v="Current"/>
    <n v="0"/>
    <n v="0"/>
    <x v="1"/>
  </r>
  <r>
    <s v="LN-00594"/>
    <s v="BRW-0495"/>
    <d v="2025-03-23T00:00:00"/>
    <s v="Auto Loan"/>
    <n v="26400"/>
    <n v="60"/>
    <n v="11.87"/>
    <n v="585.52"/>
    <n v="52.7"/>
    <s v="Default"/>
    <n v="164"/>
    <n v="1"/>
    <x v="2"/>
  </r>
  <r>
    <s v="LN-00595"/>
    <s v="BRW-0496"/>
    <d v="2025-03-13T00:00:00"/>
    <s v="Education"/>
    <n v="34900"/>
    <n v="36"/>
    <n v="11.33"/>
    <n v="1148.04"/>
    <n v="69.7"/>
    <s v="Late"/>
    <n v="30"/>
    <n v="0"/>
    <x v="2"/>
  </r>
  <r>
    <s v="LN-00596"/>
    <s v="BRW-0497"/>
    <d v="2024-11-05T00:00:00"/>
    <s v="Debt Consolidation"/>
    <n v="22200"/>
    <n v="24"/>
    <n v="10.19"/>
    <n v="1026.3699999999999"/>
    <n v="55"/>
    <s v="Current"/>
    <n v="0"/>
    <n v="0"/>
    <x v="1"/>
  </r>
  <r>
    <s v="LN-00597"/>
    <s v="BRW-0497"/>
    <d v="2025-02-06T00:00:00"/>
    <s v="Wedding"/>
    <n v="29100"/>
    <n v="36"/>
    <n v="7.38"/>
    <n v="903.59"/>
    <n v="52.3"/>
    <s v="Default"/>
    <n v="31"/>
    <n v="1"/>
    <x v="1"/>
  </r>
  <r>
    <s v="LN-00598"/>
    <s v="BRW-0498"/>
    <d v="2024-04-19T00:00:00"/>
    <s v="Moving"/>
    <n v="4600"/>
    <n v="12"/>
    <n v="7.27"/>
    <n v="398.6"/>
    <n v="32.4"/>
    <s v="Current"/>
    <n v="0"/>
    <n v="0"/>
    <x v="0"/>
  </r>
  <r>
    <s v="LN-00599"/>
    <s v="BRW-0499"/>
    <d v="2024-02-24T00:00:00"/>
    <s v="Education"/>
    <n v="7800"/>
    <n v="60"/>
    <n v="9.86"/>
    <n v="165.19"/>
    <n v="28.8"/>
    <s v="Current"/>
    <n v="0"/>
    <n v="0"/>
    <x v="1"/>
  </r>
  <r>
    <s v="LN-00600"/>
    <s v="BRW-0500"/>
    <d v="2024-11-14T00:00:00"/>
    <s v="Medical Expenses"/>
    <n v="26400"/>
    <n v="24"/>
    <n v="11.44"/>
    <n v="1235.8499999999999"/>
    <n v="73.2"/>
    <s v="Late"/>
    <n v="15"/>
    <n v="0"/>
    <x v="1"/>
  </r>
  <r>
    <s v="LN-00601"/>
    <s v="BRW-0500"/>
    <d v="2024-05-03T00:00:00"/>
    <s v="Wedding"/>
    <n v="7500"/>
    <n v="12"/>
    <n v="10.7"/>
    <n v="661.81"/>
    <n v="62.9"/>
    <s v="Current"/>
    <n v="0"/>
    <n v="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LN-00001"/>
    <s v="BRW-0001"/>
    <d v="2024-01-08T00:00:00"/>
    <s v="Vacation"/>
    <n v="16100"/>
    <n v="36"/>
    <n v="13.05"/>
    <n v="542.86"/>
    <n v="55.5"/>
    <s v="Paid Off"/>
    <n v="0"/>
    <n v="0"/>
    <s v="Self-Employed"/>
    <n v="6"/>
    <x v="0"/>
  </r>
  <r>
    <s v="LN-00002"/>
    <s v="BRW-0001"/>
    <d v="2024-08-13T00:00:00"/>
    <s v="Major Purchase"/>
    <n v="5600"/>
    <n v="48"/>
    <n v="14.21"/>
    <n v="153.62"/>
    <n v="40.4"/>
    <s v="Default"/>
    <n v="138"/>
    <n v="1"/>
    <s v="Self-Employed"/>
    <n v="6"/>
    <x v="0"/>
  </r>
  <r>
    <s v="LN-00003"/>
    <s v="BRW-0002"/>
    <d v="2025-06-28T00:00:00"/>
    <s v="Moving"/>
    <n v="44700"/>
    <n v="36"/>
    <n v="12.37"/>
    <n v="1492.59"/>
    <n v="70.5"/>
    <s v="Paid Off"/>
    <n v="0"/>
    <n v="0"/>
    <s v="Full-Time"/>
    <n v="4"/>
    <x v="0"/>
  </r>
  <r>
    <s v="LN-00004"/>
    <s v="BRW-0003"/>
    <d v="2025-05-18T00:00:00"/>
    <s v="Auto Loan"/>
    <n v="9200"/>
    <n v="48"/>
    <n v="11.18"/>
    <n v="238.58"/>
    <n v="59.8"/>
    <s v="Default"/>
    <n v="34"/>
    <n v="1"/>
    <s v="Contract"/>
    <n v="22"/>
    <x v="0"/>
  </r>
  <r>
    <s v="LN-00005"/>
    <s v="BRW-0004"/>
    <d v="2025-03-24T00:00:00"/>
    <s v="Moving"/>
    <n v="11200"/>
    <n v="36"/>
    <n v="9.66"/>
    <n v="359.61"/>
    <n v="44.1"/>
    <s v="Current"/>
    <n v="0"/>
    <n v="0"/>
    <s v="Full-Time"/>
    <n v="19"/>
    <x v="0"/>
  </r>
  <r>
    <s v="LN-00006"/>
    <s v="BRW-0005"/>
    <d v="2025-04-19T00:00:00"/>
    <s v="Education"/>
    <n v="28600"/>
    <n v="48"/>
    <n v="13.07"/>
    <n v="768.26"/>
    <n v="37.1"/>
    <s v="Current"/>
    <n v="0"/>
    <n v="0"/>
    <s v="Full-Time"/>
    <n v="18"/>
    <x v="0"/>
  </r>
  <r>
    <s v="LN-00007"/>
    <s v="BRW-0006"/>
    <d v="2024-07-04T00:00:00"/>
    <s v="Medical Expenses"/>
    <n v="39200"/>
    <n v="12"/>
    <n v="10.23"/>
    <n v="3450.5"/>
    <n v="49.9"/>
    <s v="Paid Off"/>
    <n v="0"/>
    <n v="0"/>
    <s v="Contract"/>
    <n v="8"/>
    <x v="0"/>
  </r>
  <r>
    <s v="LN-00008"/>
    <s v="BRW-0007"/>
    <d v="2025-03-29T00:00:00"/>
    <s v="Home Improvement"/>
    <n v="36300"/>
    <n v="48"/>
    <n v="14.26"/>
    <n v="996.69"/>
    <n v="38.200000000000003"/>
    <s v="Default"/>
    <n v="38"/>
    <n v="1"/>
    <s v="Self-Employed"/>
    <n v="5"/>
    <x v="0"/>
  </r>
  <r>
    <s v="LN-00009"/>
    <s v="BRW-0007"/>
    <d v="2024-08-01T00:00:00"/>
    <s v="Business Loan"/>
    <n v="39000"/>
    <n v="60"/>
    <n v="13.73"/>
    <n v="902.01"/>
    <n v="36.799999999999997"/>
    <s v="Current"/>
    <n v="0"/>
    <n v="0"/>
    <s v="Self-Employed"/>
    <n v="5"/>
    <x v="0"/>
  </r>
  <r>
    <s v="LN-00010"/>
    <s v="BRW-0008"/>
    <d v="2024-11-01T00:00:00"/>
    <s v="Debt Consolidation"/>
    <n v="28400"/>
    <n v="12"/>
    <n v="11.88"/>
    <n v="2521.71"/>
    <n v="67.8"/>
    <s v="Default"/>
    <n v="43"/>
    <n v="1"/>
    <s v="Full-Time"/>
    <n v="14"/>
    <x v="0"/>
  </r>
  <r>
    <s v="LN-00011"/>
    <s v="BRW-0009"/>
    <d v="2024-06-20T00:00:00"/>
    <s v="Business Loan"/>
    <n v="13300"/>
    <n v="48"/>
    <n v="10.91"/>
    <n v="343.16"/>
    <n v="18.600000000000001"/>
    <s v="Current"/>
    <n v="0"/>
    <n v="0"/>
    <s v="Part-Time"/>
    <n v="15"/>
    <x v="0"/>
  </r>
  <r>
    <s v="LN-00012"/>
    <s v="BRW-0009"/>
    <d v="2024-06-07T00:00:00"/>
    <s v="Business Loan"/>
    <n v="2700"/>
    <n v="48"/>
    <n v="12.73"/>
    <n v="72.069999999999993"/>
    <n v="13.5"/>
    <s v="Current"/>
    <n v="0"/>
    <n v="0"/>
    <s v="Part-Time"/>
    <n v="15"/>
    <x v="0"/>
  </r>
  <r>
    <s v="LN-00013"/>
    <s v="BRW-0010"/>
    <d v="2024-06-06T00:00:00"/>
    <s v="Wedding"/>
    <n v="15700"/>
    <n v="12"/>
    <n v="6.57"/>
    <n v="1355.36"/>
    <n v="126"/>
    <s v="Current"/>
    <n v="0"/>
    <n v="0"/>
    <s v="Part-Time"/>
    <n v="6"/>
    <x v="0"/>
  </r>
  <r>
    <s v="LN-00014"/>
    <s v="BRW-0011"/>
    <d v="2024-01-22T00:00:00"/>
    <s v="Moving"/>
    <n v="38300"/>
    <n v="48"/>
    <n v="13.9"/>
    <n v="1044.68"/>
    <n v="63.6"/>
    <s v="Current"/>
    <n v="0"/>
    <n v="0"/>
    <s v="Full-Time"/>
    <n v="2"/>
    <x v="0"/>
  </r>
  <r>
    <s v="LN-00015"/>
    <s v="BRW-0012"/>
    <d v="2024-07-13T00:00:00"/>
    <s v="Vacation"/>
    <n v="28800"/>
    <n v="60"/>
    <n v="9.94"/>
    <n v="611.05999999999995"/>
    <n v="48.3"/>
    <s v="Current"/>
    <n v="0"/>
    <n v="0"/>
    <s v="Retired"/>
    <n v="0"/>
    <x v="1"/>
  </r>
  <r>
    <s v="LN-00016"/>
    <s v="BRW-0012"/>
    <d v="2025-06-27T00:00:00"/>
    <s v="Vacation"/>
    <n v="23700"/>
    <n v="60"/>
    <n v="7.25"/>
    <n v="472.09"/>
    <n v="44.5"/>
    <s v="Default"/>
    <n v="105"/>
    <n v="1"/>
    <s v="Retired"/>
    <n v="0"/>
    <x v="1"/>
  </r>
  <r>
    <s v="LN-00017"/>
    <s v="BRW-0013"/>
    <d v="2024-07-08T00:00:00"/>
    <s v="Moving"/>
    <n v="2000"/>
    <n v="60"/>
    <n v="11.65"/>
    <n v="44.14"/>
    <n v="18.8"/>
    <s v="Current"/>
    <n v="0"/>
    <n v="0"/>
    <s v="Full-Time"/>
    <n v="14"/>
    <x v="0"/>
  </r>
  <r>
    <s v="LN-00018"/>
    <s v="BRW-0013"/>
    <d v="2024-07-13T00:00:00"/>
    <s v="Wedding"/>
    <n v="34300"/>
    <n v="60"/>
    <n v="13.85"/>
    <n v="795.44"/>
    <n v="30.1"/>
    <s v="Current"/>
    <n v="0"/>
    <n v="0"/>
    <s v="Full-Time"/>
    <n v="14"/>
    <x v="0"/>
  </r>
  <r>
    <s v="LN-00019"/>
    <s v="BRW-0014"/>
    <d v="2024-03-09T00:00:00"/>
    <s v="Education"/>
    <n v="17500"/>
    <n v="12"/>
    <n v="8.4499999999999993"/>
    <n v="1525.94"/>
    <n v="41.4"/>
    <s v="Default"/>
    <n v="63"/>
    <n v="1"/>
    <s v="Full-Time"/>
    <n v="19"/>
    <x v="0"/>
  </r>
  <r>
    <s v="LN-00020"/>
    <s v="BRW-0015"/>
    <d v="2025-02-01T00:00:00"/>
    <s v="Debt Consolidation"/>
    <n v="20600"/>
    <n v="12"/>
    <n v="11.24"/>
    <n v="1822.97"/>
    <n v="52.5"/>
    <s v="Paid Off"/>
    <n v="0"/>
    <n v="0"/>
    <s v="Self-Employed"/>
    <n v="9"/>
    <x v="0"/>
  </r>
  <r>
    <s v="LN-00021"/>
    <s v="BRW-0016"/>
    <d v="2024-08-01T00:00:00"/>
    <s v="Education"/>
    <n v="23100"/>
    <n v="12"/>
    <n v="15.15"/>
    <n v="2086.6"/>
    <n v="88.1"/>
    <s v="Late"/>
    <n v="15"/>
    <n v="0"/>
    <s v="Full-Time"/>
    <n v="2"/>
    <x v="0"/>
  </r>
  <r>
    <s v="LN-00022"/>
    <s v="BRW-0017"/>
    <d v="2024-02-29T00:00:00"/>
    <s v="Debt Consolidation"/>
    <n v="23300"/>
    <n v="48"/>
    <n v="13.03"/>
    <n v="625.42999999999995"/>
    <n v="69.400000000000006"/>
    <s v="Current"/>
    <n v="0"/>
    <n v="0"/>
    <s v="Full-Time"/>
    <n v="8"/>
    <x v="0"/>
  </r>
  <r>
    <s v="LN-00023"/>
    <s v="BRW-0018"/>
    <d v="2024-08-24T00:00:00"/>
    <s v="Auto Loan"/>
    <n v="7200"/>
    <n v="60"/>
    <n v="8.39"/>
    <n v="147.34"/>
    <n v="18.899999999999999"/>
    <s v="Current"/>
    <n v="0"/>
    <n v="0"/>
    <s v="Self-Employed"/>
    <n v="28"/>
    <x v="0"/>
  </r>
  <r>
    <s v="LN-00024"/>
    <s v="BRW-0019"/>
    <d v="2025-01-01T00:00:00"/>
    <s v="Medical Expenses"/>
    <n v="13700"/>
    <n v="12"/>
    <n v="15.03"/>
    <n v="1236.73"/>
    <n v="112.8"/>
    <s v="Current"/>
    <n v="0"/>
    <n v="0"/>
    <s v="Part-Time"/>
    <n v="2"/>
    <x v="0"/>
  </r>
  <r>
    <s v="LN-00025"/>
    <s v="BRW-0020"/>
    <d v="2025-03-29T00:00:00"/>
    <s v="Medical Expenses"/>
    <n v="23300"/>
    <n v="24"/>
    <n v="12.02"/>
    <n v="1097.03"/>
    <n v="62.4"/>
    <s v="Late"/>
    <n v="15"/>
    <n v="0"/>
    <s v="Full-Time"/>
    <n v="17"/>
    <x v="0"/>
  </r>
  <r>
    <s v="LN-00026"/>
    <s v="BRW-0021"/>
    <d v="2024-08-07T00:00:00"/>
    <s v="Education"/>
    <n v="32400"/>
    <n v="36"/>
    <n v="13.31"/>
    <n v="1096.53"/>
    <n v="60"/>
    <s v="Default"/>
    <n v="170"/>
    <n v="1"/>
    <s v="Contract"/>
    <n v="13"/>
    <x v="0"/>
  </r>
  <r>
    <s v="LN-00027"/>
    <s v="BRW-0021"/>
    <d v="2024-02-05T00:00:00"/>
    <s v="Auto Loan"/>
    <n v="23700"/>
    <n v="48"/>
    <n v="10.27"/>
    <n v="604.16999999999996"/>
    <n v="51.7"/>
    <s v="Current"/>
    <n v="0"/>
    <n v="0"/>
    <s v="Contract"/>
    <n v="13"/>
    <x v="0"/>
  </r>
  <r>
    <s v="LN-00028"/>
    <s v="BRW-0022"/>
    <d v="2024-01-23T00:00:00"/>
    <s v="Auto Loan"/>
    <n v="7400"/>
    <n v="24"/>
    <n v="12.65"/>
    <n v="350.59"/>
    <n v="29.2"/>
    <s v="Late"/>
    <n v="15"/>
    <n v="0"/>
    <s v="Part-Time"/>
    <n v="6"/>
    <x v="0"/>
  </r>
  <r>
    <s v="LN-00029"/>
    <s v="BRW-0022"/>
    <d v="2024-02-08T00:00:00"/>
    <s v="Moving"/>
    <n v="13600"/>
    <n v="60"/>
    <n v="9.14"/>
    <n v="283.24"/>
    <n v="25.9"/>
    <s v="Current"/>
    <n v="0"/>
    <n v="0"/>
    <s v="Part-Time"/>
    <n v="6"/>
    <x v="0"/>
  </r>
  <r>
    <s v="LN-00030"/>
    <s v="BRW-0023"/>
    <d v="2024-08-10T00:00:00"/>
    <s v="Business Loan"/>
    <n v="34200"/>
    <n v="12"/>
    <n v="10.17"/>
    <n v="3009.43"/>
    <n v="87.7"/>
    <s v="Paid Off"/>
    <n v="0"/>
    <n v="0"/>
    <s v="Full-Time"/>
    <n v="12"/>
    <x v="0"/>
  </r>
  <r>
    <s v="LN-00031"/>
    <s v="BRW-0023"/>
    <d v="2024-04-07T00:00:00"/>
    <s v="Medical Expenses"/>
    <n v="45200"/>
    <n v="60"/>
    <n v="11.41"/>
    <n v="992.02"/>
    <n v="54.1"/>
    <s v="Paid Off"/>
    <n v="0"/>
    <n v="0"/>
    <s v="Full-Time"/>
    <n v="12"/>
    <x v="0"/>
  </r>
  <r>
    <s v="LN-00032"/>
    <s v="BRW-0024"/>
    <d v="2025-03-20T00:00:00"/>
    <s v="Home Improvement"/>
    <n v="46200"/>
    <n v="36"/>
    <n v="10.72"/>
    <n v="1506.41"/>
    <n v="47.5"/>
    <s v="Late"/>
    <n v="15"/>
    <n v="0"/>
    <s v="Retired"/>
    <n v="10"/>
    <x v="0"/>
  </r>
  <r>
    <s v="LN-00033"/>
    <s v="BRW-0025"/>
    <d v="2025-06-20T00:00:00"/>
    <s v="Wedding"/>
    <n v="32400"/>
    <n v="48"/>
    <n v="7.65"/>
    <n v="785.67"/>
    <n v="58.9"/>
    <s v="Default"/>
    <n v="168"/>
    <n v="1"/>
    <s v="Full-Time"/>
    <n v="2"/>
    <x v="0"/>
  </r>
  <r>
    <s v="LN-00034"/>
    <s v="BRW-0026"/>
    <d v="2025-02-06T00:00:00"/>
    <s v="Education"/>
    <n v="12400"/>
    <n v="12"/>
    <n v="14.05"/>
    <n v="1113.6500000000001"/>
    <n v="58.7"/>
    <s v="Current"/>
    <n v="0"/>
    <n v="0"/>
    <s v="Full-Time"/>
    <n v="34"/>
    <x v="0"/>
  </r>
  <r>
    <s v="LN-00035"/>
    <s v="BRW-0027"/>
    <d v="2025-05-02T00:00:00"/>
    <s v="Major Purchase"/>
    <n v="16400"/>
    <n v="24"/>
    <n v="8.51"/>
    <n v="745.55"/>
    <n v="53.8"/>
    <s v="Current"/>
    <n v="0"/>
    <n v="0"/>
    <s v="Full-Time"/>
    <n v="5"/>
    <x v="0"/>
  </r>
  <r>
    <s v="LN-00036"/>
    <s v="BRW-0028"/>
    <d v="2024-07-21T00:00:00"/>
    <s v="Moving"/>
    <n v="27100"/>
    <n v="24"/>
    <n v="8.64"/>
    <n v="1233.5899999999999"/>
    <n v="65.3"/>
    <s v="Current"/>
    <n v="0"/>
    <n v="0"/>
    <s v="Retired"/>
    <n v="1"/>
    <x v="1"/>
  </r>
  <r>
    <s v="LN-00037"/>
    <s v="BRW-0029"/>
    <d v="2024-04-01T00:00:00"/>
    <s v="Moving"/>
    <n v="5400"/>
    <n v="48"/>
    <n v="10.5"/>
    <n v="138.26"/>
    <n v="29.3"/>
    <s v="Default"/>
    <n v="135"/>
    <n v="1"/>
    <s v="Full-Time"/>
    <n v="8"/>
    <x v="0"/>
  </r>
  <r>
    <s v="LN-00038"/>
    <s v="BRW-0030"/>
    <d v="2024-06-22T00:00:00"/>
    <s v="Education"/>
    <n v="5500"/>
    <n v="12"/>
    <n v="14.25"/>
    <n v="494.48"/>
    <n v="77.2"/>
    <s v="Paid Off"/>
    <n v="0"/>
    <n v="0"/>
    <s v="Part-Time"/>
    <n v="0"/>
    <x v="1"/>
  </r>
  <r>
    <s v="LN-00039"/>
    <s v="BRW-0031"/>
    <d v="2025-01-17T00:00:00"/>
    <s v="Medical Expenses"/>
    <n v="46400"/>
    <n v="24"/>
    <n v="7.45"/>
    <n v="2086.9299999999998"/>
    <n v="42.1"/>
    <s v="Current"/>
    <n v="0"/>
    <n v="0"/>
    <s v="Full-Time"/>
    <n v="5"/>
    <x v="0"/>
  </r>
  <r>
    <s v="LN-00040"/>
    <s v="BRW-0032"/>
    <d v="2024-04-23T00:00:00"/>
    <s v="Business Loan"/>
    <n v="46500"/>
    <n v="36"/>
    <n v="10.02"/>
    <n v="1500.86"/>
    <n v="37.5"/>
    <s v="Current"/>
    <n v="0"/>
    <n v="0"/>
    <s v="Self-Employed"/>
    <n v="16"/>
    <x v="0"/>
  </r>
  <r>
    <s v="LN-00041"/>
    <s v="BRW-0033"/>
    <d v="2024-05-24T00:00:00"/>
    <s v="Business Loan"/>
    <n v="16200"/>
    <n v="36"/>
    <n v="8.58"/>
    <n v="511.99"/>
    <n v="58.8"/>
    <s v="Current"/>
    <n v="0"/>
    <n v="0"/>
    <s v="Self-Employed"/>
    <n v="8"/>
    <x v="0"/>
  </r>
  <r>
    <s v="LN-00042"/>
    <s v="BRW-0034"/>
    <d v="2024-10-04T00:00:00"/>
    <s v="Moving"/>
    <n v="4300"/>
    <n v="36"/>
    <n v="9.34"/>
    <n v="137.41999999999999"/>
    <n v="30.9"/>
    <s v="Default"/>
    <n v="32"/>
    <n v="1"/>
    <s v="Contract"/>
    <n v="2"/>
    <x v="0"/>
  </r>
  <r>
    <s v="LN-00043"/>
    <s v="BRW-0034"/>
    <d v="2024-01-20T00:00:00"/>
    <s v="Home Improvement"/>
    <n v="10500"/>
    <n v="36"/>
    <n v="12.65"/>
    <n v="352.02"/>
    <n v="36.799999999999997"/>
    <s v="Late"/>
    <n v="15"/>
    <n v="0"/>
    <s v="Contract"/>
    <n v="2"/>
    <x v="0"/>
  </r>
  <r>
    <s v="LN-00044"/>
    <s v="BRW-0035"/>
    <d v="2025-06-28T00:00:00"/>
    <s v="Moving"/>
    <n v="6800"/>
    <n v="36"/>
    <n v="12.32"/>
    <n v="226.9"/>
    <n v="18.399999999999999"/>
    <s v="Default"/>
    <n v="80"/>
    <n v="1"/>
    <s v="Full-Time"/>
    <n v="34"/>
    <x v="0"/>
  </r>
  <r>
    <s v="LN-00045"/>
    <s v="BRW-0035"/>
    <d v="2025-06-26T00:00:00"/>
    <s v="Moving"/>
    <n v="28900"/>
    <n v="12"/>
    <n v="10.1"/>
    <n v="2542.11"/>
    <n v="79.599999999999994"/>
    <s v="Default"/>
    <n v="155"/>
    <n v="1"/>
    <s v="Full-Time"/>
    <n v="34"/>
    <x v="0"/>
  </r>
  <r>
    <s v="LN-00046"/>
    <s v="BRW-0036"/>
    <d v="2024-08-29T00:00:00"/>
    <s v="Medical Expenses"/>
    <n v="12800"/>
    <n v="36"/>
    <n v="13.96"/>
    <n v="437.23"/>
    <n v="32.200000000000003"/>
    <s v="Late"/>
    <n v="30"/>
    <n v="0"/>
    <s v="Full-Time"/>
    <n v="5"/>
    <x v="0"/>
  </r>
  <r>
    <s v="LN-00047"/>
    <s v="BRW-0037"/>
    <d v="2024-10-13T00:00:00"/>
    <s v="Auto Loan"/>
    <n v="44700"/>
    <n v="12"/>
    <n v="14.32"/>
    <n v="4020.22"/>
    <n v="93.8"/>
    <s v="Default"/>
    <n v="117"/>
    <n v="1"/>
    <s v="Full-Time"/>
    <n v="15"/>
    <x v="0"/>
  </r>
  <r>
    <s v="LN-00048"/>
    <s v="BRW-0038"/>
    <d v="2024-08-20T00:00:00"/>
    <s v="Medical Expenses"/>
    <n v="5900"/>
    <n v="60"/>
    <n v="12.11"/>
    <n v="131.57"/>
    <n v="29.4"/>
    <s v="Current"/>
    <n v="0"/>
    <n v="0"/>
    <s v="Retired"/>
    <n v="1"/>
    <x v="1"/>
  </r>
  <r>
    <s v="LN-00049"/>
    <s v="BRW-0038"/>
    <d v="2024-05-21T00:00:00"/>
    <s v="Auto Loan"/>
    <n v="15100"/>
    <n v="60"/>
    <n v="8.41"/>
    <n v="309.14999999999998"/>
    <n v="36.5"/>
    <s v="Current"/>
    <n v="0"/>
    <n v="0"/>
    <s v="Retired"/>
    <n v="1"/>
    <x v="1"/>
  </r>
  <r>
    <s v="LN-00050"/>
    <s v="BRW-0039"/>
    <d v="2024-06-10T00:00:00"/>
    <s v="Moving"/>
    <n v="22600"/>
    <n v="24"/>
    <n v="10.199999999999999"/>
    <n v="1044.96"/>
    <n v="26.2"/>
    <s v="Paid Off"/>
    <n v="0"/>
    <n v="0"/>
    <s v="Full-Time"/>
    <n v="2"/>
    <x v="0"/>
  </r>
  <r>
    <s v="LN-00051"/>
    <s v="BRW-0040"/>
    <d v="2025-02-27T00:00:00"/>
    <s v="Education"/>
    <n v="9000"/>
    <n v="12"/>
    <n v="12.63"/>
    <n v="802.29"/>
    <n v="65.400000000000006"/>
    <s v="Paid Off"/>
    <n v="0"/>
    <n v="0"/>
    <s v="Full-Time"/>
    <n v="22"/>
    <x v="0"/>
  </r>
  <r>
    <s v="LN-00052"/>
    <s v="BRW-0041"/>
    <d v="2024-09-30T00:00:00"/>
    <s v="Auto Loan"/>
    <n v="11000"/>
    <n v="24"/>
    <n v="10.24"/>
    <n v="508.81"/>
    <n v="39.299999999999997"/>
    <s v="Current"/>
    <n v="0"/>
    <n v="0"/>
    <s v="Full-Time"/>
    <n v="18"/>
    <x v="0"/>
  </r>
  <r>
    <s v="LN-00053"/>
    <s v="BRW-0041"/>
    <d v="2025-04-25T00:00:00"/>
    <s v="Business Loan"/>
    <n v="19200"/>
    <n v="48"/>
    <n v="9.99"/>
    <n v="486.87"/>
    <n v="39.1"/>
    <s v="Paid Off"/>
    <n v="0"/>
    <n v="0"/>
    <s v="Full-Time"/>
    <n v="18"/>
    <x v="0"/>
  </r>
  <r>
    <s v="LN-00054"/>
    <s v="BRW-0042"/>
    <d v="2024-01-16T00:00:00"/>
    <s v="Medical Expenses"/>
    <n v="12900"/>
    <n v="48"/>
    <n v="10.39"/>
    <n v="329.6"/>
    <n v="10.9"/>
    <s v="Late"/>
    <n v="30"/>
    <n v="0"/>
    <s v="Full-Time"/>
    <n v="3"/>
    <x v="0"/>
  </r>
  <r>
    <s v="LN-00055"/>
    <s v="BRW-0043"/>
    <d v="2025-05-16T00:00:00"/>
    <s v="Business Loan"/>
    <n v="3900"/>
    <n v="48"/>
    <n v="13.92"/>
    <n v="106.42"/>
    <n v="41.3"/>
    <s v="Late"/>
    <n v="15"/>
    <n v="0"/>
    <s v="Retired"/>
    <n v="11"/>
    <x v="0"/>
  </r>
  <r>
    <s v="LN-00056"/>
    <s v="BRW-0044"/>
    <d v="2025-06-21T00:00:00"/>
    <s v="Debt Consolidation"/>
    <n v="41600"/>
    <n v="36"/>
    <n v="10.34"/>
    <n v="1348.97"/>
    <n v="31.5"/>
    <s v="Current"/>
    <n v="0"/>
    <n v="0"/>
    <s v="Self-Employed"/>
    <n v="26"/>
    <x v="0"/>
  </r>
  <r>
    <s v="LN-00057"/>
    <s v="BRW-0045"/>
    <d v="2025-02-09T00:00:00"/>
    <s v="Vacation"/>
    <n v="4000"/>
    <n v="24"/>
    <n v="12.11"/>
    <n v="188.5"/>
    <n v="7.6"/>
    <s v="Current"/>
    <n v="0"/>
    <n v="0"/>
    <s v="Full-Time"/>
    <n v="19"/>
    <x v="0"/>
  </r>
  <r>
    <s v="LN-00058"/>
    <s v="BRW-0046"/>
    <d v="2024-10-19T00:00:00"/>
    <s v="Debt Consolidation"/>
    <n v="14400"/>
    <n v="36"/>
    <n v="12.3"/>
    <n v="480.35"/>
    <n v="38.700000000000003"/>
    <s v="Late"/>
    <n v="0"/>
    <n v="0"/>
    <s v="Self-Employed"/>
    <n v="14"/>
    <x v="0"/>
  </r>
  <r>
    <s v="LN-00059"/>
    <s v="BRW-0047"/>
    <d v="2025-05-27T00:00:00"/>
    <s v="Moving"/>
    <n v="24300"/>
    <n v="48"/>
    <n v="6.29"/>
    <n v="573.91999999999996"/>
    <n v="28.8"/>
    <s v="Paid Off"/>
    <n v="0"/>
    <n v="0"/>
    <s v="Full-Time"/>
    <n v="5"/>
    <x v="0"/>
  </r>
  <r>
    <s v="LN-00060"/>
    <s v="BRW-0048"/>
    <d v="2024-07-25T00:00:00"/>
    <s v="Medical Expenses"/>
    <n v="15600"/>
    <n v="12"/>
    <n v="6.86"/>
    <n v="1348.81"/>
    <n v="64.900000000000006"/>
    <s v="Current"/>
    <n v="0"/>
    <n v="0"/>
    <s v="Full-Time"/>
    <n v="13"/>
    <x v="0"/>
  </r>
  <r>
    <s v="LN-00061"/>
    <s v="BRW-0049"/>
    <d v="2025-01-06T00:00:00"/>
    <s v="Medical Expenses"/>
    <n v="7900"/>
    <n v="12"/>
    <n v="13.28"/>
    <n v="706.64"/>
    <n v="53"/>
    <s v="Default"/>
    <n v="128"/>
    <n v="1"/>
    <s v="Full-Time"/>
    <n v="10"/>
    <x v="0"/>
  </r>
  <r>
    <s v="LN-00062"/>
    <s v="BRW-0050"/>
    <d v="2024-06-23T00:00:00"/>
    <s v="Moving"/>
    <n v="9700"/>
    <n v="60"/>
    <n v="8.32"/>
    <n v="198.17"/>
    <n v="13"/>
    <s v="Late"/>
    <n v="0"/>
    <n v="0"/>
    <s v="Full-Time"/>
    <n v="7"/>
    <x v="0"/>
  </r>
  <r>
    <s v="LN-00063"/>
    <s v="BRW-0051"/>
    <d v="2025-04-01T00:00:00"/>
    <s v="Medical Expenses"/>
    <n v="36200"/>
    <n v="48"/>
    <n v="7.37"/>
    <n v="873.08"/>
    <n v="53.3"/>
    <s v="Paid Off"/>
    <n v="0"/>
    <n v="0"/>
    <s v="Self-Employed"/>
    <n v="5"/>
    <x v="0"/>
  </r>
  <r>
    <s v="LN-00064"/>
    <s v="BRW-0052"/>
    <d v="2025-05-25T00:00:00"/>
    <s v="Debt Consolidation"/>
    <n v="14100"/>
    <n v="48"/>
    <n v="12.22"/>
    <n v="372.83"/>
    <n v="43.4"/>
    <s v="Paid Off"/>
    <n v="0"/>
    <n v="0"/>
    <s v="Contract"/>
    <n v="30"/>
    <x v="0"/>
  </r>
  <r>
    <s v="LN-00065"/>
    <s v="BRW-0052"/>
    <d v="2024-03-22T00:00:00"/>
    <s v="Business Loan"/>
    <n v="26200"/>
    <n v="48"/>
    <n v="11.78"/>
    <n v="687.12"/>
    <n v="48.8"/>
    <s v="Paid Off"/>
    <n v="0"/>
    <n v="0"/>
    <s v="Contract"/>
    <n v="30"/>
    <x v="0"/>
  </r>
  <r>
    <s v="LN-00066"/>
    <s v="BRW-0053"/>
    <d v="2024-12-23T00:00:00"/>
    <s v="Moving"/>
    <n v="12000"/>
    <n v="24"/>
    <n v="9.39"/>
    <n v="550.37"/>
    <n v="18.600000000000001"/>
    <s v="Default"/>
    <n v="38"/>
    <n v="1"/>
    <s v="Full-Time"/>
    <n v="15"/>
    <x v="0"/>
  </r>
  <r>
    <s v="LN-00067"/>
    <s v="BRW-0054"/>
    <d v="2024-07-01T00:00:00"/>
    <s v="Wedding"/>
    <n v="37700"/>
    <n v="12"/>
    <n v="11.09"/>
    <n v="3333.57"/>
    <n v="72.599999999999994"/>
    <s v="Default"/>
    <n v="102"/>
    <n v="1"/>
    <s v="Self-Employed"/>
    <n v="6"/>
    <x v="0"/>
  </r>
  <r>
    <s v="LN-00068"/>
    <s v="BRW-0055"/>
    <d v="2025-01-03T00:00:00"/>
    <s v="Wedding"/>
    <n v="29000"/>
    <n v="48"/>
    <n v="14.5"/>
    <n v="799.76"/>
    <n v="14.8"/>
    <s v="Current"/>
    <n v="0"/>
    <n v="0"/>
    <s v="Self-Employed"/>
    <n v="27"/>
    <x v="0"/>
  </r>
  <r>
    <s v="LN-00069"/>
    <s v="BRW-0056"/>
    <d v="2025-04-27T00:00:00"/>
    <s v="Major Purchase"/>
    <n v="38400"/>
    <n v="60"/>
    <n v="7.84"/>
    <n v="775.68"/>
    <n v="63.1"/>
    <s v="Default"/>
    <n v="100"/>
    <n v="1"/>
    <s v="Full-Time"/>
    <n v="17"/>
    <x v="0"/>
  </r>
  <r>
    <s v="LN-00070"/>
    <s v="BRW-0057"/>
    <d v="2025-06-25T00:00:00"/>
    <s v="Major Purchase"/>
    <n v="20500"/>
    <n v="60"/>
    <n v="8.67"/>
    <n v="422.27"/>
    <n v="27.8"/>
    <s v="Late"/>
    <n v="0"/>
    <n v="0"/>
    <s v="Full-Time"/>
    <n v="25"/>
    <x v="0"/>
  </r>
  <r>
    <s v="LN-00071"/>
    <s v="BRW-0058"/>
    <d v="2024-12-28T00:00:00"/>
    <s v="Auto Loan"/>
    <n v="42700"/>
    <n v="36"/>
    <n v="13.49"/>
    <n v="1448.83"/>
    <n v="36.299999999999997"/>
    <s v="Current"/>
    <n v="0"/>
    <n v="0"/>
    <s v="Contract"/>
    <n v="5"/>
    <x v="0"/>
  </r>
  <r>
    <s v="LN-00072"/>
    <s v="BRW-0058"/>
    <d v="2024-10-24T00:00:00"/>
    <s v="Vacation"/>
    <n v="10600"/>
    <n v="60"/>
    <n v="12.03"/>
    <n v="235.95"/>
    <n v="17.7"/>
    <s v="Current"/>
    <n v="0"/>
    <n v="0"/>
    <s v="Contract"/>
    <n v="5"/>
    <x v="0"/>
  </r>
  <r>
    <s v="LN-00073"/>
    <s v="BRW-0059"/>
    <d v="2025-02-27T00:00:00"/>
    <s v="Home Improvement"/>
    <n v="12000"/>
    <n v="60"/>
    <n v="12.84"/>
    <n v="272.06"/>
    <n v="52"/>
    <s v="Default"/>
    <n v="119"/>
    <n v="1"/>
    <s v="Full-Time"/>
    <n v="8"/>
    <x v="0"/>
  </r>
  <r>
    <s v="LN-00074"/>
    <s v="BRW-0060"/>
    <d v="2024-03-10T00:00:00"/>
    <s v="Business Loan"/>
    <n v="5200"/>
    <n v="36"/>
    <n v="9.4600000000000009"/>
    <n v="166.47"/>
    <n v="10.5"/>
    <s v="Current"/>
    <n v="0"/>
    <n v="0"/>
    <s v="Full-Time"/>
    <n v="14"/>
    <x v="0"/>
  </r>
  <r>
    <s v="LN-00075"/>
    <s v="BRW-0061"/>
    <d v="2024-06-28T00:00:00"/>
    <s v="Education"/>
    <n v="29500"/>
    <n v="60"/>
    <n v="14.67"/>
    <n v="696.7"/>
    <n v="67.2"/>
    <s v="Default"/>
    <n v="116"/>
    <n v="1"/>
    <s v="Full-Time"/>
    <n v="1"/>
    <x v="1"/>
  </r>
  <r>
    <s v="LN-00076"/>
    <s v="BRW-0062"/>
    <d v="2025-04-16T00:00:00"/>
    <s v="Vacation"/>
    <n v="40300"/>
    <n v="24"/>
    <n v="8.41"/>
    <n v="1830.2"/>
    <n v="53.2"/>
    <s v="Current"/>
    <n v="0"/>
    <n v="0"/>
    <s v="Self-Employed"/>
    <n v="7"/>
    <x v="0"/>
  </r>
  <r>
    <s v="LN-00077"/>
    <s v="BRW-0062"/>
    <d v="2024-11-19T00:00:00"/>
    <s v="Major Purchase"/>
    <n v="4700"/>
    <n v="60"/>
    <n v="7.5"/>
    <n v="94.18"/>
    <n v="12.6"/>
    <s v="Current"/>
    <n v="0"/>
    <n v="0"/>
    <s v="Self-Employed"/>
    <n v="7"/>
    <x v="0"/>
  </r>
  <r>
    <s v="LN-00078"/>
    <s v="BRW-0063"/>
    <d v="2025-01-19T00:00:00"/>
    <s v="Education"/>
    <n v="5800"/>
    <n v="12"/>
    <n v="9.58"/>
    <n v="508.78"/>
    <n v="47.9"/>
    <s v="Current"/>
    <n v="0"/>
    <n v="0"/>
    <s v="Part-Time"/>
    <n v="3"/>
    <x v="0"/>
  </r>
  <r>
    <s v="LN-00079"/>
    <s v="BRW-0064"/>
    <d v="2024-11-18T00:00:00"/>
    <s v="Wedding"/>
    <n v="15400"/>
    <n v="36"/>
    <n v="9.58"/>
    <n v="493.88"/>
    <n v="36"/>
    <s v="Current"/>
    <n v="0"/>
    <n v="0"/>
    <s v="Self-Employed"/>
    <n v="7"/>
    <x v="0"/>
  </r>
  <r>
    <s v="LN-00080"/>
    <s v="BRW-0065"/>
    <d v="2024-06-28T00:00:00"/>
    <s v="Education"/>
    <n v="47600"/>
    <n v="24"/>
    <n v="13.53"/>
    <n v="2274.86"/>
    <n v="86.4"/>
    <s v="Default"/>
    <n v="39"/>
    <n v="1"/>
    <s v="Full-Time"/>
    <n v="27"/>
    <x v="0"/>
  </r>
  <r>
    <s v="LN-00081"/>
    <s v="BRW-0065"/>
    <d v="2025-05-27T00:00:00"/>
    <s v="Business Loan"/>
    <n v="23300"/>
    <n v="12"/>
    <n v="14.9"/>
    <n v="2101.92"/>
    <n v="83.8"/>
    <s v="Default"/>
    <n v="117"/>
    <n v="1"/>
    <s v="Full-Time"/>
    <n v="27"/>
    <x v="0"/>
  </r>
  <r>
    <s v="LN-00082"/>
    <s v="BRW-0066"/>
    <d v="2025-06-12T00:00:00"/>
    <s v="Moving"/>
    <n v="16300"/>
    <n v="12"/>
    <n v="13.69"/>
    <n v="1461.15"/>
    <n v="76.900000000000006"/>
    <s v="Paid Off"/>
    <n v="0"/>
    <n v="0"/>
    <s v="Full-Time"/>
    <n v="33"/>
    <x v="0"/>
  </r>
  <r>
    <s v="LN-00083"/>
    <s v="BRW-0066"/>
    <d v="2024-02-15T00:00:00"/>
    <s v="Vacation"/>
    <n v="43500"/>
    <n v="12"/>
    <n v="9.6"/>
    <n v="3816.25"/>
    <n v="118.6"/>
    <s v="Current"/>
    <n v="0"/>
    <n v="0"/>
    <s v="Full-Time"/>
    <n v="33"/>
    <x v="0"/>
  </r>
  <r>
    <s v="LN-00084"/>
    <s v="BRW-0067"/>
    <d v="2024-11-15T00:00:00"/>
    <s v="Debt Consolidation"/>
    <n v="25900"/>
    <n v="36"/>
    <n v="8.4499999999999993"/>
    <n v="817"/>
    <n v="40"/>
    <s v="Current"/>
    <n v="0"/>
    <n v="0"/>
    <s v="Contract"/>
    <n v="15"/>
    <x v="0"/>
  </r>
  <r>
    <s v="LN-00085"/>
    <s v="BRW-0068"/>
    <d v="2024-06-10T00:00:00"/>
    <s v="Moving"/>
    <n v="19800"/>
    <n v="12"/>
    <n v="8.23"/>
    <n v="1724.48"/>
    <n v="51.2"/>
    <s v="Late"/>
    <n v="0"/>
    <n v="0"/>
    <s v="Self-Employed"/>
    <n v="20"/>
    <x v="0"/>
  </r>
  <r>
    <s v="LN-00086"/>
    <s v="BRW-0069"/>
    <d v="2024-10-17T00:00:00"/>
    <s v="Business Loan"/>
    <n v="28400"/>
    <n v="36"/>
    <n v="11.71"/>
    <n v="939.36"/>
    <n v="39.700000000000003"/>
    <s v="Current"/>
    <n v="0"/>
    <n v="0"/>
    <s v="Self-Employed"/>
    <n v="16"/>
    <x v="0"/>
  </r>
  <r>
    <s v="LN-00087"/>
    <s v="BRW-0070"/>
    <d v="2024-02-21T00:00:00"/>
    <s v="Moving"/>
    <n v="8200"/>
    <n v="48"/>
    <n v="11.25"/>
    <n v="212.93"/>
    <n v="27.5"/>
    <s v="Current"/>
    <n v="0"/>
    <n v="0"/>
    <s v="Self-Employed"/>
    <n v="28"/>
    <x v="0"/>
  </r>
  <r>
    <s v="LN-00088"/>
    <s v="BRW-0070"/>
    <d v="2024-11-15T00:00:00"/>
    <s v="Medical Expenses"/>
    <n v="44800"/>
    <n v="48"/>
    <n v="9.81"/>
    <n v="1132.1600000000001"/>
    <n v="37.6"/>
    <s v="Paid Off"/>
    <n v="0"/>
    <n v="0"/>
    <s v="Self-Employed"/>
    <n v="28"/>
    <x v="0"/>
  </r>
  <r>
    <s v="LN-00089"/>
    <s v="BRW-0071"/>
    <d v="2024-04-05T00:00:00"/>
    <s v="Home Improvement"/>
    <n v="31800"/>
    <n v="48"/>
    <n v="9.57"/>
    <n v="799.98"/>
    <n v="56.6"/>
    <s v="Late"/>
    <n v="15"/>
    <n v="0"/>
    <s v="Part-Time"/>
    <n v="11"/>
    <x v="0"/>
  </r>
  <r>
    <s v="LN-00090"/>
    <s v="BRW-0071"/>
    <d v="2024-08-17T00:00:00"/>
    <s v="Vacation"/>
    <n v="12900"/>
    <n v="48"/>
    <n v="9.09"/>
    <n v="321.57"/>
    <n v="36.200000000000003"/>
    <s v="Late"/>
    <n v="15"/>
    <n v="0"/>
    <s v="Part-Time"/>
    <n v="11"/>
    <x v="0"/>
  </r>
  <r>
    <s v="LN-00091"/>
    <s v="BRW-0072"/>
    <d v="2024-01-31T00:00:00"/>
    <s v="Medical Expenses"/>
    <n v="27200"/>
    <n v="36"/>
    <n v="11.88"/>
    <n v="901.87"/>
    <n v="70.400000000000006"/>
    <s v="Default"/>
    <n v="58"/>
    <n v="1"/>
    <s v="Full-Time"/>
    <n v="20"/>
    <x v="0"/>
  </r>
  <r>
    <s v="LN-00092"/>
    <s v="BRW-0073"/>
    <d v="2024-05-10T00:00:00"/>
    <s v="Vacation"/>
    <n v="15500"/>
    <n v="36"/>
    <n v="9.64"/>
    <n v="497.53"/>
    <n v="29.3"/>
    <s v="Paid Off"/>
    <n v="0"/>
    <n v="0"/>
    <s v="Full-Time"/>
    <n v="9"/>
    <x v="0"/>
  </r>
  <r>
    <s v="LN-00093"/>
    <s v="BRW-0074"/>
    <d v="2025-02-27T00:00:00"/>
    <s v="Moving"/>
    <n v="35700"/>
    <n v="60"/>
    <n v="11.14"/>
    <n v="778.7"/>
    <n v="74.900000000000006"/>
    <s v="Default"/>
    <n v="92"/>
    <n v="1"/>
    <s v="Full-Time"/>
    <n v="1"/>
    <x v="1"/>
  </r>
  <r>
    <s v="LN-00094"/>
    <s v="BRW-0075"/>
    <d v="2025-03-21T00:00:00"/>
    <s v="Vacation"/>
    <n v="18400"/>
    <n v="60"/>
    <n v="8.11"/>
    <n v="374.06"/>
    <n v="56.7"/>
    <s v="Late"/>
    <n v="0"/>
    <n v="0"/>
    <s v="Full-Time"/>
    <n v="18"/>
    <x v="0"/>
  </r>
  <r>
    <s v="LN-00095"/>
    <s v="BRW-0076"/>
    <d v="2025-04-19T00:00:00"/>
    <s v="Home Improvement"/>
    <n v="36200"/>
    <n v="48"/>
    <n v="7.99"/>
    <n v="883.58"/>
    <n v="21.1"/>
    <s v="Current"/>
    <n v="0"/>
    <n v="0"/>
    <s v="Full-Time"/>
    <n v="15"/>
    <x v="0"/>
  </r>
  <r>
    <s v="LN-00096"/>
    <s v="BRW-0077"/>
    <d v="2025-01-23T00:00:00"/>
    <s v="Major Purchase"/>
    <n v="4900"/>
    <n v="60"/>
    <n v="10.19"/>
    <n v="104.57"/>
    <n v="45.4"/>
    <s v="Current"/>
    <n v="0"/>
    <n v="0"/>
    <s v="Full-Time"/>
    <n v="26"/>
    <x v="0"/>
  </r>
  <r>
    <s v="LN-00097"/>
    <s v="BRW-0078"/>
    <d v="2024-06-01T00:00:00"/>
    <s v="Medical Expenses"/>
    <n v="45400"/>
    <n v="12"/>
    <n v="11.14"/>
    <n v="4015.49"/>
    <n v="92.5"/>
    <s v="Late"/>
    <n v="0"/>
    <n v="0"/>
    <s v="Full-Time"/>
    <n v="9"/>
    <x v="0"/>
  </r>
  <r>
    <s v="LN-00098"/>
    <s v="BRW-0079"/>
    <d v="2024-11-07T00:00:00"/>
    <s v="Business Loan"/>
    <n v="17200"/>
    <n v="60"/>
    <n v="13.11"/>
    <n v="392.32"/>
    <n v="37.799999999999997"/>
    <s v="Late"/>
    <n v="15"/>
    <n v="0"/>
    <s v="Full-Time"/>
    <n v="5"/>
    <x v="0"/>
  </r>
  <r>
    <s v="LN-00099"/>
    <s v="BRW-0080"/>
    <d v="2024-05-10T00:00:00"/>
    <s v="Home Improvement"/>
    <n v="31400"/>
    <n v="60"/>
    <n v="10.79"/>
    <n v="679.43"/>
    <n v="58.2"/>
    <s v="Paid Off"/>
    <n v="0"/>
    <n v="0"/>
    <s v="Full-Time"/>
    <n v="29"/>
    <x v="0"/>
  </r>
  <r>
    <s v="LN-00100"/>
    <s v="BRW-0080"/>
    <d v="2024-10-15T00:00:00"/>
    <s v="Debt Consolidation"/>
    <n v="10800"/>
    <n v="36"/>
    <n v="9.32"/>
    <n v="345.05"/>
    <n v="51.4"/>
    <s v="Paid Off"/>
    <n v="0"/>
    <n v="0"/>
    <s v="Full-Time"/>
    <n v="29"/>
    <x v="0"/>
  </r>
  <r>
    <s v="LN-00101"/>
    <s v="BRW-0081"/>
    <d v="2024-06-26T00:00:00"/>
    <s v="Education"/>
    <n v="21500"/>
    <n v="48"/>
    <n v="12.93"/>
    <n v="576.04"/>
    <n v="59.3"/>
    <s v="Default"/>
    <n v="78"/>
    <n v="1"/>
    <s v="Contract"/>
    <n v="34"/>
    <x v="0"/>
  </r>
  <r>
    <s v="LN-00102"/>
    <s v="BRW-0082"/>
    <d v="2024-03-14T00:00:00"/>
    <s v="Education"/>
    <n v="9400"/>
    <n v="24"/>
    <n v="6.99"/>
    <n v="420.82"/>
    <n v="51.6"/>
    <s v="Paid Off"/>
    <n v="0"/>
    <n v="0"/>
    <s v="Self-Employed"/>
    <n v="2"/>
    <x v="0"/>
  </r>
  <r>
    <s v="LN-00103"/>
    <s v="BRW-0083"/>
    <d v="2025-03-11T00:00:00"/>
    <s v="Medical Expenses"/>
    <n v="12500"/>
    <n v="48"/>
    <n v="15.13"/>
    <n v="348.71"/>
    <n v="18.7"/>
    <s v="Current"/>
    <n v="0"/>
    <n v="0"/>
    <s v="Full-Time"/>
    <n v="13"/>
    <x v="0"/>
  </r>
  <r>
    <s v="LN-00104"/>
    <s v="BRW-0084"/>
    <d v="2025-05-25T00:00:00"/>
    <s v="Major Purchase"/>
    <n v="10900"/>
    <n v="60"/>
    <n v="8.84"/>
    <n v="225.42"/>
    <n v="41.2"/>
    <s v="Current"/>
    <n v="0"/>
    <n v="0"/>
    <s v="Part-Time"/>
    <n v="2"/>
    <x v="0"/>
  </r>
  <r>
    <s v="LN-00105"/>
    <s v="BRW-0084"/>
    <d v="2025-05-09T00:00:00"/>
    <s v="Major Purchase"/>
    <n v="29700"/>
    <n v="12"/>
    <n v="13.69"/>
    <n v="2662.35"/>
    <n v="80.2"/>
    <s v="Current"/>
    <n v="0"/>
    <n v="0"/>
    <s v="Part-Time"/>
    <n v="2"/>
    <x v="0"/>
  </r>
  <r>
    <s v="LN-00106"/>
    <s v="BRW-0085"/>
    <d v="2024-03-21T00:00:00"/>
    <s v="Medical Expenses"/>
    <n v="16200"/>
    <n v="36"/>
    <n v="9.39"/>
    <n v="518.1"/>
    <n v="63.7"/>
    <s v="Current"/>
    <n v="0"/>
    <n v="0"/>
    <s v="Part-Time"/>
    <n v="2"/>
    <x v="0"/>
  </r>
  <r>
    <s v="LN-00107"/>
    <s v="BRW-0086"/>
    <d v="2024-02-24T00:00:00"/>
    <s v="Home Improvement"/>
    <n v="26700"/>
    <n v="60"/>
    <n v="9.31"/>
    <n v="558.27"/>
    <n v="33.299999999999997"/>
    <s v="Current"/>
    <n v="0"/>
    <n v="0"/>
    <s v="Self-Employed"/>
    <n v="12"/>
    <x v="0"/>
  </r>
  <r>
    <s v="LN-00108"/>
    <s v="BRW-0087"/>
    <d v="2024-10-28T00:00:00"/>
    <s v="Vacation"/>
    <n v="17900"/>
    <n v="36"/>
    <n v="15.64"/>
    <n v="626.13"/>
    <n v="29.3"/>
    <s v="Default"/>
    <n v="39"/>
    <n v="1"/>
    <s v="Full-Time"/>
    <n v="8"/>
    <x v="0"/>
  </r>
  <r>
    <s v="LN-00109"/>
    <s v="BRW-0088"/>
    <d v="2025-04-29T00:00:00"/>
    <s v="Wedding"/>
    <n v="36900"/>
    <n v="60"/>
    <n v="7.79"/>
    <n v="744.5"/>
    <n v="45.9"/>
    <s v="Late"/>
    <n v="0"/>
    <n v="0"/>
    <s v="Self-Employed"/>
    <n v="8"/>
    <x v="0"/>
  </r>
  <r>
    <s v="LN-00110"/>
    <s v="BRW-0089"/>
    <d v="2024-10-11T00:00:00"/>
    <s v="Wedding"/>
    <n v="9100"/>
    <n v="24"/>
    <n v="12.34"/>
    <n v="429.81"/>
    <n v="26.5"/>
    <s v="Default"/>
    <n v="101"/>
    <n v="1"/>
    <s v="Part-Time"/>
    <n v="2"/>
    <x v="0"/>
  </r>
  <r>
    <s v="LN-00111"/>
    <s v="BRW-0090"/>
    <d v="2024-06-03T00:00:00"/>
    <s v="Auto Loan"/>
    <n v="5100"/>
    <n v="24"/>
    <n v="11.3"/>
    <n v="238.41"/>
    <n v="32.200000000000003"/>
    <s v="Current"/>
    <n v="0"/>
    <n v="0"/>
    <s v="Full-Time"/>
    <n v="4"/>
    <x v="0"/>
  </r>
  <r>
    <s v="LN-00112"/>
    <s v="BRW-0091"/>
    <d v="2024-03-27T00:00:00"/>
    <s v="Business Loan"/>
    <n v="18700"/>
    <n v="12"/>
    <n v="7.86"/>
    <n v="1625.47"/>
    <n v="94.1"/>
    <s v="Paid Off"/>
    <n v="0"/>
    <n v="0"/>
    <s v="Part-Time"/>
    <n v="32"/>
    <x v="0"/>
  </r>
  <r>
    <s v="LN-00113"/>
    <s v="BRW-0092"/>
    <d v="2024-06-20T00:00:00"/>
    <s v="Major Purchase"/>
    <n v="13400"/>
    <n v="48"/>
    <n v="14.78"/>
    <n v="371.44"/>
    <n v="65.599999999999994"/>
    <s v="Default"/>
    <n v="118"/>
    <n v="1"/>
    <s v="Self-Employed"/>
    <n v="9"/>
    <x v="0"/>
  </r>
  <r>
    <s v="LN-00114"/>
    <s v="BRW-0092"/>
    <d v="2025-04-20T00:00:00"/>
    <s v="Debt Consolidation"/>
    <n v="34300"/>
    <n v="12"/>
    <n v="11.41"/>
    <n v="3038.05"/>
    <n v="142.30000000000001"/>
    <s v="Default"/>
    <n v="107"/>
    <n v="1"/>
    <s v="Self-Employed"/>
    <n v="9"/>
    <x v="0"/>
  </r>
  <r>
    <s v="LN-00115"/>
    <s v="BRW-0093"/>
    <d v="2024-05-28T00:00:00"/>
    <s v="Moving"/>
    <n v="34800"/>
    <n v="48"/>
    <n v="10.54"/>
    <n v="891.67"/>
    <n v="65.2"/>
    <s v="Current"/>
    <n v="0"/>
    <n v="0"/>
    <s v="Full-Time"/>
    <n v="24"/>
    <x v="0"/>
  </r>
  <r>
    <s v="LN-00116"/>
    <s v="BRW-0094"/>
    <d v="2025-06-28T00:00:00"/>
    <s v="Major Purchase"/>
    <n v="48200"/>
    <n v="12"/>
    <n v="11.12"/>
    <n v="4262.6899999999996"/>
    <n v="80.8"/>
    <s v="Late"/>
    <n v="30"/>
    <n v="0"/>
    <s v="Full-Time"/>
    <n v="10"/>
    <x v="0"/>
  </r>
  <r>
    <s v="LN-00117"/>
    <s v="BRW-0095"/>
    <d v="2025-02-04T00:00:00"/>
    <s v="Auto Loan"/>
    <n v="14100"/>
    <n v="12"/>
    <n v="12.06"/>
    <n v="1253.1600000000001"/>
    <n v="32.200000000000003"/>
    <s v="Current"/>
    <n v="0"/>
    <n v="0"/>
    <s v="Self-Employed"/>
    <n v="8"/>
    <x v="0"/>
  </r>
  <r>
    <s v="LN-00118"/>
    <s v="BRW-0095"/>
    <d v="2024-01-11T00:00:00"/>
    <s v="Wedding"/>
    <n v="27000"/>
    <n v="24"/>
    <n v="12.35"/>
    <n v="1275.4000000000001"/>
    <n v="32.6"/>
    <s v="Current"/>
    <n v="0"/>
    <n v="0"/>
    <s v="Self-Employed"/>
    <n v="8"/>
    <x v="0"/>
  </r>
  <r>
    <s v="LN-00119"/>
    <s v="BRW-0096"/>
    <d v="2024-02-04T00:00:00"/>
    <s v="Home Improvement"/>
    <n v="10300"/>
    <n v="36"/>
    <n v="11.29"/>
    <n v="338.63"/>
    <n v="61.8"/>
    <s v="Default"/>
    <n v="53"/>
    <n v="1"/>
    <s v="Contract"/>
    <n v="13"/>
    <x v="0"/>
  </r>
  <r>
    <s v="LN-00120"/>
    <s v="BRW-0097"/>
    <d v="2024-05-02T00:00:00"/>
    <s v="Wedding"/>
    <n v="42100"/>
    <n v="60"/>
    <n v="11.56"/>
    <n v="927.16"/>
    <n v="68.099999999999994"/>
    <s v="Default"/>
    <n v="63"/>
    <n v="1"/>
    <s v="Self-Employed"/>
    <n v="17"/>
    <x v="0"/>
  </r>
  <r>
    <s v="LN-00121"/>
    <s v="BRW-0098"/>
    <d v="2024-09-16T00:00:00"/>
    <s v="Wedding"/>
    <n v="10900"/>
    <n v="12"/>
    <n v="9.31"/>
    <n v="954.79"/>
    <n v="72.8"/>
    <s v="Current"/>
    <n v="0"/>
    <n v="0"/>
    <s v="Full-Time"/>
    <n v="18"/>
    <x v="0"/>
  </r>
  <r>
    <s v="LN-00122"/>
    <s v="BRW-0099"/>
    <d v="2024-03-16T00:00:00"/>
    <s v="Auto Loan"/>
    <n v="35200"/>
    <n v="36"/>
    <n v="9.82"/>
    <n v="1132.83"/>
    <n v="42.6"/>
    <s v="Default"/>
    <n v="45"/>
    <n v="1"/>
    <s v="Full-Time"/>
    <n v="1"/>
    <x v="1"/>
  </r>
  <r>
    <s v="LN-00123"/>
    <s v="BRW-0100"/>
    <d v="2024-03-12T00:00:00"/>
    <s v="Education"/>
    <n v="14400"/>
    <n v="36"/>
    <n v="10.52"/>
    <n v="468.17"/>
    <n v="49.3"/>
    <s v="Late"/>
    <n v="15"/>
    <n v="0"/>
    <s v="Full-Time"/>
    <n v="5"/>
    <x v="0"/>
  </r>
  <r>
    <s v="LN-00124"/>
    <s v="BRW-0101"/>
    <d v="2024-04-18T00:00:00"/>
    <s v="Vacation"/>
    <n v="8000"/>
    <n v="48"/>
    <n v="6.93"/>
    <n v="191.31"/>
    <n v="52.7"/>
    <s v="Current"/>
    <n v="0"/>
    <n v="0"/>
    <s v="Part-Time"/>
    <n v="8"/>
    <x v="0"/>
  </r>
  <r>
    <s v="LN-00125"/>
    <s v="BRW-0102"/>
    <d v="2024-06-01T00:00:00"/>
    <s v="Wedding"/>
    <n v="39300"/>
    <n v="12"/>
    <n v="12.63"/>
    <n v="3503.35"/>
    <n v="88.9"/>
    <s v="Current"/>
    <n v="0"/>
    <n v="0"/>
    <s v="Full-Time"/>
    <n v="18"/>
    <x v="0"/>
  </r>
  <r>
    <s v="LN-00126"/>
    <s v="BRW-0103"/>
    <d v="2025-05-17T00:00:00"/>
    <s v="Medical Expenses"/>
    <n v="40800"/>
    <n v="60"/>
    <n v="9.25"/>
    <n v="851.9"/>
    <n v="65.900000000000006"/>
    <s v="Paid Off"/>
    <n v="0"/>
    <n v="0"/>
    <s v="Full-Time"/>
    <n v="12"/>
    <x v="0"/>
  </r>
  <r>
    <s v="LN-00127"/>
    <s v="BRW-0104"/>
    <d v="2025-01-02T00:00:00"/>
    <s v="Home Improvement"/>
    <n v="2200"/>
    <n v="48"/>
    <n v="6.79"/>
    <n v="52.47"/>
    <n v="50.9"/>
    <s v="Current"/>
    <n v="0"/>
    <n v="0"/>
    <s v="Self-Employed"/>
    <n v="0"/>
    <x v="1"/>
  </r>
  <r>
    <s v="LN-00128"/>
    <s v="BRW-0104"/>
    <d v="2025-04-15T00:00:00"/>
    <s v="Home Improvement"/>
    <n v="43000"/>
    <n v="36"/>
    <n v="6.59"/>
    <n v="1319.67"/>
    <n v="66.8"/>
    <s v="Current"/>
    <n v="0"/>
    <n v="0"/>
    <s v="Self-Employed"/>
    <n v="0"/>
    <x v="1"/>
  </r>
  <r>
    <s v="LN-00129"/>
    <s v="BRW-0105"/>
    <d v="2025-01-02T00:00:00"/>
    <s v="Major Purchase"/>
    <n v="16300"/>
    <n v="48"/>
    <n v="13.45"/>
    <n v="440.94"/>
    <n v="45.3"/>
    <s v="Late"/>
    <n v="15"/>
    <n v="0"/>
    <s v="Full-Time"/>
    <n v="20"/>
    <x v="0"/>
  </r>
  <r>
    <s v="LN-00130"/>
    <s v="BRW-0106"/>
    <d v="2025-02-02T00:00:00"/>
    <s v="Debt Consolidation"/>
    <n v="18500"/>
    <n v="60"/>
    <n v="7.03"/>
    <n v="366.58"/>
    <n v="32.6"/>
    <s v="Default"/>
    <n v="168"/>
    <n v="1"/>
    <s v="Full-Time"/>
    <n v="2"/>
    <x v="0"/>
  </r>
  <r>
    <s v="LN-00131"/>
    <s v="BRW-0107"/>
    <d v="2024-01-17T00:00:00"/>
    <s v="Vacation"/>
    <n v="38600"/>
    <n v="48"/>
    <n v="14.52"/>
    <n v="1064.9000000000001"/>
    <n v="49.5"/>
    <s v="Default"/>
    <n v="44"/>
    <n v="1"/>
    <s v="Full-Time"/>
    <n v="3"/>
    <x v="0"/>
  </r>
  <r>
    <s v="LN-00132"/>
    <s v="BRW-0108"/>
    <d v="2024-06-01T00:00:00"/>
    <s v="Debt Consolidation"/>
    <n v="12200"/>
    <n v="60"/>
    <n v="9.2799999999999994"/>
    <n v="254.91"/>
    <n v="32.4"/>
    <s v="Current"/>
    <n v="0"/>
    <n v="0"/>
    <s v="Contract"/>
    <n v="18"/>
    <x v="0"/>
  </r>
  <r>
    <s v="LN-00133"/>
    <s v="BRW-0109"/>
    <d v="2024-05-13T00:00:00"/>
    <s v="Vacation"/>
    <n v="17200"/>
    <n v="60"/>
    <n v="8.1"/>
    <n v="349.58"/>
    <n v="38"/>
    <s v="Default"/>
    <n v="42"/>
    <n v="1"/>
    <s v="Retired"/>
    <n v="6"/>
    <x v="0"/>
  </r>
  <r>
    <s v="LN-00134"/>
    <s v="BRW-0110"/>
    <d v="2024-04-18T00:00:00"/>
    <s v="Home Improvement"/>
    <n v="10200"/>
    <n v="60"/>
    <n v="9.09"/>
    <n v="212.18"/>
    <n v="13.5"/>
    <s v="Default"/>
    <n v="86"/>
    <n v="1"/>
    <s v="Full-Time"/>
    <n v="18"/>
    <x v="0"/>
  </r>
  <r>
    <s v="LN-00135"/>
    <s v="BRW-0110"/>
    <d v="2024-05-20T00:00:00"/>
    <s v="Home Improvement"/>
    <n v="22500"/>
    <n v="48"/>
    <n v="10.39"/>
    <n v="574.88"/>
    <n v="18.7"/>
    <s v="Late"/>
    <n v="30"/>
    <n v="0"/>
    <s v="Full-Time"/>
    <n v="18"/>
    <x v="0"/>
  </r>
  <r>
    <s v="LN-00136"/>
    <s v="BRW-0111"/>
    <d v="2024-06-21T00:00:00"/>
    <s v="Medical Expenses"/>
    <n v="6500"/>
    <n v="24"/>
    <n v="12.17"/>
    <n v="306.49"/>
    <n v="57.1"/>
    <s v="Current"/>
    <n v="0"/>
    <n v="0"/>
    <s v="Part-Time"/>
    <n v="7"/>
    <x v="0"/>
  </r>
  <r>
    <s v="LN-00137"/>
    <s v="BRW-0112"/>
    <d v="2024-06-10T00:00:00"/>
    <s v="Debt Consolidation"/>
    <n v="16200"/>
    <n v="60"/>
    <n v="12.73"/>
    <n v="366.36"/>
    <n v="59.5"/>
    <s v="Default"/>
    <n v="154"/>
    <n v="1"/>
    <s v="Full-Time"/>
    <n v="9"/>
    <x v="0"/>
  </r>
  <r>
    <s v="LN-00138"/>
    <s v="BRW-0112"/>
    <d v="2024-10-17T00:00:00"/>
    <s v="Home Improvement"/>
    <n v="4000"/>
    <n v="12"/>
    <n v="14.38"/>
    <n v="359.86"/>
    <n v="59.3"/>
    <s v="Default"/>
    <n v="151"/>
    <n v="1"/>
    <s v="Full-Time"/>
    <n v="9"/>
    <x v="0"/>
  </r>
  <r>
    <s v="LN-00139"/>
    <s v="BRW-0113"/>
    <d v="2024-06-27T00:00:00"/>
    <s v="Business Loan"/>
    <n v="14400"/>
    <n v="48"/>
    <n v="8.3800000000000008"/>
    <n v="354.12"/>
    <n v="29.9"/>
    <s v="Current"/>
    <n v="0"/>
    <n v="0"/>
    <s v="Full-Time"/>
    <n v="6"/>
    <x v="0"/>
  </r>
  <r>
    <s v="LN-00140"/>
    <s v="BRW-0114"/>
    <d v="2024-08-29T00:00:00"/>
    <s v="Home Improvement"/>
    <n v="39600"/>
    <n v="36"/>
    <n v="10.79"/>
    <n v="1292.52"/>
    <n v="73.400000000000006"/>
    <s v="Default"/>
    <n v="165"/>
    <n v="1"/>
    <s v="Part-Time"/>
    <n v="0"/>
    <x v="1"/>
  </r>
  <r>
    <s v="LN-00141"/>
    <s v="BRW-0115"/>
    <d v="2025-04-20T00:00:00"/>
    <s v="Wedding"/>
    <n v="23700"/>
    <n v="60"/>
    <n v="8.3699999999999992"/>
    <n v="484.76"/>
    <n v="25.1"/>
    <s v="Current"/>
    <n v="0"/>
    <n v="0"/>
    <s v="Self-Employed"/>
    <n v="11"/>
    <x v="0"/>
  </r>
  <r>
    <s v="LN-00142"/>
    <s v="BRW-0115"/>
    <d v="2024-06-12T00:00:00"/>
    <s v="Business Loan"/>
    <n v="4400"/>
    <n v="48"/>
    <n v="8.32"/>
    <n v="108.08"/>
    <n v="14.2"/>
    <s v="Late"/>
    <n v="0"/>
    <n v="0"/>
    <s v="Self-Employed"/>
    <n v="11"/>
    <x v="0"/>
  </r>
  <r>
    <s v="LN-00143"/>
    <s v="BRW-0116"/>
    <d v="2024-02-23T00:00:00"/>
    <s v="Major Purchase"/>
    <n v="17400"/>
    <n v="48"/>
    <n v="11.22"/>
    <n v="451.57"/>
    <n v="56.4"/>
    <s v="Paid Off"/>
    <n v="0"/>
    <n v="0"/>
    <s v="Full-Time"/>
    <n v="3"/>
    <x v="0"/>
  </r>
  <r>
    <s v="LN-00144"/>
    <s v="BRW-0117"/>
    <d v="2024-11-29T00:00:00"/>
    <s v="Home Improvement"/>
    <n v="4200"/>
    <n v="48"/>
    <n v="12.38"/>
    <n v="111.39"/>
    <n v="39.299999999999997"/>
    <s v="Paid Off"/>
    <n v="0"/>
    <n v="0"/>
    <s v="Self-Employed"/>
    <n v="7"/>
    <x v="0"/>
  </r>
  <r>
    <s v="LN-00145"/>
    <s v="BRW-0118"/>
    <d v="2025-01-19T00:00:00"/>
    <s v="Home Improvement"/>
    <n v="6300"/>
    <n v="48"/>
    <n v="13.3"/>
    <n v="169.95"/>
    <n v="8.8000000000000007"/>
    <s v="Current"/>
    <n v="0"/>
    <n v="0"/>
    <s v="Full-Time"/>
    <n v="5"/>
    <x v="0"/>
  </r>
  <r>
    <s v="LN-00146"/>
    <s v="BRW-0119"/>
    <d v="2025-01-17T00:00:00"/>
    <s v="Major Purchase"/>
    <n v="25400"/>
    <n v="48"/>
    <n v="10.99"/>
    <n v="656.35"/>
    <n v="41.1"/>
    <s v="Default"/>
    <n v="79"/>
    <n v="1"/>
    <s v="Full-Time"/>
    <n v="13"/>
    <x v="0"/>
  </r>
  <r>
    <s v="LN-00147"/>
    <s v="BRW-0120"/>
    <d v="2024-05-19T00:00:00"/>
    <s v="Auto Loan"/>
    <n v="6800"/>
    <n v="60"/>
    <n v="6.15"/>
    <n v="131.94"/>
    <n v="33.200000000000003"/>
    <s v="Default"/>
    <n v="149"/>
    <n v="1"/>
    <s v="Full-Time"/>
    <n v="1"/>
    <x v="1"/>
  </r>
  <r>
    <s v="LN-00148"/>
    <s v="BRW-0121"/>
    <d v="2024-06-23T00:00:00"/>
    <s v="Medical Expenses"/>
    <n v="12600"/>
    <n v="36"/>
    <n v="10.52"/>
    <n v="409.65"/>
    <n v="31.9"/>
    <s v="Current"/>
    <n v="0"/>
    <n v="0"/>
    <s v="Full-Time"/>
    <n v="27"/>
    <x v="0"/>
  </r>
  <r>
    <s v="LN-00149"/>
    <s v="BRW-0122"/>
    <d v="2025-04-18T00:00:00"/>
    <s v="Moving"/>
    <n v="31100"/>
    <n v="60"/>
    <n v="8.3000000000000007"/>
    <n v="635.07000000000005"/>
    <n v="49.3"/>
    <s v="Paid Off"/>
    <n v="0"/>
    <n v="0"/>
    <s v="Full-Time"/>
    <n v="5"/>
    <x v="0"/>
  </r>
  <r>
    <s v="LN-00150"/>
    <s v="BRW-0123"/>
    <d v="2024-01-06T00:00:00"/>
    <s v="Education"/>
    <n v="10300"/>
    <n v="60"/>
    <n v="11.2"/>
    <n v="224.98"/>
    <n v="27.6"/>
    <s v="Paid Off"/>
    <n v="0"/>
    <n v="0"/>
    <s v="Self-Employed"/>
    <n v="13"/>
    <x v="0"/>
  </r>
  <r>
    <s v="LN-00151"/>
    <s v="BRW-0124"/>
    <d v="2024-04-10T00:00:00"/>
    <s v="Moving"/>
    <n v="11900"/>
    <n v="48"/>
    <n v="12.47"/>
    <n v="316.13"/>
    <n v="35"/>
    <s v="Current"/>
    <n v="0"/>
    <n v="0"/>
    <s v="Self-Employed"/>
    <n v="16"/>
    <x v="0"/>
  </r>
  <r>
    <s v="LN-00152"/>
    <s v="BRW-0125"/>
    <d v="2024-04-02T00:00:00"/>
    <s v="Major Purchase"/>
    <n v="8400"/>
    <n v="36"/>
    <n v="9.11"/>
    <n v="267.55"/>
    <n v="38.200000000000003"/>
    <s v="Default"/>
    <n v="108"/>
    <n v="1"/>
    <s v="Full-Time"/>
    <n v="2"/>
    <x v="0"/>
  </r>
  <r>
    <s v="LN-00153"/>
    <s v="BRW-0126"/>
    <d v="2025-04-19T00:00:00"/>
    <s v="Vacation"/>
    <n v="37900"/>
    <n v="12"/>
    <n v="12.45"/>
    <n v="3375.35"/>
    <n v="98.6"/>
    <s v="Late"/>
    <n v="15"/>
    <n v="0"/>
    <s v="Full-Time"/>
    <n v="3"/>
    <x v="0"/>
  </r>
  <r>
    <s v="LN-00154"/>
    <s v="BRW-0127"/>
    <d v="2024-03-13T00:00:00"/>
    <s v="Education"/>
    <n v="30000"/>
    <n v="12"/>
    <n v="14.64"/>
    <n v="2702.66"/>
    <n v="100.5"/>
    <s v="Default"/>
    <n v="115"/>
    <n v="1"/>
    <s v="Self-Employed"/>
    <n v="22"/>
    <x v="0"/>
  </r>
  <r>
    <s v="LN-00155"/>
    <s v="BRW-0128"/>
    <d v="2024-07-31T00:00:00"/>
    <s v="Auto Loan"/>
    <n v="14900"/>
    <n v="60"/>
    <n v="8.5500000000000007"/>
    <n v="306.06"/>
    <n v="21"/>
    <s v="Paid Off"/>
    <n v="0"/>
    <n v="0"/>
    <s v="Contract"/>
    <n v="0"/>
    <x v="1"/>
  </r>
  <r>
    <s v="LN-00156"/>
    <s v="BRW-0129"/>
    <d v="2024-04-23T00:00:00"/>
    <s v="Debt Consolidation"/>
    <n v="45700"/>
    <n v="36"/>
    <n v="12.54"/>
    <n v="1529.71"/>
    <n v="50.5"/>
    <s v="Current"/>
    <n v="0"/>
    <n v="0"/>
    <s v="Self-Employed"/>
    <n v="0"/>
    <x v="1"/>
  </r>
  <r>
    <s v="LN-00157"/>
    <s v="BRW-0130"/>
    <d v="2024-12-08T00:00:00"/>
    <s v="Moving"/>
    <n v="25000"/>
    <n v="24"/>
    <n v="7.43"/>
    <n v="1124.19"/>
    <n v="59.5"/>
    <s v="Current"/>
    <n v="0"/>
    <n v="0"/>
    <s v="Retired"/>
    <n v="3"/>
    <x v="0"/>
  </r>
  <r>
    <s v="LN-00158"/>
    <s v="BRW-0131"/>
    <d v="2024-09-30T00:00:00"/>
    <s v="Wedding"/>
    <n v="32900"/>
    <n v="24"/>
    <n v="12.42"/>
    <n v="1555.18"/>
    <n v="63.7"/>
    <s v="Current"/>
    <n v="0"/>
    <n v="0"/>
    <s v="Retired"/>
    <n v="9"/>
    <x v="0"/>
  </r>
  <r>
    <s v="LN-00159"/>
    <s v="BRW-0131"/>
    <d v="2025-04-26T00:00:00"/>
    <s v="Education"/>
    <n v="12900"/>
    <n v="60"/>
    <n v="14.96"/>
    <n v="306.62"/>
    <n v="19.8"/>
    <s v="Current"/>
    <n v="0"/>
    <n v="0"/>
    <s v="Retired"/>
    <n v="9"/>
    <x v="0"/>
  </r>
  <r>
    <s v="LN-00160"/>
    <s v="BRW-0132"/>
    <d v="2025-04-13T00:00:00"/>
    <s v="Wedding"/>
    <n v="34300"/>
    <n v="12"/>
    <n v="9.7100000000000009"/>
    <n v="3010.89"/>
    <n v="63"/>
    <s v="Default"/>
    <n v="130"/>
    <n v="1"/>
    <s v="Full-Time"/>
    <n v="6"/>
    <x v="0"/>
  </r>
  <r>
    <s v="LN-00161"/>
    <s v="BRW-0133"/>
    <d v="2024-05-31T00:00:00"/>
    <s v="Auto Loan"/>
    <n v="5700"/>
    <n v="24"/>
    <n v="12"/>
    <n v="268.32"/>
    <n v="19.100000000000001"/>
    <s v="Late"/>
    <n v="15"/>
    <n v="0"/>
    <s v="Full-Time"/>
    <n v="14"/>
    <x v="0"/>
  </r>
  <r>
    <s v="LN-00162"/>
    <s v="BRW-0133"/>
    <d v="2025-04-30T00:00:00"/>
    <s v="Debt Consolidation"/>
    <n v="48500"/>
    <n v="60"/>
    <n v="15.28"/>
    <n v="1160.95"/>
    <n v="32"/>
    <s v="Late"/>
    <n v="0"/>
    <n v="0"/>
    <s v="Full-Time"/>
    <n v="14"/>
    <x v="0"/>
  </r>
  <r>
    <s v="LN-00163"/>
    <s v="BRW-0134"/>
    <d v="2025-02-25T00:00:00"/>
    <s v="Home Improvement"/>
    <n v="21200"/>
    <n v="60"/>
    <n v="13.29"/>
    <n v="485.52"/>
    <n v="31.3"/>
    <s v="Paid Off"/>
    <n v="0"/>
    <n v="0"/>
    <s v="Self-Employed"/>
    <n v="0"/>
    <x v="1"/>
  </r>
  <r>
    <s v="LN-00164"/>
    <s v="BRW-0135"/>
    <d v="2024-11-09T00:00:00"/>
    <s v="Moving"/>
    <n v="20400"/>
    <n v="36"/>
    <n v="11.07"/>
    <n v="668.55"/>
    <n v="30.1"/>
    <s v="Current"/>
    <n v="0"/>
    <n v="0"/>
    <s v="Part-Time"/>
    <n v="4"/>
    <x v="0"/>
  </r>
  <r>
    <s v="LN-00165"/>
    <s v="BRW-0136"/>
    <d v="2024-06-13T00:00:00"/>
    <s v="Debt Consolidation"/>
    <n v="9200"/>
    <n v="24"/>
    <n v="8.93"/>
    <n v="420"/>
    <n v="30.1"/>
    <s v="Paid Off"/>
    <n v="0"/>
    <n v="0"/>
    <s v="Part-Time"/>
    <n v="3"/>
    <x v="0"/>
  </r>
  <r>
    <s v="LN-00166"/>
    <s v="BRW-0136"/>
    <d v="2025-03-27T00:00:00"/>
    <s v="Medical Expenses"/>
    <n v="5100"/>
    <n v="36"/>
    <n v="8.7100000000000009"/>
    <n v="161.49"/>
    <n v="24.6"/>
    <s v="Current"/>
    <n v="0"/>
    <n v="0"/>
    <s v="Part-Time"/>
    <n v="3"/>
    <x v="0"/>
  </r>
  <r>
    <s v="LN-00167"/>
    <s v="BRW-0137"/>
    <d v="2024-06-15T00:00:00"/>
    <s v="Education"/>
    <n v="9100"/>
    <n v="48"/>
    <n v="10.07"/>
    <n v="231.11"/>
    <n v="13.3"/>
    <s v="Current"/>
    <n v="0"/>
    <n v="0"/>
    <s v="Self-Employed"/>
    <n v="6"/>
    <x v="0"/>
  </r>
  <r>
    <s v="LN-00168"/>
    <s v="BRW-0138"/>
    <d v="2025-06-03T00:00:00"/>
    <s v="Medical Expenses"/>
    <n v="46500"/>
    <n v="24"/>
    <n v="10.199999999999999"/>
    <n v="2150.0300000000002"/>
    <n v="71.5"/>
    <s v="Default"/>
    <n v="105"/>
    <n v="1"/>
    <s v="Full-Time"/>
    <n v="16"/>
    <x v="0"/>
  </r>
  <r>
    <s v="LN-00169"/>
    <s v="BRW-0138"/>
    <d v="2025-03-28T00:00:00"/>
    <s v="Vacation"/>
    <n v="48500"/>
    <n v="60"/>
    <n v="13.52"/>
    <n v="1116.48"/>
    <n v="61.3"/>
    <s v="Default"/>
    <n v="58"/>
    <n v="1"/>
    <s v="Full-Time"/>
    <n v="16"/>
    <x v="0"/>
  </r>
  <r>
    <s v="LN-00170"/>
    <s v="BRW-0139"/>
    <d v="2024-08-13T00:00:00"/>
    <s v="Debt Consolidation"/>
    <n v="13500"/>
    <n v="36"/>
    <n v="10.039999999999999"/>
    <n v="435.86"/>
    <n v="45.8"/>
    <s v="Current"/>
    <n v="0"/>
    <n v="0"/>
    <s v="Retired"/>
    <n v="7"/>
    <x v="0"/>
  </r>
  <r>
    <s v="LN-00171"/>
    <s v="BRW-0140"/>
    <d v="2024-03-26T00:00:00"/>
    <s v="Wedding"/>
    <n v="19900"/>
    <n v="36"/>
    <n v="8.2799999999999994"/>
    <n v="626.16999999999996"/>
    <n v="64.900000000000006"/>
    <s v="Late"/>
    <n v="0"/>
    <n v="0"/>
    <s v="Retired"/>
    <n v="28"/>
    <x v="0"/>
  </r>
  <r>
    <s v="LN-00172"/>
    <s v="BRW-0141"/>
    <d v="2024-02-27T00:00:00"/>
    <s v="Moving"/>
    <n v="11000"/>
    <n v="60"/>
    <n v="10.53"/>
    <n v="236.6"/>
    <n v="29.5"/>
    <s v="Current"/>
    <n v="0"/>
    <n v="0"/>
    <s v="Retired"/>
    <n v="4"/>
    <x v="0"/>
  </r>
  <r>
    <s v="LN-00173"/>
    <s v="BRW-0142"/>
    <d v="2025-04-01T00:00:00"/>
    <s v="Education"/>
    <n v="2600"/>
    <n v="36"/>
    <n v="12.52"/>
    <n v="87"/>
    <n v="49.7"/>
    <s v="Paid Off"/>
    <n v="0"/>
    <n v="0"/>
    <s v="Full-Time"/>
    <n v="0"/>
    <x v="1"/>
  </r>
  <r>
    <s v="LN-00174"/>
    <s v="BRW-0142"/>
    <d v="2025-03-10T00:00:00"/>
    <s v="Vacation"/>
    <n v="21900"/>
    <n v="48"/>
    <n v="12.21"/>
    <n v="578.97"/>
    <n v="58.1"/>
    <s v="Paid Off"/>
    <n v="0"/>
    <n v="0"/>
    <s v="Full-Time"/>
    <n v="0"/>
    <x v="1"/>
  </r>
  <r>
    <s v="LN-00175"/>
    <s v="BRW-0143"/>
    <d v="2024-03-08T00:00:00"/>
    <s v="Medical Expenses"/>
    <n v="19300"/>
    <n v="60"/>
    <n v="11.3"/>
    <n v="422.52"/>
    <n v="21.6"/>
    <s v="Current"/>
    <n v="0"/>
    <n v="0"/>
    <s v="Full-Time"/>
    <n v="0"/>
    <x v="1"/>
  </r>
  <r>
    <s v="LN-00176"/>
    <s v="BRW-0144"/>
    <d v="2024-05-20T00:00:00"/>
    <s v="Auto Loan"/>
    <n v="20600"/>
    <n v="60"/>
    <n v="14.08"/>
    <n v="480.18"/>
    <n v="26.5"/>
    <s v="Default"/>
    <n v="127"/>
    <n v="1"/>
    <s v="Full-Time"/>
    <n v="21"/>
    <x v="0"/>
  </r>
  <r>
    <s v="LN-00177"/>
    <s v="BRW-0145"/>
    <d v="2025-04-19T00:00:00"/>
    <s v="Vacation"/>
    <n v="17700"/>
    <n v="60"/>
    <n v="7.49"/>
    <n v="354.59"/>
    <n v="32.6"/>
    <s v="Current"/>
    <n v="0"/>
    <n v="0"/>
    <s v="Retired"/>
    <n v="5"/>
    <x v="0"/>
  </r>
  <r>
    <s v="LN-00178"/>
    <s v="BRW-0146"/>
    <d v="2025-05-18T00:00:00"/>
    <s v="Vacation"/>
    <n v="24800"/>
    <n v="36"/>
    <n v="10.24"/>
    <n v="803.02"/>
    <n v="31.1"/>
    <s v="Current"/>
    <n v="0"/>
    <n v="0"/>
    <s v="Full-Time"/>
    <n v="2"/>
    <x v="0"/>
  </r>
  <r>
    <s v="LN-00179"/>
    <s v="BRW-0147"/>
    <d v="2025-03-22T00:00:00"/>
    <s v="Vacation"/>
    <n v="5200"/>
    <n v="36"/>
    <n v="12.72"/>
    <n v="174.51"/>
    <n v="25.8"/>
    <s v="Current"/>
    <n v="0"/>
    <n v="0"/>
    <s v="Retired"/>
    <n v="21"/>
    <x v="0"/>
  </r>
  <r>
    <s v="LN-00180"/>
    <s v="BRW-0148"/>
    <d v="2024-06-15T00:00:00"/>
    <s v="Home Improvement"/>
    <n v="37200"/>
    <n v="12"/>
    <n v="14.59"/>
    <n v="3350.42"/>
    <n v="96.8"/>
    <s v="Current"/>
    <n v="0"/>
    <n v="0"/>
    <s v="Full-Time"/>
    <n v="19"/>
    <x v="0"/>
  </r>
  <r>
    <s v="LN-00181"/>
    <s v="BRW-0149"/>
    <d v="2024-12-30T00:00:00"/>
    <s v="Education"/>
    <n v="12800"/>
    <n v="48"/>
    <n v="9.6999999999999993"/>
    <n v="322.8"/>
    <n v="10.5"/>
    <s v="Default"/>
    <n v="104"/>
    <n v="1"/>
    <s v="Retired"/>
    <n v="5"/>
    <x v="0"/>
  </r>
  <r>
    <s v="LN-00182"/>
    <s v="BRW-0150"/>
    <d v="2024-06-20T00:00:00"/>
    <s v="Home Improvement"/>
    <n v="38800"/>
    <n v="24"/>
    <n v="10.86"/>
    <n v="1805.86"/>
    <n v="58.6"/>
    <s v="Late"/>
    <n v="15"/>
    <n v="0"/>
    <s v="Full-Time"/>
    <n v="6"/>
    <x v="0"/>
  </r>
  <r>
    <s v="LN-00183"/>
    <s v="BRW-0151"/>
    <d v="2024-12-26T00:00:00"/>
    <s v="Auto Loan"/>
    <n v="35500"/>
    <n v="36"/>
    <n v="7"/>
    <n v="1096.1400000000001"/>
    <n v="26.5"/>
    <s v="Current"/>
    <n v="0"/>
    <n v="0"/>
    <s v="Full-Time"/>
    <n v="0"/>
    <x v="1"/>
  </r>
  <r>
    <s v="LN-00184"/>
    <s v="BRW-0152"/>
    <d v="2024-06-07T00:00:00"/>
    <s v="Vacation"/>
    <n v="34400"/>
    <n v="24"/>
    <n v="6.36"/>
    <n v="1530.22"/>
    <n v="64.8"/>
    <s v="Paid Off"/>
    <n v="0"/>
    <n v="0"/>
    <s v="Full-Time"/>
    <n v="25"/>
    <x v="0"/>
  </r>
  <r>
    <s v="LN-00185"/>
    <s v="BRW-0153"/>
    <d v="2024-03-19T00:00:00"/>
    <s v="Moving"/>
    <n v="36200"/>
    <n v="12"/>
    <n v="9.35"/>
    <n v="3171.62"/>
    <n v="103.5"/>
    <s v="Default"/>
    <n v="63"/>
    <n v="1"/>
    <s v="Retired"/>
    <n v="14"/>
    <x v="0"/>
  </r>
  <r>
    <s v="LN-00186"/>
    <s v="BRW-0154"/>
    <d v="2025-06-19T00:00:00"/>
    <s v="Vacation"/>
    <n v="31400"/>
    <n v="24"/>
    <n v="11.24"/>
    <n v="1466.99"/>
    <n v="54.3"/>
    <s v="Paid Off"/>
    <n v="0"/>
    <n v="0"/>
    <s v="Retired"/>
    <n v="12"/>
    <x v="0"/>
  </r>
  <r>
    <s v="LN-00187"/>
    <s v="BRW-0154"/>
    <d v="2024-05-25T00:00:00"/>
    <s v="Debt Consolidation"/>
    <n v="7700"/>
    <n v="24"/>
    <n v="11.43"/>
    <n v="360.42"/>
    <n v="32.9"/>
    <s v="Current"/>
    <n v="0"/>
    <n v="0"/>
    <s v="Retired"/>
    <n v="12"/>
    <x v="0"/>
  </r>
  <r>
    <s v="LN-00188"/>
    <s v="BRW-0155"/>
    <d v="2025-05-10T00:00:00"/>
    <s v="Major Purchase"/>
    <n v="39600"/>
    <n v="12"/>
    <n v="9.0399999999999991"/>
    <n v="3463.81"/>
    <n v="114.2"/>
    <s v="Current"/>
    <n v="0"/>
    <n v="0"/>
    <s v="Contract"/>
    <n v="0"/>
    <x v="1"/>
  </r>
  <r>
    <s v="LN-00189"/>
    <s v="BRW-0155"/>
    <d v="2024-11-04T00:00:00"/>
    <s v="Moving"/>
    <n v="24500"/>
    <n v="36"/>
    <n v="9.17"/>
    <n v="781.03"/>
    <n v="65.8"/>
    <s v="Paid Off"/>
    <n v="0"/>
    <n v="0"/>
    <s v="Contract"/>
    <n v="0"/>
    <x v="1"/>
  </r>
  <r>
    <s v="LN-00190"/>
    <s v="BRW-0156"/>
    <d v="2024-05-29T00:00:00"/>
    <s v="Business Loan"/>
    <n v="11600"/>
    <n v="36"/>
    <n v="9.86"/>
    <n v="373.54"/>
    <n v="32.5"/>
    <s v="Late"/>
    <n v="15"/>
    <n v="0"/>
    <s v="Contract"/>
    <n v="17"/>
    <x v="0"/>
  </r>
  <r>
    <s v="LN-00191"/>
    <s v="BRW-0156"/>
    <d v="2024-03-10T00:00:00"/>
    <s v="Education"/>
    <n v="43000"/>
    <n v="60"/>
    <n v="10.93"/>
    <n v="933.42"/>
    <n v="41"/>
    <s v="Default"/>
    <n v="178"/>
    <n v="1"/>
    <s v="Contract"/>
    <n v="17"/>
    <x v="0"/>
  </r>
  <r>
    <s v="LN-00192"/>
    <s v="BRW-0157"/>
    <d v="2024-01-05T00:00:00"/>
    <s v="Moving"/>
    <n v="11200"/>
    <n v="36"/>
    <n v="8.16"/>
    <n v="351.79"/>
    <n v="57.9"/>
    <s v="Current"/>
    <n v="0"/>
    <n v="0"/>
    <s v="Contract"/>
    <n v="1"/>
    <x v="1"/>
  </r>
  <r>
    <s v="LN-00193"/>
    <s v="BRW-0158"/>
    <d v="2024-04-19T00:00:00"/>
    <s v="Vacation"/>
    <n v="15600"/>
    <n v="48"/>
    <n v="11.77"/>
    <n v="409.05"/>
    <n v="60.9"/>
    <s v="Default"/>
    <n v="120"/>
    <n v="1"/>
    <s v="Full-Time"/>
    <n v="25"/>
    <x v="0"/>
  </r>
  <r>
    <s v="LN-00194"/>
    <s v="BRW-0159"/>
    <d v="2024-11-17T00:00:00"/>
    <s v="Major Purchase"/>
    <n v="12900"/>
    <n v="12"/>
    <n v="9.64"/>
    <n v="1131.96"/>
    <n v="61.1"/>
    <s v="Default"/>
    <n v="58"/>
    <n v="1"/>
    <s v="Self-Employed"/>
    <n v="0"/>
    <x v="1"/>
  </r>
  <r>
    <s v="LN-00195"/>
    <s v="BRW-0159"/>
    <d v="2024-02-11T00:00:00"/>
    <s v="Moving"/>
    <n v="34000"/>
    <n v="36"/>
    <n v="8.6199999999999992"/>
    <n v="1075.19"/>
    <n v="60.4"/>
    <s v="Default"/>
    <n v="156"/>
    <n v="1"/>
    <s v="Self-Employed"/>
    <n v="0"/>
    <x v="1"/>
  </r>
  <r>
    <s v="LN-00196"/>
    <s v="BRW-0160"/>
    <d v="2025-02-21T00:00:00"/>
    <s v="Auto Loan"/>
    <n v="31800"/>
    <n v="48"/>
    <n v="9.85"/>
    <n v="804.24"/>
    <n v="56.2"/>
    <s v="Default"/>
    <n v="139"/>
    <n v="1"/>
    <s v="Part-Time"/>
    <n v="15"/>
    <x v="0"/>
  </r>
  <r>
    <s v="LN-00197"/>
    <s v="BRW-0161"/>
    <d v="2025-05-18T00:00:00"/>
    <s v="Home Improvement"/>
    <n v="40500"/>
    <n v="36"/>
    <n v="6.81"/>
    <n v="1247.01"/>
    <n v="56.1"/>
    <s v="Current"/>
    <n v="0"/>
    <n v="0"/>
    <s v="Full-Time"/>
    <n v="34"/>
    <x v="0"/>
  </r>
  <r>
    <s v="LN-00198"/>
    <s v="BRW-0162"/>
    <d v="2024-06-21T00:00:00"/>
    <s v="Home Improvement"/>
    <n v="7000"/>
    <n v="60"/>
    <n v="12.59"/>
    <n v="157.81"/>
    <n v="29.2"/>
    <s v="Default"/>
    <n v="80"/>
    <n v="1"/>
    <s v="Part-Time"/>
    <n v="5"/>
    <x v="0"/>
  </r>
  <r>
    <s v="LN-00199"/>
    <s v="BRW-0163"/>
    <d v="2025-05-26T00:00:00"/>
    <s v="Wedding"/>
    <n v="21400"/>
    <n v="24"/>
    <n v="15.11"/>
    <n v="1038.73"/>
    <n v="71.099999999999994"/>
    <s v="Default"/>
    <n v="178"/>
    <n v="1"/>
    <s v="Self-Employed"/>
    <n v="24"/>
    <x v="0"/>
  </r>
  <r>
    <s v="LN-00200"/>
    <s v="BRW-0164"/>
    <d v="2025-06-07T00:00:00"/>
    <s v="Major Purchase"/>
    <n v="30000"/>
    <n v="48"/>
    <n v="13.97"/>
    <n v="819.34"/>
    <n v="27.9"/>
    <s v="Current"/>
    <n v="0"/>
    <n v="0"/>
    <s v="Full-Time"/>
    <n v="3"/>
    <x v="0"/>
  </r>
  <r>
    <s v="LN-00201"/>
    <s v="BRW-0165"/>
    <d v="2024-02-24T00:00:00"/>
    <s v="Vacation"/>
    <n v="28300"/>
    <n v="12"/>
    <n v="7.71"/>
    <n v="2457.98"/>
    <n v="65.099999999999994"/>
    <s v="Current"/>
    <n v="0"/>
    <n v="0"/>
    <s v="Contract"/>
    <n v="22"/>
    <x v="0"/>
  </r>
  <r>
    <s v="LN-00202"/>
    <s v="BRW-0166"/>
    <d v="2024-03-19T00:00:00"/>
    <s v="Wedding"/>
    <n v="9300"/>
    <n v="60"/>
    <n v="13.93"/>
    <n v="216.06"/>
    <n v="50.9"/>
    <s v="Current"/>
    <n v="0"/>
    <n v="0"/>
    <s v="Full-Time"/>
    <n v="20"/>
    <x v="0"/>
  </r>
  <r>
    <s v="LN-00203"/>
    <s v="BRW-0167"/>
    <d v="2024-01-19T00:00:00"/>
    <s v="Auto Loan"/>
    <n v="21500"/>
    <n v="36"/>
    <n v="10.93"/>
    <n v="703.17"/>
    <n v="67"/>
    <s v="Current"/>
    <n v="0"/>
    <n v="0"/>
    <s v="Self-Employed"/>
    <n v="3"/>
    <x v="0"/>
  </r>
  <r>
    <s v="LN-00204"/>
    <s v="BRW-0168"/>
    <d v="2024-02-03T00:00:00"/>
    <s v="Major Purchase"/>
    <n v="42900"/>
    <n v="48"/>
    <n v="9.85"/>
    <n v="1084.97"/>
    <n v="33.299999999999997"/>
    <s v="Paid Off"/>
    <n v="0"/>
    <n v="0"/>
    <s v="Self-Employed"/>
    <n v="10"/>
    <x v="0"/>
  </r>
  <r>
    <s v="LN-00205"/>
    <s v="BRW-0168"/>
    <d v="2024-04-22T00:00:00"/>
    <s v="Medical Expenses"/>
    <n v="8500"/>
    <n v="48"/>
    <n v="9.99"/>
    <n v="215.54"/>
    <n v="25.3"/>
    <s v="Current"/>
    <n v="0"/>
    <n v="0"/>
    <s v="Self-Employed"/>
    <n v="10"/>
    <x v="0"/>
  </r>
  <r>
    <s v="LN-00206"/>
    <s v="BRW-0169"/>
    <d v="2024-09-26T00:00:00"/>
    <s v="Vacation"/>
    <n v="36800"/>
    <n v="60"/>
    <n v="7.78"/>
    <n v="742.3"/>
    <n v="39.5"/>
    <s v="Late"/>
    <n v="30"/>
    <n v="0"/>
    <s v="Full-Time"/>
    <n v="11"/>
    <x v="0"/>
  </r>
  <r>
    <s v="LN-00207"/>
    <s v="BRW-0170"/>
    <d v="2025-01-10T00:00:00"/>
    <s v="Auto Loan"/>
    <n v="2500"/>
    <n v="12"/>
    <n v="8.11"/>
    <n v="217.6"/>
    <n v="32.299999999999997"/>
    <s v="Current"/>
    <n v="0"/>
    <n v="0"/>
    <s v="Part-Time"/>
    <n v="11"/>
    <x v="0"/>
  </r>
  <r>
    <s v="LN-00208"/>
    <s v="BRW-0171"/>
    <d v="2024-02-27T00:00:00"/>
    <s v="Education"/>
    <n v="15400"/>
    <n v="36"/>
    <n v="12.59"/>
    <n v="515.85"/>
    <n v="56.6"/>
    <s v="Late"/>
    <n v="0"/>
    <n v="0"/>
    <s v="Retired"/>
    <n v="21"/>
    <x v="0"/>
  </r>
  <r>
    <s v="LN-00209"/>
    <s v="BRW-0171"/>
    <d v="2024-06-22T00:00:00"/>
    <s v="Wedding"/>
    <n v="12800"/>
    <n v="36"/>
    <n v="11.11"/>
    <n v="419.72"/>
    <n v="54"/>
    <s v="Default"/>
    <n v="113"/>
    <n v="1"/>
    <s v="Retired"/>
    <n v="21"/>
    <x v="0"/>
  </r>
  <r>
    <s v="LN-00210"/>
    <s v="BRW-0172"/>
    <d v="2025-04-25T00:00:00"/>
    <s v="Major Purchase"/>
    <n v="45300"/>
    <n v="36"/>
    <n v="7.2"/>
    <n v="1402.88"/>
    <n v="36.299999999999997"/>
    <s v="Late"/>
    <n v="30"/>
    <n v="0"/>
    <s v="Full-Time"/>
    <n v="0"/>
    <x v="1"/>
  </r>
  <r>
    <s v="LN-00211"/>
    <s v="BRW-0173"/>
    <d v="2025-05-29T00:00:00"/>
    <s v="Wedding"/>
    <n v="14800"/>
    <n v="24"/>
    <n v="8.93"/>
    <n v="675.66"/>
    <n v="23.8"/>
    <s v="Current"/>
    <n v="0"/>
    <n v="0"/>
    <s v="Full-Time"/>
    <n v="11"/>
    <x v="0"/>
  </r>
  <r>
    <s v="LN-00212"/>
    <s v="BRW-0174"/>
    <d v="2024-08-07T00:00:00"/>
    <s v="Major Purchase"/>
    <n v="11400"/>
    <n v="12"/>
    <n v="14.49"/>
    <n v="1026.2"/>
    <n v="90.3"/>
    <s v="Default"/>
    <n v="42"/>
    <n v="1"/>
    <s v="Part-Time"/>
    <n v="0"/>
    <x v="1"/>
  </r>
  <r>
    <s v="LN-00213"/>
    <s v="BRW-0175"/>
    <d v="2024-04-07T00:00:00"/>
    <s v="Wedding"/>
    <n v="10400"/>
    <n v="12"/>
    <n v="9.5399999999999991"/>
    <n v="912.1"/>
    <n v="33.700000000000003"/>
    <s v="Current"/>
    <n v="0"/>
    <n v="0"/>
    <s v="Full-Time"/>
    <n v="4"/>
    <x v="0"/>
  </r>
  <r>
    <s v="LN-00214"/>
    <s v="BRW-0176"/>
    <d v="2024-11-03T00:00:00"/>
    <s v="Major Purchase"/>
    <n v="30700"/>
    <n v="36"/>
    <n v="12.87"/>
    <n v="1032.48"/>
    <n v="56.3"/>
    <s v="Default"/>
    <n v="168"/>
    <n v="1"/>
    <s v="Contract"/>
    <n v="6"/>
    <x v="0"/>
  </r>
  <r>
    <s v="LN-00215"/>
    <s v="BRW-0177"/>
    <d v="2024-07-03T00:00:00"/>
    <s v="Major Purchase"/>
    <n v="27100"/>
    <n v="48"/>
    <n v="13.19"/>
    <n v="729.58"/>
    <n v="70.5"/>
    <s v="Current"/>
    <n v="0"/>
    <n v="0"/>
    <s v="Full-Time"/>
    <n v="11"/>
    <x v="0"/>
  </r>
  <r>
    <s v="LN-00216"/>
    <s v="BRW-0178"/>
    <d v="2025-06-29T00:00:00"/>
    <s v="Vacation"/>
    <n v="24700"/>
    <n v="48"/>
    <n v="7.62"/>
    <n v="598.6"/>
    <n v="64.8"/>
    <s v="Late"/>
    <n v="15"/>
    <n v="0"/>
    <s v="Full-Time"/>
    <n v="5"/>
    <x v="0"/>
  </r>
  <r>
    <s v="LN-00217"/>
    <s v="BRW-0179"/>
    <d v="2024-11-03T00:00:00"/>
    <s v="Debt Consolidation"/>
    <n v="14000"/>
    <n v="24"/>
    <n v="7.97"/>
    <n v="632.99"/>
    <n v="31.5"/>
    <s v="Paid Off"/>
    <n v="0"/>
    <n v="0"/>
    <s v="Retired"/>
    <n v="3"/>
    <x v="0"/>
  </r>
  <r>
    <s v="LN-00218"/>
    <s v="BRW-0179"/>
    <d v="2024-06-13T00:00:00"/>
    <s v="Home Improvement"/>
    <n v="34000"/>
    <n v="36"/>
    <n v="10.89"/>
    <n v="1111.3499999999999"/>
    <n v="46.7"/>
    <s v="Current"/>
    <n v="0"/>
    <n v="0"/>
    <s v="Retired"/>
    <n v="3"/>
    <x v="0"/>
  </r>
  <r>
    <s v="LN-00219"/>
    <s v="BRW-0180"/>
    <d v="2025-03-22T00:00:00"/>
    <s v="Business Loan"/>
    <n v="22700"/>
    <n v="36"/>
    <n v="10.39"/>
    <n v="736.63"/>
    <n v="44.9"/>
    <s v="Late"/>
    <n v="15"/>
    <n v="0"/>
    <s v="Full-Time"/>
    <n v="4"/>
    <x v="0"/>
  </r>
  <r>
    <s v="LN-00220"/>
    <s v="BRW-0181"/>
    <d v="2024-02-13T00:00:00"/>
    <s v="Debt Consolidation"/>
    <n v="22000"/>
    <n v="60"/>
    <n v="11"/>
    <n v="478.33"/>
    <n v="64.7"/>
    <s v="Current"/>
    <n v="0"/>
    <n v="0"/>
    <s v="Contract"/>
    <n v="8"/>
    <x v="0"/>
  </r>
  <r>
    <s v="LN-00221"/>
    <s v="BRW-0182"/>
    <d v="2025-02-20T00:00:00"/>
    <s v="Home Improvement"/>
    <n v="10000"/>
    <n v="12"/>
    <n v="15"/>
    <n v="902.58"/>
    <n v="61.8"/>
    <s v="Paid Off"/>
    <n v="0"/>
    <n v="0"/>
    <s v="Retired"/>
    <n v="8"/>
    <x v="0"/>
  </r>
  <r>
    <s v="LN-00222"/>
    <s v="BRW-0182"/>
    <d v="2025-05-27T00:00:00"/>
    <s v="Major Purchase"/>
    <n v="36800"/>
    <n v="24"/>
    <n v="11.68"/>
    <n v="1726.81"/>
    <n v="85.1"/>
    <s v="Paid Off"/>
    <n v="0"/>
    <n v="0"/>
    <s v="Retired"/>
    <n v="8"/>
    <x v="0"/>
  </r>
  <r>
    <s v="LN-00223"/>
    <s v="BRW-0183"/>
    <d v="2024-11-16T00:00:00"/>
    <s v="Moving"/>
    <n v="27600"/>
    <n v="24"/>
    <n v="9.2200000000000006"/>
    <n v="1263.69"/>
    <n v="64.8"/>
    <s v="Current"/>
    <n v="0"/>
    <n v="0"/>
    <s v="Full-Time"/>
    <n v="9"/>
    <x v="0"/>
  </r>
  <r>
    <s v="LN-00224"/>
    <s v="BRW-0183"/>
    <d v="2024-10-08T00:00:00"/>
    <s v="Business Loan"/>
    <n v="12500"/>
    <n v="12"/>
    <n v="7.09"/>
    <n v="1082.0999999999999"/>
    <n v="60.5"/>
    <s v="Current"/>
    <n v="0"/>
    <n v="0"/>
    <s v="Full-Time"/>
    <n v="9"/>
    <x v="0"/>
  </r>
  <r>
    <s v="LN-00225"/>
    <s v="BRW-0184"/>
    <d v="2024-09-09T00:00:00"/>
    <s v="Education"/>
    <n v="5000"/>
    <n v="60"/>
    <n v="7.95"/>
    <n v="101.26"/>
    <n v="40.700000000000003"/>
    <s v="Late"/>
    <n v="15"/>
    <n v="0"/>
    <s v="Contract"/>
    <n v="16"/>
    <x v="0"/>
  </r>
  <r>
    <s v="LN-00226"/>
    <s v="BRW-0185"/>
    <d v="2024-02-25T00:00:00"/>
    <s v="Education"/>
    <n v="2800"/>
    <n v="60"/>
    <n v="8.86"/>
    <n v="57.93"/>
    <n v="22"/>
    <s v="Current"/>
    <n v="0"/>
    <n v="0"/>
    <s v="Part-Time"/>
    <n v="3"/>
    <x v="0"/>
  </r>
  <r>
    <s v="LN-00227"/>
    <s v="BRW-0186"/>
    <d v="2024-08-30T00:00:00"/>
    <s v="Auto Loan"/>
    <n v="35600"/>
    <n v="12"/>
    <n v="9.81"/>
    <n v="3126.66"/>
    <n v="96.8"/>
    <s v="Paid Off"/>
    <n v="0"/>
    <n v="0"/>
    <s v="Full-Time"/>
    <n v="1"/>
    <x v="1"/>
  </r>
  <r>
    <s v="LN-00228"/>
    <s v="BRW-0187"/>
    <d v="2024-06-13T00:00:00"/>
    <s v="Auto Loan"/>
    <n v="46900"/>
    <n v="24"/>
    <n v="9.25"/>
    <n v="2148"/>
    <n v="34.9"/>
    <s v="Paid Off"/>
    <n v="0"/>
    <n v="0"/>
    <s v="Full-Time"/>
    <n v="32"/>
    <x v="0"/>
  </r>
  <r>
    <s v="LN-00229"/>
    <s v="BRW-0188"/>
    <d v="2025-05-18T00:00:00"/>
    <s v="Major Purchase"/>
    <n v="15200"/>
    <n v="12"/>
    <n v="12.02"/>
    <n v="1350.64"/>
    <n v="88"/>
    <s v="Paid Off"/>
    <n v="0"/>
    <n v="0"/>
    <s v="Full-Time"/>
    <n v="27"/>
    <x v="0"/>
  </r>
  <r>
    <s v="LN-00230"/>
    <s v="BRW-0189"/>
    <d v="2025-03-06T00:00:00"/>
    <s v="Home Improvement"/>
    <n v="35500"/>
    <n v="60"/>
    <n v="10.07"/>
    <n v="755.49"/>
    <n v="33.200000000000003"/>
    <s v="Paid Off"/>
    <n v="0"/>
    <n v="0"/>
    <s v="Self-Employed"/>
    <n v="15"/>
    <x v="0"/>
  </r>
  <r>
    <s v="LN-00231"/>
    <s v="BRW-0190"/>
    <d v="2024-05-19T00:00:00"/>
    <s v="Debt Consolidation"/>
    <n v="30700"/>
    <n v="24"/>
    <n v="12.35"/>
    <n v="1450.18"/>
    <n v="74.900000000000006"/>
    <s v="Default"/>
    <n v="81"/>
    <n v="1"/>
    <s v="Full-Time"/>
    <n v="1"/>
    <x v="1"/>
  </r>
  <r>
    <s v="LN-00232"/>
    <s v="BRW-0191"/>
    <d v="2024-05-13T00:00:00"/>
    <s v="Education"/>
    <n v="6300"/>
    <n v="24"/>
    <n v="12.83"/>
    <n v="299.01"/>
    <n v="51.9"/>
    <s v="Paid Off"/>
    <n v="0"/>
    <n v="0"/>
    <s v="Full-Time"/>
    <n v="27"/>
    <x v="0"/>
  </r>
  <r>
    <s v="LN-00233"/>
    <s v="BRW-0192"/>
    <d v="2024-12-01T00:00:00"/>
    <s v="Vacation"/>
    <n v="8400"/>
    <n v="24"/>
    <n v="11.52"/>
    <n v="393.54"/>
    <n v="54.4"/>
    <s v="Current"/>
    <n v="0"/>
    <n v="0"/>
    <s v="Full-Time"/>
    <n v="17"/>
    <x v="0"/>
  </r>
  <r>
    <s v="LN-00234"/>
    <s v="BRW-0193"/>
    <d v="2024-01-24T00:00:00"/>
    <s v="Major Purchase"/>
    <n v="44400"/>
    <n v="24"/>
    <n v="10.19"/>
    <n v="2052.73"/>
    <n v="74.7"/>
    <s v="Late"/>
    <n v="0"/>
    <n v="0"/>
    <s v="Part-Time"/>
    <n v="3"/>
    <x v="0"/>
  </r>
  <r>
    <s v="LN-00235"/>
    <s v="BRW-0194"/>
    <d v="2025-03-15T00:00:00"/>
    <s v="Vacation"/>
    <n v="35700"/>
    <n v="24"/>
    <n v="6.98"/>
    <n v="1598.06"/>
    <n v="64.7"/>
    <s v="Paid Off"/>
    <n v="0"/>
    <n v="0"/>
    <s v="Full-Time"/>
    <n v="1"/>
    <x v="1"/>
  </r>
  <r>
    <s v="LN-00236"/>
    <s v="BRW-0194"/>
    <d v="2025-04-09T00:00:00"/>
    <s v="Medical Expenses"/>
    <n v="7600"/>
    <n v="60"/>
    <n v="8.91"/>
    <n v="157.43"/>
    <n v="47.1"/>
    <s v="Current"/>
    <n v="0"/>
    <n v="0"/>
    <s v="Full-Time"/>
    <n v="1"/>
    <x v="1"/>
  </r>
  <r>
    <s v="LN-00237"/>
    <s v="BRW-0195"/>
    <d v="2024-07-30T00:00:00"/>
    <s v="Auto Loan"/>
    <n v="13900"/>
    <n v="24"/>
    <n v="10.54"/>
    <n v="644.88"/>
    <n v="39.1"/>
    <s v="Late"/>
    <n v="30"/>
    <n v="0"/>
    <s v="Part-Time"/>
    <n v="20"/>
    <x v="0"/>
  </r>
  <r>
    <s v="LN-00238"/>
    <s v="BRW-0196"/>
    <d v="2024-09-25T00:00:00"/>
    <s v="Major Purchase"/>
    <n v="29800"/>
    <n v="12"/>
    <n v="7.73"/>
    <n v="2588.54"/>
    <n v="81.900000000000006"/>
    <s v="Current"/>
    <n v="0"/>
    <n v="0"/>
    <s v="Full-Time"/>
    <n v="9"/>
    <x v="0"/>
  </r>
  <r>
    <s v="LN-00239"/>
    <s v="BRW-0197"/>
    <d v="2025-02-11T00:00:00"/>
    <s v="Vacation"/>
    <n v="17500"/>
    <n v="36"/>
    <n v="10.71"/>
    <n v="570.53"/>
    <n v="52"/>
    <s v="Paid Off"/>
    <n v="0"/>
    <n v="0"/>
    <s v="Self-Employed"/>
    <n v="0"/>
    <x v="1"/>
  </r>
  <r>
    <s v="LN-00240"/>
    <s v="BRW-0198"/>
    <d v="2024-08-28T00:00:00"/>
    <s v="Auto Loan"/>
    <n v="17700"/>
    <n v="12"/>
    <n v="11.3"/>
    <n v="1566.83"/>
    <n v="48.2"/>
    <s v="Late"/>
    <n v="0"/>
    <n v="0"/>
    <s v="Self-Employed"/>
    <n v="33"/>
    <x v="0"/>
  </r>
  <r>
    <s v="LN-00241"/>
    <s v="BRW-0199"/>
    <d v="2025-01-25T00:00:00"/>
    <s v="Wedding"/>
    <n v="32100"/>
    <n v="12"/>
    <n v="10.9"/>
    <n v="2835.55"/>
    <n v="139.69999999999999"/>
    <s v="Default"/>
    <n v="131"/>
    <n v="1"/>
    <s v="Part-Time"/>
    <n v="1"/>
    <x v="1"/>
  </r>
  <r>
    <s v="LN-00242"/>
    <s v="BRW-0200"/>
    <d v="2024-06-22T00:00:00"/>
    <s v="Medical Expenses"/>
    <n v="28900"/>
    <n v="60"/>
    <n v="11.63"/>
    <n v="637.47"/>
    <n v="74.599999999999994"/>
    <s v="Default"/>
    <n v="116"/>
    <n v="1"/>
    <s v="Part-Time"/>
    <n v="22"/>
    <x v="0"/>
  </r>
  <r>
    <s v="LN-00243"/>
    <s v="BRW-0201"/>
    <d v="2024-04-29T00:00:00"/>
    <s v="Medical Expenses"/>
    <n v="15500"/>
    <n v="48"/>
    <n v="7.34"/>
    <n v="373.62"/>
    <n v="49.7"/>
    <s v="Late"/>
    <n v="30"/>
    <n v="0"/>
    <s v="Full-Time"/>
    <n v="21"/>
    <x v="0"/>
  </r>
  <r>
    <s v="LN-00244"/>
    <s v="BRW-0201"/>
    <d v="2024-09-26T00:00:00"/>
    <s v="Auto Loan"/>
    <n v="46500"/>
    <n v="36"/>
    <n v="11.15"/>
    <n v="1525.66"/>
    <n v="76.5"/>
    <s v="Current"/>
    <n v="0"/>
    <n v="0"/>
    <s v="Full-Time"/>
    <n v="21"/>
    <x v="0"/>
  </r>
  <r>
    <s v="LN-00245"/>
    <s v="BRW-0202"/>
    <d v="2025-03-26T00:00:00"/>
    <s v="Medical Expenses"/>
    <n v="49700"/>
    <n v="24"/>
    <n v="11.68"/>
    <n v="2332.13"/>
    <n v="83.2"/>
    <s v="Default"/>
    <n v="68"/>
    <n v="1"/>
    <s v="Full-Time"/>
    <n v="17"/>
    <x v="0"/>
  </r>
  <r>
    <s v="LN-00246"/>
    <s v="BRW-0203"/>
    <d v="2025-05-21T00:00:00"/>
    <s v="Medical Expenses"/>
    <n v="10100"/>
    <n v="48"/>
    <n v="9.1"/>
    <n v="251.82"/>
    <n v="21.8"/>
    <s v="Default"/>
    <n v="121"/>
    <n v="1"/>
    <s v="Self-Employed"/>
    <n v="11"/>
    <x v="0"/>
  </r>
  <r>
    <s v="LN-00247"/>
    <s v="BRW-0204"/>
    <d v="2024-04-05T00:00:00"/>
    <s v="Moving"/>
    <n v="25700"/>
    <n v="24"/>
    <n v="8.25"/>
    <n v="1165.27"/>
    <n v="21.4"/>
    <s v="Paid Off"/>
    <n v="0"/>
    <n v="0"/>
    <s v="Full-Time"/>
    <n v="5"/>
    <x v="0"/>
  </r>
  <r>
    <s v="LN-00248"/>
    <s v="BRW-0204"/>
    <d v="2024-01-05T00:00:00"/>
    <s v="Moving"/>
    <n v="29000"/>
    <n v="60"/>
    <n v="8.6999999999999993"/>
    <n v="597.78"/>
    <n v="14.4"/>
    <s v="Current"/>
    <n v="0"/>
    <n v="0"/>
    <s v="Full-Time"/>
    <n v="5"/>
    <x v="0"/>
  </r>
  <r>
    <s v="LN-00249"/>
    <s v="BRW-0205"/>
    <d v="2024-05-04T00:00:00"/>
    <s v="Vacation"/>
    <n v="27200"/>
    <n v="12"/>
    <n v="8.59"/>
    <n v="2373.5100000000002"/>
    <n v="137.4"/>
    <s v="Paid Off"/>
    <n v="0"/>
    <n v="0"/>
    <s v="Retired"/>
    <n v="13"/>
    <x v="0"/>
  </r>
  <r>
    <s v="LN-00250"/>
    <s v="BRW-0206"/>
    <d v="2024-10-02T00:00:00"/>
    <s v="Medical Expenses"/>
    <n v="4700"/>
    <n v="48"/>
    <n v="11.45"/>
    <n v="122.5"/>
    <n v="22.8"/>
    <s v="Paid Off"/>
    <n v="0"/>
    <n v="0"/>
    <s v="Part-Time"/>
    <n v="1"/>
    <x v="1"/>
  </r>
  <r>
    <s v="LN-00251"/>
    <s v="BRW-0206"/>
    <d v="2024-02-19T00:00:00"/>
    <s v="Wedding"/>
    <n v="12400"/>
    <n v="60"/>
    <n v="9.83"/>
    <n v="262.43"/>
    <n v="29.9"/>
    <s v="Paid Off"/>
    <n v="0"/>
    <n v="0"/>
    <s v="Part-Time"/>
    <n v="1"/>
    <x v="1"/>
  </r>
  <r>
    <s v="LN-00252"/>
    <s v="BRW-0207"/>
    <d v="2024-09-02T00:00:00"/>
    <s v="Moving"/>
    <n v="20300"/>
    <n v="48"/>
    <n v="11.28"/>
    <n v="527.42999999999995"/>
    <n v="51.1"/>
    <s v="Late"/>
    <n v="15"/>
    <n v="0"/>
    <s v="Self-Employed"/>
    <n v="0"/>
    <x v="1"/>
  </r>
  <r>
    <s v="LN-00253"/>
    <s v="BRW-0208"/>
    <d v="2025-05-17T00:00:00"/>
    <s v="Medical Expenses"/>
    <n v="21300"/>
    <n v="24"/>
    <n v="8.7899999999999991"/>
    <n v="971.03"/>
    <n v="49"/>
    <s v="Paid Off"/>
    <n v="0"/>
    <n v="0"/>
    <s v="Full-Time"/>
    <n v="18"/>
    <x v="0"/>
  </r>
  <r>
    <s v="LN-00254"/>
    <s v="BRW-0208"/>
    <d v="2025-05-16T00:00:00"/>
    <s v="Wedding"/>
    <n v="31800"/>
    <n v="36"/>
    <n v="10.75"/>
    <n v="1037.33"/>
    <n v="49.8"/>
    <s v="Current"/>
    <n v="0"/>
    <n v="0"/>
    <s v="Full-Time"/>
    <n v="18"/>
    <x v="0"/>
  </r>
  <r>
    <s v="LN-00255"/>
    <s v="BRW-0209"/>
    <d v="2025-03-12T00:00:00"/>
    <s v="Home Improvement"/>
    <n v="40900"/>
    <n v="60"/>
    <n v="10.37"/>
    <n v="876.47"/>
    <n v="17.3"/>
    <s v="Default"/>
    <n v="161"/>
    <n v="1"/>
    <s v="Self-Employed"/>
    <n v="13"/>
    <x v="0"/>
  </r>
  <r>
    <s v="LN-00256"/>
    <s v="BRW-0210"/>
    <d v="2025-06-23T00:00:00"/>
    <s v="Vacation"/>
    <n v="33100"/>
    <n v="24"/>
    <n v="13.1"/>
    <n v="1575.19"/>
    <n v="67.3"/>
    <s v="Current"/>
    <n v="0"/>
    <n v="0"/>
    <s v="Full-Time"/>
    <n v="1"/>
    <x v="1"/>
  </r>
  <r>
    <s v="LN-00257"/>
    <s v="BRW-0211"/>
    <d v="2025-06-19T00:00:00"/>
    <s v="Vacation"/>
    <n v="21300"/>
    <n v="36"/>
    <n v="11.26"/>
    <n v="699.96"/>
    <n v="71.099999999999994"/>
    <s v="Current"/>
    <n v="0"/>
    <n v="0"/>
    <s v="Retired"/>
    <n v="4"/>
    <x v="0"/>
  </r>
  <r>
    <s v="LN-00258"/>
    <s v="BRW-0212"/>
    <d v="2024-09-16T00:00:00"/>
    <s v="Moving"/>
    <n v="6900"/>
    <n v="12"/>
    <n v="11.99"/>
    <n v="613.02"/>
    <n v="62.1"/>
    <s v="Default"/>
    <n v="179"/>
    <n v="1"/>
    <s v="Full-Time"/>
    <n v="0"/>
    <x v="1"/>
  </r>
  <r>
    <s v="LN-00259"/>
    <s v="BRW-0212"/>
    <d v="2024-07-05T00:00:00"/>
    <s v="Home Improvement"/>
    <n v="2600"/>
    <n v="48"/>
    <n v="10.56"/>
    <n v="66.64"/>
    <n v="41.2"/>
    <s v="Current"/>
    <n v="0"/>
    <n v="0"/>
    <s v="Full-Time"/>
    <n v="0"/>
    <x v="1"/>
  </r>
  <r>
    <s v="LN-00260"/>
    <s v="BRW-0213"/>
    <d v="2024-09-28T00:00:00"/>
    <s v="Education"/>
    <n v="23800"/>
    <n v="48"/>
    <n v="10.65"/>
    <n v="611.09"/>
    <n v="27.8"/>
    <s v="Late"/>
    <n v="15"/>
    <n v="0"/>
    <s v="Contract"/>
    <n v="8"/>
    <x v="0"/>
  </r>
  <r>
    <s v="LN-00261"/>
    <s v="BRW-0214"/>
    <d v="2024-01-19T00:00:00"/>
    <s v="Home Improvement"/>
    <n v="18600"/>
    <n v="12"/>
    <n v="10.15"/>
    <n v="1636.53"/>
    <n v="99.8"/>
    <s v="Default"/>
    <n v="59"/>
    <n v="1"/>
    <s v="Retired"/>
    <n v="3"/>
    <x v="0"/>
  </r>
  <r>
    <s v="LN-00262"/>
    <s v="BRW-0215"/>
    <d v="2024-11-06T00:00:00"/>
    <s v="Vacation"/>
    <n v="21400"/>
    <n v="60"/>
    <n v="12.71"/>
    <n v="483.74"/>
    <n v="34.4"/>
    <s v="Late"/>
    <n v="30"/>
    <n v="0"/>
    <s v="Full-Time"/>
    <n v="3"/>
    <x v="0"/>
  </r>
  <r>
    <s v="LN-00263"/>
    <s v="BRW-0216"/>
    <d v="2024-04-24T00:00:00"/>
    <s v="Major Purchase"/>
    <n v="6200"/>
    <n v="24"/>
    <n v="9.9"/>
    <n v="285.81"/>
    <n v="14.5"/>
    <s v="Current"/>
    <n v="0"/>
    <n v="0"/>
    <s v="Contract"/>
    <n v="18"/>
    <x v="0"/>
  </r>
  <r>
    <s v="LN-00264"/>
    <s v="BRW-0217"/>
    <d v="2024-07-14T00:00:00"/>
    <s v="Vacation"/>
    <n v="27800"/>
    <n v="48"/>
    <n v="10.78"/>
    <n v="715.54"/>
    <n v="38.1"/>
    <s v="Current"/>
    <n v="0"/>
    <n v="0"/>
    <s v="Retired"/>
    <n v="7"/>
    <x v="0"/>
  </r>
  <r>
    <s v="LN-00265"/>
    <s v="BRW-0218"/>
    <d v="2025-04-27T00:00:00"/>
    <s v="Home Improvement"/>
    <n v="5500"/>
    <n v="48"/>
    <n v="11.5"/>
    <n v="143.49"/>
    <n v="36.6"/>
    <s v="Default"/>
    <n v="145"/>
    <n v="1"/>
    <s v="Part-Time"/>
    <n v="14"/>
    <x v="0"/>
  </r>
  <r>
    <s v="LN-00266"/>
    <s v="BRW-0219"/>
    <d v="2024-01-09T00:00:00"/>
    <s v="Business Loan"/>
    <n v="39400"/>
    <n v="48"/>
    <n v="6.77"/>
    <n v="939.28"/>
    <n v="26.5"/>
    <s v="Default"/>
    <n v="140"/>
    <n v="1"/>
    <s v="Contract"/>
    <n v="1"/>
    <x v="1"/>
  </r>
  <r>
    <s v="LN-00267"/>
    <s v="BRW-0220"/>
    <d v="2024-02-07T00:00:00"/>
    <s v="Vacation"/>
    <n v="30600"/>
    <n v="60"/>
    <n v="12.03"/>
    <n v="681.14"/>
    <n v="39.4"/>
    <s v="Current"/>
    <n v="0"/>
    <n v="0"/>
    <s v="Full-Time"/>
    <n v="1"/>
    <x v="1"/>
  </r>
  <r>
    <s v="LN-00268"/>
    <s v="BRW-0220"/>
    <d v="2024-03-03T00:00:00"/>
    <s v="Wedding"/>
    <n v="45400"/>
    <n v="48"/>
    <n v="8.19"/>
    <n v="1112.4000000000001"/>
    <n v="43.3"/>
    <s v="Current"/>
    <n v="0"/>
    <n v="0"/>
    <s v="Full-Time"/>
    <n v="1"/>
    <x v="1"/>
  </r>
  <r>
    <s v="LN-00269"/>
    <s v="BRW-0221"/>
    <d v="2024-12-21T00:00:00"/>
    <s v="Major Purchase"/>
    <n v="7600"/>
    <n v="60"/>
    <n v="12.33"/>
    <n v="170.33"/>
    <n v="11"/>
    <s v="Current"/>
    <n v="0"/>
    <n v="0"/>
    <s v="Contract"/>
    <n v="16"/>
    <x v="0"/>
  </r>
  <r>
    <s v="LN-00270"/>
    <s v="BRW-0222"/>
    <d v="2024-12-13T00:00:00"/>
    <s v="Vacation"/>
    <n v="13100"/>
    <n v="24"/>
    <n v="13.44"/>
    <n v="625.51"/>
    <n v="53.4"/>
    <s v="Late"/>
    <n v="15"/>
    <n v="0"/>
    <s v="Full-Time"/>
    <n v="29"/>
    <x v="0"/>
  </r>
  <r>
    <s v="LN-00271"/>
    <s v="BRW-0223"/>
    <d v="2025-01-03T00:00:00"/>
    <s v="Auto Loan"/>
    <n v="20700"/>
    <n v="48"/>
    <n v="12"/>
    <n v="545.11"/>
    <n v="19.8"/>
    <s v="Paid Off"/>
    <n v="0"/>
    <n v="0"/>
    <s v="Part-Time"/>
    <n v="28"/>
    <x v="0"/>
  </r>
  <r>
    <s v="LN-00272"/>
    <s v="BRW-0224"/>
    <d v="2024-07-23T00:00:00"/>
    <s v="Auto Loan"/>
    <n v="6100"/>
    <n v="48"/>
    <n v="10.48"/>
    <n v="156.12"/>
    <n v="42.8"/>
    <s v="Default"/>
    <n v="155"/>
    <n v="1"/>
    <s v="Full-Time"/>
    <n v="11"/>
    <x v="0"/>
  </r>
  <r>
    <s v="LN-00273"/>
    <s v="BRW-0225"/>
    <d v="2024-02-18T00:00:00"/>
    <s v="Major Purchase"/>
    <n v="25700"/>
    <n v="24"/>
    <n v="7.93"/>
    <n v="1161.52"/>
    <n v="38.1"/>
    <s v="Current"/>
    <n v="0"/>
    <n v="0"/>
    <s v="Self-Employed"/>
    <n v="13"/>
    <x v="0"/>
  </r>
  <r>
    <s v="LN-00274"/>
    <s v="BRW-0226"/>
    <d v="2024-12-11T00:00:00"/>
    <s v="Medical Expenses"/>
    <n v="43900"/>
    <n v="12"/>
    <n v="14.33"/>
    <n v="3948.47"/>
    <n v="177.4"/>
    <s v="Default"/>
    <n v="88"/>
    <n v="1"/>
    <s v="Retired"/>
    <n v="0"/>
    <x v="1"/>
  </r>
  <r>
    <s v="LN-00275"/>
    <s v="BRW-0227"/>
    <d v="2024-09-30T00:00:00"/>
    <s v="Business Loan"/>
    <n v="49700"/>
    <n v="36"/>
    <n v="11.21"/>
    <n v="1632.06"/>
    <n v="51.2"/>
    <s v="Late"/>
    <n v="15"/>
    <n v="0"/>
    <s v="Full-Time"/>
    <n v="0"/>
    <x v="1"/>
  </r>
  <r>
    <s v="LN-00276"/>
    <s v="BRW-0228"/>
    <d v="2024-04-23T00:00:00"/>
    <s v="Home Improvement"/>
    <n v="46500"/>
    <n v="48"/>
    <n v="12.61"/>
    <n v="1238.5"/>
    <n v="56.2"/>
    <s v="Late"/>
    <n v="0"/>
    <n v="0"/>
    <s v="Self-Employed"/>
    <n v="7"/>
    <x v="0"/>
  </r>
  <r>
    <s v="LN-00277"/>
    <s v="BRW-0229"/>
    <d v="2024-04-30T00:00:00"/>
    <s v="Home Improvement"/>
    <n v="4000"/>
    <n v="12"/>
    <n v="7.24"/>
    <n v="346.55"/>
    <n v="55.6"/>
    <s v="Late"/>
    <n v="15"/>
    <n v="0"/>
    <s v="Full-Time"/>
    <n v="14"/>
    <x v="0"/>
  </r>
  <r>
    <s v="LN-00278"/>
    <s v="BRW-0229"/>
    <d v="2024-04-11T00:00:00"/>
    <s v="Auto Loan"/>
    <n v="38600"/>
    <n v="48"/>
    <n v="10.06"/>
    <n v="980.11"/>
    <n v="61.5"/>
    <s v="Default"/>
    <n v="123"/>
    <n v="1"/>
    <s v="Full-Time"/>
    <n v="14"/>
    <x v="0"/>
  </r>
  <r>
    <s v="LN-00279"/>
    <s v="BRW-0230"/>
    <d v="2024-01-07T00:00:00"/>
    <s v="Medical Expenses"/>
    <n v="8100"/>
    <n v="48"/>
    <n v="12"/>
    <n v="213.3"/>
    <n v="43.4"/>
    <s v="Current"/>
    <n v="0"/>
    <n v="0"/>
    <s v="Full-Time"/>
    <n v="10"/>
    <x v="0"/>
  </r>
  <r>
    <s v="LN-00280"/>
    <s v="BRW-0231"/>
    <d v="2024-09-08T00:00:00"/>
    <s v="Home Improvement"/>
    <n v="22300"/>
    <n v="48"/>
    <n v="8.94"/>
    <n v="554.29999999999995"/>
    <n v="25.8"/>
    <s v="Current"/>
    <n v="0"/>
    <n v="0"/>
    <s v="Full-Time"/>
    <n v="7"/>
    <x v="0"/>
  </r>
  <r>
    <s v="LN-00281"/>
    <s v="BRW-0232"/>
    <d v="2025-06-12T00:00:00"/>
    <s v="Major Purchase"/>
    <n v="21600"/>
    <n v="48"/>
    <n v="11.09"/>
    <n v="559.21"/>
    <n v="46.2"/>
    <s v="Current"/>
    <n v="0"/>
    <n v="0"/>
    <s v="Part-Time"/>
    <n v="8"/>
    <x v="0"/>
  </r>
  <r>
    <s v="LN-00282"/>
    <s v="BRW-0233"/>
    <d v="2024-11-18T00:00:00"/>
    <s v="Debt Consolidation"/>
    <n v="26800"/>
    <n v="12"/>
    <n v="9.7200000000000006"/>
    <n v="2352.66"/>
    <n v="31.1"/>
    <s v="Current"/>
    <n v="0"/>
    <n v="0"/>
    <s v="Full-Time"/>
    <n v="1"/>
    <x v="1"/>
  </r>
  <r>
    <s v="LN-00283"/>
    <s v="BRW-0234"/>
    <d v="2025-06-16T00:00:00"/>
    <s v="Debt Consolidation"/>
    <n v="32800"/>
    <n v="60"/>
    <n v="6.69"/>
    <n v="644.69000000000005"/>
    <n v="36.299999999999997"/>
    <s v="Paid Off"/>
    <n v="0"/>
    <n v="0"/>
    <s v="Self-Employed"/>
    <n v="1"/>
    <x v="1"/>
  </r>
  <r>
    <s v="LN-00284"/>
    <s v="BRW-0235"/>
    <d v="2024-10-13T00:00:00"/>
    <s v="Auto Loan"/>
    <n v="17100"/>
    <n v="36"/>
    <n v="7.04"/>
    <n v="528.30999999999995"/>
    <n v="60.7"/>
    <s v="Current"/>
    <n v="0"/>
    <n v="0"/>
    <s v="Full-Time"/>
    <n v="0"/>
    <x v="1"/>
  </r>
  <r>
    <s v="LN-00285"/>
    <s v="BRW-0236"/>
    <d v="2024-12-19T00:00:00"/>
    <s v="Business Loan"/>
    <n v="32000"/>
    <n v="60"/>
    <n v="11.38"/>
    <n v="701.84"/>
    <n v="44.8"/>
    <s v="Current"/>
    <n v="0"/>
    <n v="0"/>
    <s v="Full-Time"/>
    <n v="19"/>
    <x v="0"/>
  </r>
  <r>
    <s v="LN-00286"/>
    <s v="BRW-0237"/>
    <d v="2024-05-09T00:00:00"/>
    <s v="Auto Loan"/>
    <n v="22300"/>
    <n v="48"/>
    <n v="11.48"/>
    <n v="581.57000000000005"/>
    <n v="49.1"/>
    <s v="Current"/>
    <n v="0"/>
    <n v="0"/>
    <s v="Contract"/>
    <n v="20"/>
    <x v="0"/>
  </r>
  <r>
    <s v="LN-00287"/>
    <s v="BRW-0238"/>
    <d v="2024-09-21T00:00:00"/>
    <s v="Auto Loan"/>
    <n v="24100"/>
    <n v="24"/>
    <n v="7.82"/>
    <n v="1088"/>
    <n v="72.2"/>
    <s v="Paid Off"/>
    <n v="0"/>
    <n v="0"/>
    <s v="Retired"/>
    <n v="2"/>
    <x v="0"/>
  </r>
  <r>
    <s v="LN-00288"/>
    <s v="BRW-0239"/>
    <d v="2024-12-28T00:00:00"/>
    <s v="Home Improvement"/>
    <n v="42400"/>
    <n v="36"/>
    <n v="11.95"/>
    <n v="1407.27"/>
    <n v="48.1"/>
    <s v="Default"/>
    <n v="61"/>
    <n v="1"/>
    <s v="Self-Employed"/>
    <n v="15"/>
    <x v="0"/>
  </r>
  <r>
    <s v="LN-00289"/>
    <s v="BRW-0239"/>
    <d v="2024-08-29T00:00:00"/>
    <s v="Vacation"/>
    <n v="37400"/>
    <n v="48"/>
    <n v="10.51"/>
    <n v="957.75"/>
    <n v="41.7"/>
    <s v="Late"/>
    <n v="30"/>
    <n v="0"/>
    <s v="Self-Employed"/>
    <n v="15"/>
    <x v="0"/>
  </r>
  <r>
    <s v="LN-00290"/>
    <s v="BRW-0240"/>
    <d v="2024-05-23T00:00:00"/>
    <s v="Moving"/>
    <n v="13200"/>
    <n v="36"/>
    <n v="8.17"/>
    <n v="414.68"/>
    <n v="57.1"/>
    <s v="Current"/>
    <n v="0"/>
    <n v="0"/>
    <s v="Full-Time"/>
    <n v="11"/>
    <x v="0"/>
  </r>
  <r>
    <s v="LN-00291"/>
    <s v="BRW-0240"/>
    <d v="2024-05-30T00:00:00"/>
    <s v="Education"/>
    <n v="11200"/>
    <n v="36"/>
    <n v="9.02"/>
    <n v="356.26"/>
    <n v="56.5"/>
    <s v="Current"/>
    <n v="0"/>
    <n v="0"/>
    <s v="Full-Time"/>
    <n v="11"/>
    <x v="0"/>
  </r>
  <r>
    <s v="LN-00292"/>
    <s v="BRW-0241"/>
    <d v="2025-02-16T00:00:00"/>
    <s v="Medical Expenses"/>
    <n v="22800"/>
    <n v="36"/>
    <n v="14.15"/>
    <n v="780.91"/>
    <n v="25.2"/>
    <s v="Current"/>
    <n v="0"/>
    <n v="0"/>
    <s v="Contract"/>
    <n v="0"/>
    <x v="1"/>
  </r>
  <r>
    <s v="LN-00293"/>
    <s v="BRW-0242"/>
    <d v="2025-03-02T00:00:00"/>
    <s v="Vacation"/>
    <n v="37700"/>
    <n v="48"/>
    <n v="9.64"/>
    <n v="949.66"/>
    <n v="70"/>
    <s v="Current"/>
    <n v="0"/>
    <n v="0"/>
    <s v="Full-Time"/>
    <n v="10"/>
    <x v="0"/>
  </r>
  <r>
    <s v="LN-00294"/>
    <s v="BRW-0243"/>
    <d v="2024-08-05T00:00:00"/>
    <s v="Medical Expenses"/>
    <n v="10400"/>
    <n v="60"/>
    <n v="7.41"/>
    <n v="207.95"/>
    <n v="65.5"/>
    <s v="Current"/>
    <n v="0"/>
    <n v="0"/>
    <s v="Part-Time"/>
    <n v="2"/>
    <x v="0"/>
  </r>
  <r>
    <s v="LN-00295"/>
    <s v="BRW-0244"/>
    <d v="2024-10-23T00:00:00"/>
    <s v="Home Improvement"/>
    <n v="14200"/>
    <n v="12"/>
    <n v="12.28"/>
    <n v="1263.51"/>
    <n v="66.2"/>
    <s v="Default"/>
    <n v="69"/>
    <n v="1"/>
    <s v="Retired"/>
    <n v="33"/>
    <x v="0"/>
  </r>
  <r>
    <s v="LN-00296"/>
    <s v="BRW-0245"/>
    <d v="2024-05-26T00:00:00"/>
    <s v="Auto Loan"/>
    <n v="16600"/>
    <n v="48"/>
    <n v="7.86"/>
    <n v="404.16"/>
    <n v="49.6"/>
    <s v="Current"/>
    <n v="0"/>
    <n v="0"/>
    <s v="Full-Time"/>
    <n v="14"/>
    <x v="0"/>
  </r>
  <r>
    <s v="LN-00297"/>
    <s v="BRW-0246"/>
    <d v="2024-12-23T00:00:00"/>
    <s v="Auto Loan"/>
    <n v="41100"/>
    <n v="48"/>
    <n v="10.23"/>
    <n v="1046.95"/>
    <n v="50.9"/>
    <s v="Default"/>
    <n v="41"/>
    <n v="1"/>
    <s v="Contract"/>
    <n v="6"/>
    <x v="0"/>
  </r>
  <r>
    <s v="LN-00298"/>
    <s v="BRW-0246"/>
    <d v="2025-01-21T00:00:00"/>
    <s v="Major Purchase"/>
    <n v="16900"/>
    <n v="48"/>
    <n v="14.72"/>
    <n v="467.94"/>
    <n v="43.1"/>
    <s v="Late"/>
    <n v="0"/>
    <n v="0"/>
    <s v="Contract"/>
    <n v="6"/>
    <x v="0"/>
  </r>
  <r>
    <s v="LN-00299"/>
    <s v="BRW-0247"/>
    <d v="2024-11-29T00:00:00"/>
    <s v="Moving"/>
    <n v="31000"/>
    <n v="48"/>
    <n v="9.18"/>
    <n v="774.09"/>
    <n v="40.200000000000003"/>
    <s v="Default"/>
    <n v="134"/>
    <n v="1"/>
    <s v="Full-Time"/>
    <n v="6"/>
    <x v="0"/>
  </r>
  <r>
    <s v="LN-00300"/>
    <s v="BRW-0248"/>
    <d v="2024-03-31T00:00:00"/>
    <s v="Major Purchase"/>
    <n v="3800"/>
    <n v="48"/>
    <n v="14.21"/>
    <n v="104.24"/>
    <n v="16.100000000000001"/>
    <s v="Current"/>
    <n v="0"/>
    <n v="0"/>
    <s v="Full-Time"/>
    <n v="17"/>
    <x v="0"/>
  </r>
  <r>
    <s v="LN-00301"/>
    <s v="BRW-0249"/>
    <d v="2024-02-24T00:00:00"/>
    <s v="Auto Loan"/>
    <n v="5100"/>
    <n v="60"/>
    <n v="8.2899999999999991"/>
    <n v="104.12"/>
    <n v="51.2"/>
    <s v="Paid Off"/>
    <n v="0"/>
    <n v="0"/>
    <s v="Full-Time"/>
    <n v="2"/>
    <x v="0"/>
  </r>
  <r>
    <s v="LN-00302"/>
    <s v="BRW-0250"/>
    <d v="2024-10-08T00:00:00"/>
    <s v="Debt Consolidation"/>
    <n v="27200"/>
    <n v="24"/>
    <n v="14.71"/>
    <n v="1315.09"/>
    <n v="66.5"/>
    <s v="Paid Off"/>
    <n v="0"/>
    <n v="0"/>
    <s v="Full-Time"/>
    <n v="25"/>
    <x v="0"/>
  </r>
  <r>
    <s v="LN-00303"/>
    <s v="BRW-0251"/>
    <d v="2024-02-16T00:00:00"/>
    <s v="Vacation"/>
    <n v="12100"/>
    <n v="36"/>
    <n v="10.28"/>
    <n v="392.03"/>
    <n v="52.7"/>
    <s v="Late"/>
    <n v="15"/>
    <n v="0"/>
    <s v="Full-Time"/>
    <n v="19"/>
    <x v="0"/>
  </r>
  <r>
    <s v="LN-00304"/>
    <s v="BRW-0251"/>
    <d v="2024-04-03T00:00:00"/>
    <s v="Medical Expenses"/>
    <n v="35900"/>
    <n v="36"/>
    <n v="10.18"/>
    <n v="1161.43"/>
    <n v="70.5"/>
    <s v="Default"/>
    <n v="55"/>
    <n v="1"/>
    <s v="Full-Time"/>
    <n v="19"/>
    <x v="0"/>
  </r>
  <r>
    <s v="LN-00305"/>
    <s v="BRW-0252"/>
    <d v="2025-02-21T00:00:00"/>
    <s v="Auto Loan"/>
    <n v="9900"/>
    <n v="12"/>
    <n v="9.92"/>
    <n v="870"/>
    <n v="54"/>
    <s v="Paid Off"/>
    <n v="0"/>
    <n v="0"/>
    <s v="Self-Employed"/>
    <n v="2"/>
    <x v="0"/>
  </r>
  <r>
    <s v="LN-00306"/>
    <s v="BRW-0253"/>
    <d v="2024-11-27T00:00:00"/>
    <s v="Debt Consolidation"/>
    <n v="5700"/>
    <n v="24"/>
    <n v="11.13"/>
    <n v="266.01"/>
    <n v="49.6"/>
    <s v="Late"/>
    <n v="15"/>
    <n v="0"/>
    <s v="Self-Employed"/>
    <n v="4"/>
    <x v="0"/>
  </r>
  <r>
    <s v="LN-00307"/>
    <s v="BRW-0254"/>
    <d v="2025-05-31T00:00:00"/>
    <s v="Business Loan"/>
    <n v="30100"/>
    <n v="48"/>
    <n v="13.59"/>
    <n v="816.35"/>
    <n v="27"/>
    <s v="Current"/>
    <n v="0"/>
    <n v="0"/>
    <s v="Full-Time"/>
    <n v="4"/>
    <x v="0"/>
  </r>
  <r>
    <s v="LN-00308"/>
    <s v="BRW-0255"/>
    <d v="2024-01-20T00:00:00"/>
    <s v="Major Purchase"/>
    <n v="2400"/>
    <n v="24"/>
    <n v="14.87"/>
    <n v="116.22"/>
    <n v="38.299999999999997"/>
    <s v="Default"/>
    <n v="180"/>
    <n v="1"/>
    <s v="Part-Time"/>
    <n v="0"/>
    <x v="1"/>
  </r>
  <r>
    <s v="LN-00309"/>
    <s v="BRW-0256"/>
    <d v="2025-02-20T00:00:00"/>
    <s v="Business Loan"/>
    <n v="33300"/>
    <n v="24"/>
    <n v="11.81"/>
    <n v="1564.59"/>
    <n v="34.299999999999997"/>
    <s v="Current"/>
    <n v="0"/>
    <n v="0"/>
    <s v="Full-Time"/>
    <n v="17"/>
    <x v="0"/>
  </r>
  <r>
    <s v="LN-00310"/>
    <s v="BRW-0257"/>
    <d v="2025-03-09T00:00:00"/>
    <s v="Medical Expenses"/>
    <n v="23500"/>
    <n v="24"/>
    <n v="12.7"/>
    <n v="1113.92"/>
    <n v="71.2"/>
    <s v="Current"/>
    <n v="0"/>
    <n v="0"/>
    <s v="Full-Time"/>
    <n v="2"/>
    <x v="0"/>
  </r>
  <r>
    <s v="LN-00311"/>
    <s v="BRW-0258"/>
    <d v="2025-05-08T00:00:00"/>
    <s v="Wedding"/>
    <n v="32700"/>
    <n v="12"/>
    <n v="7.25"/>
    <n v="2833.19"/>
    <n v="85.7"/>
    <s v="Late"/>
    <n v="0"/>
    <n v="0"/>
    <s v="Retired"/>
    <n v="4"/>
    <x v="0"/>
  </r>
  <r>
    <s v="LN-00312"/>
    <s v="BRW-0258"/>
    <d v="2024-06-14T00:00:00"/>
    <s v="Education"/>
    <n v="12200"/>
    <n v="60"/>
    <n v="8.36"/>
    <n v="249.48"/>
    <n v="26"/>
    <s v="Current"/>
    <n v="0"/>
    <n v="0"/>
    <s v="Retired"/>
    <n v="4"/>
    <x v="0"/>
  </r>
  <r>
    <s v="LN-00313"/>
    <s v="BRW-0259"/>
    <d v="2024-08-03T00:00:00"/>
    <s v="Home Improvement"/>
    <n v="35000"/>
    <n v="36"/>
    <n v="12.84"/>
    <n v="1176.5899999999999"/>
    <n v="76.099999999999994"/>
    <s v="Late"/>
    <n v="30"/>
    <n v="0"/>
    <s v="Part-Time"/>
    <n v="14"/>
    <x v="0"/>
  </r>
  <r>
    <s v="LN-00314"/>
    <s v="BRW-0260"/>
    <d v="2024-11-25T00:00:00"/>
    <s v="Education"/>
    <n v="49000"/>
    <n v="48"/>
    <n v="10.83"/>
    <n v="1262.3900000000001"/>
    <n v="46.7"/>
    <s v="Current"/>
    <n v="0"/>
    <n v="0"/>
    <s v="Full-Time"/>
    <n v="30"/>
    <x v="0"/>
  </r>
  <r>
    <s v="LN-00315"/>
    <s v="BRW-0261"/>
    <d v="2024-01-10T00:00:00"/>
    <s v="Medical Expenses"/>
    <n v="2100"/>
    <n v="48"/>
    <n v="8.42"/>
    <n v="51.68"/>
    <n v="11.8"/>
    <s v="Paid Off"/>
    <n v="0"/>
    <n v="0"/>
    <s v="Retired"/>
    <n v="24"/>
    <x v="0"/>
  </r>
  <r>
    <s v="LN-00316"/>
    <s v="BRW-0262"/>
    <d v="2025-03-31T00:00:00"/>
    <s v="Major Purchase"/>
    <n v="13300"/>
    <n v="12"/>
    <n v="9.34"/>
    <n v="1165.2"/>
    <n v="96.6"/>
    <s v="Paid Off"/>
    <n v="0"/>
    <n v="0"/>
    <s v="Retired"/>
    <n v="1"/>
    <x v="1"/>
  </r>
  <r>
    <s v="LN-00317"/>
    <s v="BRW-0263"/>
    <d v="2025-01-14T00:00:00"/>
    <s v="Education"/>
    <n v="42300"/>
    <n v="12"/>
    <n v="7.97"/>
    <n v="3679.02"/>
    <n v="72.599999999999994"/>
    <s v="Current"/>
    <n v="0"/>
    <n v="0"/>
    <s v="Full-Time"/>
    <n v="15"/>
    <x v="0"/>
  </r>
  <r>
    <s v="LN-00318"/>
    <s v="BRW-0263"/>
    <d v="2024-11-06T00:00:00"/>
    <s v="Debt Consolidation"/>
    <n v="34700"/>
    <n v="36"/>
    <n v="8.31"/>
    <n v="1092.3399999999999"/>
    <n v="48.2"/>
    <s v="Paid Off"/>
    <n v="0"/>
    <n v="0"/>
    <s v="Full-Time"/>
    <n v="15"/>
    <x v="0"/>
  </r>
  <r>
    <s v="LN-00319"/>
    <s v="BRW-0264"/>
    <d v="2024-07-19T00:00:00"/>
    <s v="Debt Consolidation"/>
    <n v="40100"/>
    <n v="60"/>
    <n v="7.03"/>
    <n v="794.6"/>
    <n v="64.8"/>
    <s v="Current"/>
    <n v="0"/>
    <n v="0"/>
    <s v="Full-Time"/>
    <n v="30"/>
    <x v="0"/>
  </r>
  <r>
    <s v="LN-00320"/>
    <s v="BRW-0264"/>
    <d v="2024-06-28T00:00:00"/>
    <s v="Auto Loan"/>
    <n v="25700"/>
    <n v="60"/>
    <n v="6.95"/>
    <n v="508.28"/>
    <n v="59.8"/>
    <s v="Default"/>
    <n v="62"/>
    <n v="1"/>
    <s v="Full-Time"/>
    <n v="30"/>
    <x v="0"/>
  </r>
  <r>
    <s v="LN-00321"/>
    <s v="BRW-0265"/>
    <d v="2024-10-07T00:00:00"/>
    <s v="Medical Expenses"/>
    <n v="29400"/>
    <n v="24"/>
    <n v="10.76"/>
    <n v="1367"/>
    <n v="38.799999999999997"/>
    <s v="Paid Off"/>
    <n v="0"/>
    <n v="0"/>
    <s v="Full-Time"/>
    <n v="5"/>
    <x v="0"/>
  </r>
  <r>
    <s v="LN-00322"/>
    <s v="BRW-0266"/>
    <d v="2025-03-13T00:00:00"/>
    <s v="Moving"/>
    <n v="32400"/>
    <n v="48"/>
    <n v="7.78"/>
    <n v="787.64"/>
    <n v="30.9"/>
    <s v="Late"/>
    <n v="15"/>
    <n v="0"/>
    <s v="Part-Time"/>
    <n v="21"/>
    <x v="0"/>
  </r>
  <r>
    <s v="LN-00323"/>
    <s v="BRW-0267"/>
    <d v="2025-04-22T00:00:00"/>
    <s v="Major Purchase"/>
    <n v="21500"/>
    <n v="12"/>
    <n v="9.58"/>
    <n v="1885.99"/>
    <n v="68.099999999999994"/>
    <s v="Current"/>
    <n v="0"/>
    <n v="0"/>
    <s v="Full-Time"/>
    <n v="7"/>
    <x v="0"/>
  </r>
  <r>
    <s v="LN-00324"/>
    <s v="BRW-0267"/>
    <d v="2024-01-06T00:00:00"/>
    <s v="Business Loan"/>
    <n v="25600"/>
    <n v="60"/>
    <n v="8.43"/>
    <n v="524.36"/>
    <n v="47.1"/>
    <s v="Paid Off"/>
    <n v="0"/>
    <n v="0"/>
    <s v="Full-Time"/>
    <n v="7"/>
    <x v="0"/>
  </r>
  <r>
    <s v="LN-00325"/>
    <s v="BRW-0268"/>
    <d v="2024-07-20T00:00:00"/>
    <s v="Business Loan"/>
    <n v="22300"/>
    <n v="12"/>
    <n v="14.87"/>
    <n v="2011.39"/>
    <n v="109.3"/>
    <s v="Default"/>
    <n v="109"/>
    <n v="1"/>
    <s v="Full-Time"/>
    <n v="18"/>
    <x v="0"/>
  </r>
  <r>
    <s v="LN-00326"/>
    <s v="BRW-0268"/>
    <d v="2024-01-25T00:00:00"/>
    <s v="Home Improvement"/>
    <n v="6100"/>
    <n v="48"/>
    <n v="12.44"/>
    <n v="161.96"/>
    <n v="56.6"/>
    <s v="Current"/>
    <n v="0"/>
    <n v="0"/>
    <s v="Full-Time"/>
    <n v="18"/>
    <x v="0"/>
  </r>
  <r>
    <s v="LN-00327"/>
    <s v="BRW-0269"/>
    <d v="2025-06-16T00:00:00"/>
    <s v="Home Improvement"/>
    <n v="48000"/>
    <n v="12"/>
    <n v="10.76"/>
    <n v="4236.95"/>
    <n v="117.3"/>
    <s v="Late"/>
    <n v="15"/>
    <n v="0"/>
    <s v="Full-Time"/>
    <n v="7"/>
    <x v="0"/>
  </r>
  <r>
    <s v="LN-00328"/>
    <s v="BRW-0270"/>
    <d v="2024-02-04T00:00:00"/>
    <s v="Home Improvement"/>
    <n v="29700"/>
    <n v="12"/>
    <n v="15.86"/>
    <n v="2692.74"/>
    <n v="119.6"/>
    <s v="Default"/>
    <n v="46"/>
    <n v="1"/>
    <s v="Full-Time"/>
    <n v="10"/>
    <x v="0"/>
  </r>
  <r>
    <s v="LN-00329"/>
    <s v="BRW-0271"/>
    <d v="2025-03-18T00:00:00"/>
    <s v="Debt Consolidation"/>
    <n v="22200"/>
    <n v="36"/>
    <n v="10.67"/>
    <n v="723.34"/>
    <n v="39.9"/>
    <s v="Default"/>
    <n v="44"/>
    <n v="1"/>
    <s v="Part-Time"/>
    <n v="14"/>
    <x v="0"/>
  </r>
  <r>
    <s v="LN-00330"/>
    <s v="BRW-0272"/>
    <d v="2024-08-26T00:00:00"/>
    <s v="Auto Loan"/>
    <n v="21300"/>
    <n v="60"/>
    <n v="13.16"/>
    <n v="486.39"/>
    <n v="23"/>
    <s v="Late"/>
    <n v="0"/>
    <n v="0"/>
    <s v="Full-Time"/>
    <n v="28"/>
    <x v="0"/>
  </r>
  <r>
    <s v="LN-00331"/>
    <s v="BRW-0273"/>
    <d v="2024-01-27T00:00:00"/>
    <s v="Vacation"/>
    <n v="44200"/>
    <n v="60"/>
    <n v="10.81"/>
    <n v="956.83"/>
    <n v="29.8"/>
    <s v="Current"/>
    <n v="0"/>
    <n v="0"/>
    <s v="Contract"/>
    <n v="17"/>
    <x v="0"/>
  </r>
  <r>
    <s v="LN-00332"/>
    <s v="BRW-0274"/>
    <d v="2024-05-09T00:00:00"/>
    <s v="Wedding"/>
    <n v="30500"/>
    <n v="24"/>
    <n v="10.36"/>
    <n v="1412.49"/>
    <n v="38.1"/>
    <s v="Current"/>
    <n v="0"/>
    <n v="0"/>
    <s v="Full-Time"/>
    <n v="24"/>
    <x v="0"/>
  </r>
  <r>
    <s v="LN-00333"/>
    <s v="BRW-0275"/>
    <d v="2024-11-15T00:00:00"/>
    <s v="Vacation"/>
    <n v="7900"/>
    <n v="12"/>
    <n v="8.77"/>
    <n v="690.02"/>
    <n v="29.9"/>
    <s v="Late"/>
    <n v="0"/>
    <n v="0"/>
    <s v="Contract"/>
    <n v="5"/>
    <x v="0"/>
  </r>
  <r>
    <s v="LN-00334"/>
    <s v="BRW-0276"/>
    <d v="2024-12-17T00:00:00"/>
    <s v="Wedding"/>
    <n v="39200"/>
    <n v="24"/>
    <n v="8.35"/>
    <n v="1779.17"/>
    <n v="69.400000000000006"/>
    <s v="Late"/>
    <n v="30"/>
    <n v="0"/>
    <s v="Full-Time"/>
    <n v="2"/>
    <x v="0"/>
  </r>
  <r>
    <s v="LN-00335"/>
    <s v="BRW-0277"/>
    <d v="2025-03-08T00:00:00"/>
    <s v="Medical Expenses"/>
    <n v="8800"/>
    <n v="60"/>
    <n v="14.04"/>
    <n v="204.94"/>
    <n v="33.4"/>
    <s v="Late"/>
    <n v="30"/>
    <n v="0"/>
    <s v="Retired"/>
    <n v="31"/>
    <x v="0"/>
  </r>
  <r>
    <s v="LN-00336"/>
    <s v="BRW-0278"/>
    <d v="2024-12-05T00:00:00"/>
    <s v="Home Improvement"/>
    <n v="28000"/>
    <n v="48"/>
    <n v="12.52"/>
    <n v="744.52"/>
    <n v="40.9"/>
    <s v="Current"/>
    <n v="0"/>
    <n v="0"/>
    <s v="Retired"/>
    <n v="3"/>
    <x v="0"/>
  </r>
  <r>
    <s v="LN-00337"/>
    <s v="BRW-0279"/>
    <d v="2024-01-04T00:00:00"/>
    <s v="Education"/>
    <n v="17200"/>
    <n v="12"/>
    <n v="12.86"/>
    <n v="1535.13"/>
    <n v="44.4"/>
    <s v="Current"/>
    <n v="0"/>
    <n v="0"/>
    <s v="Contract"/>
    <n v="1"/>
    <x v="1"/>
  </r>
  <r>
    <s v="LN-00338"/>
    <s v="BRW-0280"/>
    <d v="2025-01-19T00:00:00"/>
    <s v="Vacation"/>
    <n v="47700"/>
    <n v="36"/>
    <n v="10.99"/>
    <n v="1561.41"/>
    <n v="77.5"/>
    <s v="Paid Off"/>
    <n v="0"/>
    <n v="0"/>
    <s v="Self-Employed"/>
    <n v="35"/>
    <x v="0"/>
  </r>
  <r>
    <s v="LN-00339"/>
    <s v="BRW-0281"/>
    <d v="2024-07-18T00:00:00"/>
    <s v="Home Improvement"/>
    <n v="28600"/>
    <n v="24"/>
    <n v="8.6999999999999993"/>
    <n v="1302.6500000000001"/>
    <n v="64"/>
    <s v="Late"/>
    <n v="15"/>
    <n v="0"/>
    <s v="Self-Employed"/>
    <n v="17"/>
    <x v="0"/>
  </r>
  <r>
    <s v="LN-00340"/>
    <s v="BRW-0282"/>
    <d v="2024-12-13T00:00:00"/>
    <s v="Business Loan"/>
    <n v="4500"/>
    <n v="36"/>
    <n v="11.88"/>
    <n v="149.21"/>
    <n v="22.8"/>
    <s v="Current"/>
    <n v="0"/>
    <n v="0"/>
    <s v="Retired"/>
    <n v="2"/>
    <x v="0"/>
  </r>
  <r>
    <s v="LN-00341"/>
    <s v="BRW-0282"/>
    <d v="2024-05-20T00:00:00"/>
    <s v="Medical Expenses"/>
    <n v="36100"/>
    <n v="12"/>
    <n v="12.44"/>
    <n v="3214.88"/>
    <n v="145"/>
    <s v="Current"/>
    <n v="0"/>
    <n v="0"/>
    <s v="Retired"/>
    <n v="2"/>
    <x v="0"/>
  </r>
  <r>
    <s v="LN-00342"/>
    <s v="BRW-0283"/>
    <d v="2025-06-23T00:00:00"/>
    <s v="Auto Loan"/>
    <n v="19700"/>
    <n v="36"/>
    <n v="10.74"/>
    <n v="642.53"/>
    <n v="25"/>
    <s v="Late"/>
    <n v="30"/>
    <n v="0"/>
    <s v="Contract"/>
    <n v="10"/>
    <x v="0"/>
  </r>
  <r>
    <s v="LN-00343"/>
    <s v="BRW-0283"/>
    <d v="2024-07-15T00:00:00"/>
    <s v="Home Improvement"/>
    <n v="31300"/>
    <n v="24"/>
    <n v="11.41"/>
    <n v="1464.79"/>
    <n v="37.4"/>
    <s v="Current"/>
    <n v="0"/>
    <n v="0"/>
    <s v="Contract"/>
    <n v="10"/>
    <x v="0"/>
  </r>
  <r>
    <s v="LN-00344"/>
    <s v="BRW-0284"/>
    <d v="2024-10-28T00:00:00"/>
    <s v="Business Loan"/>
    <n v="38600"/>
    <n v="60"/>
    <n v="10.6"/>
    <n v="831.58"/>
    <n v="31"/>
    <s v="Current"/>
    <n v="0"/>
    <n v="0"/>
    <s v="Full-Time"/>
    <n v="2"/>
    <x v="0"/>
  </r>
  <r>
    <s v="LN-00345"/>
    <s v="BRW-0285"/>
    <d v="2024-03-24T00:00:00"/>
    <s v="Medical Expenses"/>
    <n v="48500"/>
    <n v="48"/>
    <n v="8.6300000000000008"/>
    <n v="1198.42"/>
    <n v="58.9"/>
    <s v="Late"/>
    <n v="0"/>
    <n v="0"/>
    <s v="Self-Employed"/>
    <n v="3"/>
    <x v="0"/>
  </r>
  <r>
    <s v="LN-00346"/>
    <s v="BRW-0286"/>
    <d v="2025-06-15T00:00:00"/>
    <s v="Major Purchase"/>
    <n v="33000"/>
    <n v="60"/>
    <n v="9.6"/>
    <n v="694.68"/>
    <n v="38"/>
    <s v="Current"/>
    <n v="0"/>
    <n v="0"/>
    <s v="Self-Employed"/>
    <n v="7"/>
    <x v="0"/>
  </r>
  <r>
    <s v="LN-00347"/>
    <s v="BRW-0287"/>
    <d v="2024-07-31T00:00:00"/>
    <s v="Vacation"/>
    <n v="25800"/>
    <n v="60"/>
    <n v="10.98"/>
    <n v="560.70000000000005"/>
    <n v="37"/>
    <s v="Paid Off"/>
    <n v="0"/>
    <n v="0"/>
    <s v="Self-Employed"/>
    <n v="16"/>
    <x v="0"/>
  </r>
  <r>
    <s v="LN-00348"/>
    <s v="BRW-0288"/>
    <d v="2025-01-18T00:00:00"/>
    <s v="Auto Loan"/>
    <n v="20100"/>
    <n v="24"/>
    <n v="14.98"/>
    <n v="974.39"/>
    <n v="26.1"/>
    <s v="Default"/>
    <n v="51"/>
    <n v="1"/>
    <s v="Full-Time"/>
    <n v="29"/>
    <x v="0"/>
  </r>
  <r>
    <s v="LN-00349"/>
    <s v="BRW-0289"/>
    <d v="2025-04-21T00:00:00"/>
    <s v="Home Improvement"/>
    <n v="19900"/>
    <n v="24"/>
    <n v="9.8699999999999992"/>
    <n v="917.09"/>
    <n v="53.6"/>
    <s v="Current"/>
    <n v="0"/>
    <n v="0"/>
    <s v="Retired"/>
    <n v="17"/>
    <x v="0"/>
  </r>
  <r>
    <s v="LN-00350"/>
    <s v="BRW-0290"/>
    <d v="2025-03-28T00:00:00"/>
    <s v="Education"/>
    <n v="17200"/>
    <n v="48"/>
    <n v="10.56"/>
    <n v="440.88"/>
    <n v="9.8000000000000007"/>
    <s v="Default"/>
    <n v="49"/>
    <n v="1"/>
    <s v="Self-Employed"/>
    <n v="2"/>
    <x v="0"/>
  </r>
  <r>
    <s v="LN-00351"/>
    <s v="BRW-0291"/>
    <d v="2024-10-10T00:00:00"/>
    <s v="Home Improvement"/>
    <n v="26100"/>
    <n v="60"/>
    <n v="12.42"/>
    <n v="586.13"/>
    <n v="19.899999999999999"/>
    <s v="Current"/>
    <n v="0"/>
    <n v="0"/>
    <s v="Full-Time"/>
    <n v="11"/>
    <x v="0"/>
  </r>
  <r>
    <s v="LN-00352"/>
    <s v="BRW-0292"/>
    <d v="2024-10-08T00:00:00"/>
    <s v="Business Loan"/>
    <n v="12600"/>
    <n v="36"/>
    <n v="11.36"/>
    <n v="414.66"/>
    <n v="62.4"/>
    <s v="Default"/>
    <n v="65"/>
    <n v="1"/>
    <s v="Full-Time"/>
    <n v="1"/>
    <x v="1"/>
  </r>
  <r>
    <s v="LN-00353"/>
    <s v="BRW-0293"/>
    <d v="2024-12-20T00:00:00"/>
    <s v="Moving"/>
    <n v="2400"/>
    <n v="36"/>
    <n v="8.51"/>
    <n v="75.77"/>
    <n v="29.5"/>
    <s v="Current"/>
    <n v="0"/>
    <n v="0"/>
    <s v="Self-Employed"/>
    <n v="2"/>
    <x v="0"/>
  </r>
  <r>
    <s v="LN-00354"/>
    <s v="BRW-0293"/>
    <d v="2024-06-01T00:00:00"/>
    <s v="Wedding"/>
    <n v="2600"/>
    <n v="60"/>
    <n v="12.05"/>
    <n v="57.9"/>
    <n v="28.9"/>
    <s v="Paid Off"/>
    <n v="0"/>
    <n v="0"/>
    <s v="Self-Employed"/>
    <n v="2"/>
    <x v="0"/>
  </r>
  <r>
    <s v="LN-00355"/>
    <s v="BRW-0294"/>
    <d v="2025-04-17T00:00:00"/>
    <s v="Business Loan"/>
    <n v="39700"/>
    <n v="48"/>
    <n v="10.93"/>
    <n v="1024.72"/>
    <n v="21.3"/>
    <s v="Paid Off"/>
    <n v="0"/>
    <n v="0"/>
    <s v="Contract"/>
    <n v="2"/>
    <x v="0"/>
  </r>
  <r>
    <s v="LN-00356"/>
    <s v="BRW-0295"/>
    <d v="2024-05-22T00:00:00"/>
    <s v="Major Purchase"/>
    <n v="9300"/>
    <n v="60"/>
    <n v="8.15"/>
    <n v="189.24"/>
    <n v="38.4"/>
    <s v="Paid Off"/>
    <n v="0"/>
    <n v="0"/>
    <s v="Full-Time"/>
    <n v="2"/>
    <x v="0"/>
  </r>
  <r>
    <s v="LN-00357"/>
    <s v="BRW-0296"/>
    <d v="2024-11-02T00:00:00"/>
    <s v="Education"/>
    <n v="19900"/>
    <n v="48"/>
    <n v="13.08"/>
    <n v="534.66"/>
    <n v="49.5"/>
    <s v="Paid Off"/>
    <n v="0"/>
    <n v="0"/>
    <s v="Full-Time"/>
    <n v="2"/>
    <x v="0"/>
  </r>
  <r>
    <s v="LN-00358"/>
    <s v="BRW-0297"/>
    <d v="2025-02-04T00:00:00"/>
    <s v="Medical Expenses"/>
    <n v="49700"/>
    <n v="60"/>
    <n v="9.3000000000000007"/>
    <n v="1038.94"/>
    <n v="37.5"/>
    <s v="Current"/>
    <n v="0"/>
    <n v="0"/>
    <s v="Full-Time"/>
    <n v="12"/>
    <x v="0"/>
  </r>
  <r>
    <s v="LN-00359"/>
    <s v="BRW-0297"/>
    <d v="2025-04-07T00:00:00"/>
    <s v="Moving"/>
    <n v="18800"/>
    <n v="36"/>
    <n v="9"/>
    <n v="597.83000000000004"/>
    <n v="26.7"/>
    <s v="Current"/>
    <n v="0"/>
    <n v="0"/>
    <s v="Full-Time"/>
    <n v="12"/>
    <x v="0"/>
  </r>
  <r>
    <s v="LN-00360"/>
    <s v="BRW-0298"/>
    <d v="2024-07-22T00:00:00"/>
    <s v="Medical Expenses"/>
    <n v="19000"/>
    <n v="48"/>
    <n v="6.03"/>
    <n v="446.48"/>
    <n v="54.1"/>
    <s v="Default"/>
    <n v="128"/>
    <n v="1"/>
    <s v="Full-Time"/>
    <n v="9"/>
    <x v="0"/>
  </r>
  <r>
    <s v="LN-00361"/>
    <s v="BRW-0299"/>
    <d v="2025-06-14T00:00:00"/>
    <s v="Business Loan"/>
    <n v="8100"/>
    <n v="48"/>
    <n v="8.1999999999999993"/>
    <n v="198.51"/>
    <n v="64.099999999999994"/>
    <s v="Default"/>
    <n v="113"/>
    <n v="1"/>
    <s v="Part-Time"/>
    <n v="9"/>
    <x v="0"/>
  </r>
  <r>
    <s v="LN-00362"/>
    <s v="BRW-0300"/>
    <d v="2025-05-04T00:00:00"/>
    <s v="Major Purchase"/>
    <n v="49500"/>
    <n v="24"/>
    <n v="13.08"/>
    <n v="2355.1799999999998"/>
    <n v="86.4"/>
    <s v="Paid Off"/>
    <n v="0"/>
    <n v="0"/>
    <s v="Full-Time"/>
    <n v="33"/>
    <x v="0"/>
  </r>
  <r>
    <s v="LN-00363"/>
    <s v="BRW-0300"/>
    <d v="2025-05-01T00:00:00"/>
    <s v="Business Loan"/>
    <n v="9200"/>
    <n v="48"/>
    <n v="14.49"/>
    <n v="253.67"/>
    <n v="55.4"/>
    <s v="Default"/>
    <n v="177"/>
    <n v="1"/>
    <s v="Full-Time"/>
    <n v="33"/>
    <x v="0"/>
  </r>
  <r>
    <s v="LN-00364"/>
    <s v="BRW-0301"/>
    <d v="2024-01-08T00:00:00"/>
    <s v="Wedding"/>
    <n v="26800"/>
    <n v="48"/>
    <n v="7.81"/>
    <n v="651.88"/>
    <n v="55.1"/>
    <s v="Paid Off"/>
    <n v="0"/>
    <n v="0"/>
    <s v="Contract"/>
    <n v="10"/>
    <x v="0"/>
  </r>
  <r>
    <s v="LN-00365"/>
    <s v="BRW-0301"/>
    <d v="2025-04-16T00:00:00"/>
    <s v="Wedding"/>
    <n v="27200"/>
    <n v="60"/>
    <n v="10.83"/>
    <n v="589.09"/>
    <n v="54"/>
    <s v="Current"/>
    <n v="0"/>
    <n v="0"/>
    <s v="Contract"/>
    <n v="10"/>
    <x v="0"/>
  </r>
  <r>
    <s v="LN-00366"/>
    <s v="BRW-0302"/>
    <d v="2024-06-28T00:00:00"/>
    <s v="Vacation"/>
    <n v="33100"/>
    <n v="36"/>
    <n v="12.62"/>
    <n v="1109.22"/>
    <n v="67.8"/>
    <s v="Default"/>
    <n v="75"/>
    <n v="1"/>
    <s v="Full-Time"/>
    <n v="3"/>
    <x v="0"/>
  </r>
  <r>
    <s v="LN-00367"/>
    <s v="BRW-0303"/>
    <d v="2024-04-07T00:00:00"/>
    <s v="Major Purchase"/>
    <n v="45700"/>
    <n v="24"/>
    <n v="9.33"/>
    <n v="2094.7199999999998"/>
    <n v="76"/>
    <s v="Late"/>
    <n v="15"/>
    <n v="0"/>
    <s v="Full-Time"/>
    <n v="4"/>
    <x v="0"/>
  </r>
  <r>
    <s v="LN-00368"/>
    <s v="BRW-0303"/>
    <d v="2024-03-09T00:00:00"/>
    <s v="Medical Expenses"/>
    <n v="32100"/>
    <n v="36"/>
    <n v="9.17"/>
    <n v="1023.31"/>
    <n v="63.2"/>
    <s v="Current"/>
    <n v="0"/>
    <n v="0"/>
    <s v="Full-Time"/>
    <n v="4"/>
    <x v="0"/>
  </r>
  <r>
    <s v="LN-00369"/>
    <s v="BRW-0304"/>
    <d v="2024-11-29T00:00:00"/>
    <s v="Moving"/>
    <n v="14600"/>
    <n v="12"/>
    <n v="8.36"/>
    <n v="1272.46"/>
    <n v="66.099999999999994"/>
    <s v="Current"/>
    <n v="0"/>
    <n v="0"/>
    <s v="Full-Time"/>
    <n v="1"/>
    <x v="1"/>
  </r>
  <r>
    <s v="LN-00370"/>
    <s v="BRW-0305"/>
    <d v="2025-02-12T00:00:00"/>
    <s v="Debt Consolidation"/>
    <n v="6200"/>
    <n v="48"/>
    <n v="7.94"/>
    <n v="151.19"/>
    <n v="50.7"/>
    <s v="Current"/>
    <n v="0"/>
    <n v="0"/>
    <s v="Retired"/>
    <n v="4"/>
    <x v="0"/>
  </r>
  <r>
    <s v="LN-00371"/>
    <s v="BRW-0306"/>
    <d v="2024-03-25T00:00:00"/>
    <s v="Medical Expenses"/>
    <n v="12300"/>
    <n v="48"/>
    <n v="9.32"/>
    <n v="307.95999999999998"/>
    <n v="34.200000000000003"/>
    <s v="Paid Off"/>
    <n v="0"/>
    <n v="0"/>
    <s v="Full-Time"/>
    <n v="5"/>
    <x v="0"/>
  </r>
  <r>
    <s v="LN-00372"/>
    <s v="BRW-0307"/>
    <d v="2024-06-30T00:00:00"/>
    <s v="Auto Loan"/>
    <n v="8800"/>
    <n v="12"/>
    <n v="13.28"/>
    <n v="787.15"/>
    <n v="48.2"/>
    <s v="Default"/>
    <n v="166"/>
    <n v="1"/>
    <s v="Self-Employed"/>
    <n v="24"/>
    <x v="0"/>
  </r>
  <r>
    <s v="LN-00373"/>
    <s v="BRW-0308"/>
    <d v="2025-01-01T00:00:00"/>
    <s v="Medical Expenses"/>
    <n v="11000"/>
    <n v="36"/>
    <n v="7.78"/>
    <n v="343.58"/>
    <n v="45.1"/>
    <s v="Paid Off"/>
    <n v="0"/>
    <n v="0"/>
    <s v="Retired"/>
    <n v="3"/>
    <x v="0"/>
  </r>
  <r>
    <s v="LN-00374"/>
    <s v="BRW-0309"/>
    <d v="2024-04-15T00:00:00"/>
    <s v="Vacation"/>
    <n v="42200"/>
    <n v="60"/>
    <n v="13.39"/>
    <n v="968.63"/>
    <n v="69.7"/>
    <s v="Default"/>
    <n v="108"/>
    <n v="1"/>
    <s v="Self-Employed"/>
    <n v="7"/>
    <x v="0"/>
  </r>
  <r>
    <s v="LN-00375"/>
    <s v="BRW-0310"/>
    <d v="2025-01-18T00:00:00"/>
    <s v="Wedding"/>
    <n v="13400"/>
    <n v="24"/>
    <n v="14.29"/>
    <n v="645.21"/>
    <n v="51.9"/>
    <s v="Current"/>
    <n v="0"/>
    <n v="0"/>
    <s v="Full-Time"/>
    <n v="1"/>
    <x v="1"/>
  </r>
  <r>
    <s v="LN-00376"/>
    <s v="BRW-0311"/>
    <d v="2024-04-08T00:00:00"/>
    <s v="Debt Consolidation"/>
    <n v="10100"/>
    <n v="12"/>
    <n v="9.89"/>
    <n v="887.43"/>
    <n v="67.099999999999994"/>
    <s v="Current"/>
    <n v="0"/>
    <n v="0"/>
    <s v="Full-Time"/>
    <n v="2"/>
    <x v="0"/>
  </r>
  <r>
    <s v="LN-00377"/>
    <s v="BRW-0312"/>
    <d v="2024-07-13T00:00:00"/>
    <s v="Major Purchase"/>
    <n v="23900"/>
    <n v="36"/>
    <n v="10.64"/>
    <n v="778.39"/>
    <n v="76.8"/>
    <s v="Late"/>
    <n v="15"/>
    <n v="0"/>
    <s v="Full-Time"/>
    <n v="1"/>
    <x v="1"/>
  </r>
  <r>
    <s v="LN-00378"/>
    <s v="BRW-0313"/>
    <d v="2024-11-19T00:00:00"/>
    <s v="Business Loan"/>
    <n v="8300"/>
    <n v="24"/>
    <n v="8.84"/>
    <n v="378.57"/>
    <n v="41"/>
    <s v="Default"/>
    <n v="84"/>
    <n v="1"/>
    <s v="Full-Time"/>
    <n v="18"/>
    <x v="0"/>
  </r>
  <r>
    <s v="LN-00379"/>
    <s v="BRW-0314"/>
    <d v="2024-03-09T00:00:00"/>
    <s v="Home Improvement"/>
    <n v="15400"/>
    <n v="60"/>
    <n v="8.19"/>
    <n v="313.66000000000003"/>
    <n v="20.9"/>
    <s v="Paid Off"/>
    <n v="0"/>
    <n v="0"/>
    <s v="Retired"/>
    <n v="15"/>
    <x v="0"/>
  </r>
  <r>
    <s v="LN-00380"/>
    <s v="BRW-0315"/>
    <d v="2024-04-07T00:00:00"/>
    <s v="Home Improvement"/>
    <n v="38100"/>
    <n v="60"/>
    <n v="9.17"/>
    <n v="794.04"/>
    <n v="64.5"/>
    <s v="Late"/>
    <n v="30"/>
    <n v="0"/>
    <s v="Self-Employed"/>
    <n v="0"/>
    <x v="1"/>
  </r>
  <r>
    <s v="LN-00381"/>
    <s v="BRW-0316"/>
    <d v="2025-05-08T00:00:00"/>
    <s v="Medical Expenses"/>
    <n v="13700"/>
    <n v="36"/>
    <n v="15.64"/>
    <n v="479.22"/>
    <n v="36.200000000000003"/>
    <s v="Default"/>
    <n v="34"/>
    <n v="1"/>
    <s v="Retired"/>
    <n v="2"/>
    <x v="0"/>
  </r>
  <r>
    <s v="LN-00382"/>
    <s v="BRW-0317"/>
    <d v="2024-01-14T00:00:00"/>
    <s v="Wedding"/>
    <n v="26500"/>
    <n v="24"/>
    <n v="12.88"/>
    <n v="1258.3699999999999"/>
    <n v="30.3"/>
    <s v="Default"/>
    <n v="61"/>
    <n v="1"/>
    <s v="Contract"/>
    <n v="6"/>
    <x v="0"/>
  </r>
  <r>
    <s v="LN-00383"/>
    <s v="BRW-0318"/>
    <d v="2025-05-25T00:00:00"/>
    <s v="Major Purchase"/>
    <n v="21000"/>
    <n v="12"/>
    <n v="9.4499999999999993"/>
    <n v="1840.87"/>
    <n v="121.8"/>
    <s v="Current"/>
    <n v="0"/>
    <n v="0"/>
    <s v="Self-Employed"/>
    <n v="16"/>
    <x v="0"/>
  </r>
  <r>
    <s v="LN-00384"/>
    <s v="BRW-0319"/>
    <d v="2024-11-21T00:00:00"/>
    <s v="Wedding"/>
    <n v="22800"/>
    <n v="36"/>
    <n v="10.199999999999999"/>
    <n v="737.83"/>
    <n v="37.200000000000003"/>
    <s v="Current"/>
    <n v="0"/>
    <n v="0"/>
    <s v="Full-Time"/>
    <n v="4"/>
    <x v="0"/>
  </r>
  <r>
    <s v="LN-00385"/>
    <s v="BRW-0320"/>
    <d v="2024-07-29T00:00:00"/>
    <s v="Auto Loan"/>
    <n v="13000"/>
    <n v="36"/>
    <n v="11.03"/>
    <n v="425.79"/>
    <n v="16.3"/>
    <s v="Late"/>
    <n v="15"/>
    <n v="0"/>
    <s v="Full-Time"/>
    <n v="14"/>
    <x v="0"/>
  </r>
  <r>
    <s v="LN-00386"/>
    <s v="BRW-0320"/>
    <d v="2025-01-25T00:00:00"/>
    <s v="Business Loan"/>
    <n v="35400"/>
    <n v="24"/>
    <n v="12.36"/>
    <n v="1672.36"/>
    <n v="36.299999999999997"/>
    <s v="Late"/>
    <n v="0"/>
    <n v="0"/>
    <s v="Full-Time"/>
    <n v="14"/>
    <x v="0"/>
  </r>
  <r>
    <s v="LN-00387"/>
    <s v="BRW-0321"/>
    <d v="2024-05-08T00:00:00"/>
    <s v="Vacation"/>
    <n v="5800"/>
    <n v="24"/>
    <n v="14.02"/>
    <n v="278.52999999999997"/>
    <n v="28.6"/>
    <s v="Default"/>
    <n v="170"/>
    <n v="1"/>
    <s v="Self-Employed"/>
    <n v="20"/>
    <x v="0"/>
  </r>
  <r>
    <s v="LN-00388"/>
    <s v="BRW-0322"/>
    <d v="2024-07-21T00:00:00"/>
    <s v="Business Loan"/>
    <n v="4200"/>
    <n v="48"/>
    <n v="11.24"/>
    <n v="109.04"/>
    <n v="44.9"/>
    <s v="Default"/>
    <n v="75"/>
    <n v="1"/>
    <s v="Full-Time"/>
    <n v="1"/>
    <x v="1"/>
  </r>
  <r>
    <s v="LN-00389"/>
    <s v="BRW-0322"/>
    <d v="2024-07-25T00:00:00"/>
    <s v="Wedding"/>
    <n v="10200"/>
    <n v="48"/>
    <n v="14.52"/>
    <n v="281.39999999999998"/>
    <n v="49"/>
    <s v="Default"/>
    <n v="153"/>
    <n v="1"/>
    <s v="Full-Time"/>
    <n v="1"/>
    <x v="1"/>
  </r>
  <r>
    <s v="LN-00390"/>
    <s v="BRW-0323"/>
    <d v="2025-03-19T00:00:00"/>
    <s v="Education"/>
    <n v="8200"/>
    <n v="48"/>
    <n v="12.25"/>
    <n v="216.95"/>
    <n v="16.7"/>
    <s v="Paid Off"/>
    <n v="0"/>
    <n v="0"/>
    <s v="Full-Time"/>
    <n v="0"/>
    <x v="1"/>
  </r>
  <r>
    <s v="LN-00391"/>
    <s v="BRW-0324"/>
    <d v="2024-06-05T00:00:00"/>
    <s v="Major Purchase"/>
    <n v="4900"/>
    <n v="36"/>
    <n v="9.18"/>
    <n v="156.22999999999999"/>
    <n v="59"/>
    <s v="Current"/>
    <n v="0"/>
    <n v="0"/>
    <s v="Part-Time"/>
    <n v="18"/>
    <x v="0"/>
  </r>
  <r>
    <s v="LN-00392"/>
    <s v="BRW-0325"/>
    <d v="2025-04-25T00:00:00"/>
    <s v="Auto Loan"/>
    <n v="30600"/>
    <n v="12"/>
    <n v="9.93"/>
    <n v="2689.23"/>
    <n v="100.4"/>
    <s v="Default"/>
    <n v="78"/>
    <n v="1"/>
    <s v="Full-Time"/>
    <n v="1"/>
    <x v="1"/>
  </r>
  <r>
    <s v="LN-00393"/>
    <s v="BRW-0326"/>
    <d v="2025-02-08T00:00:00"/>
    <s v="Moving"/>
    <n v="20000"/>
    <n v="48"/>
    <n v="12.16"/>
    <n v="528.25"/>
    <n v="30.1"/>
    <s v="Current"/>
    <n v="0"/>
    <n v="0"/>
    <s v="Full-Time"/>
    <n v="5"/>
    <x v="0"/>
  </r>
  <r>
    <s v="LN-00394"/>
    <s v="BRW-0327"/>
    <d v="2024-06-15T00:00:00"/>
    <s v="Wedding"/>
    <n v="6100"/>
    <n v="12"/>
    <n v="10.74"/>
    <n v="538.39"/>
    <n v="47.2"/>
    <s v="Default"/>
    <n v="141"/>
    <n v="1"/>
    <s v="Part-Time"/>
    <n v="7"/>
    <x v="0"/>
  </r>
  <r>
    <s v="LN-00395"/>
    <s v="BRW-0328"/>
    <d v="2025-01-29T00:00:00"/>
    <s v="Education"/>
    <n v="24900"/>
    <n v="36"/>
    <n v="10.17"/>
    <n v="805.44"/>
    <n v="24"/>
    <s v="Current"/>
    <n v="0"/>
    <n v="0"/>
    <s v="Full-Time"/>
    <n v="7"/>
    <x v="0"/>
  </r>
  <r>
    <s v="LN-00396"/>
    <s v="BRW-0328"/>
    <d v="2024-05-31T00:00:00"/>
    <s v="Debt Consolidation"/>
    <n v="19300"/>
    <n v="12"/>
    <n v="10.17"/>
    <n v="1698.3"/>
    <n v="44"/>
    <s v="Late"/>
    <n v="0"/>
    <n v="0"/>
    <s v="Full-Time"/>
    <n v="7"/>
    <x v="0"/>
  </r>
  <r>
    <s v="LN-00397"/>
    <s v="BRW-0329"/>
    <d v="2024-04-04T00:00:00"/>
    <s v="Wedding"/>
    <n v="33800"/>
    <n v="24"/>
    <n v="6.85"/>
    <n v="1511.02"/>
    <n v="36.4"/>
    <s v="Late"/>
    <n v="15"/>
    <n v="0"/>
    <s v="Full-Time"/>
    <n v="11"/>
    <x v="0"/>
  </r>
  <r>
    <s v="LN-00398"/>
    <s v="BRW-0330"/>
    <d v="2025-03-13T00:00:00"/>
    <s v="Home Improvement"/>
    <n v="11100"/>
    <n v="48"/>
    <n v="9.5299999999999994"/>
    <n v="279.02999999999997"/>
    <n v="48.1"/>
    <s v="Default"/>
    <n v="107"/>
    <n v="1"/>
    <s v="Full-Time"/>
    <n v="0"/>
    <x v="1"/>
  </r>
  <r>
    <s v="LN-00399"/>
    <s v="BRW-0331"/>
    <d v="2024-04-01T00:00:00"/>
    <s v="Moving"/>
    <n v="20400"/>
    <n v="36"/>
    <n v="12.24"/>
    <n v="679.91"/>
    <n v="60.2"/>
    <s v="Default"/>
    <n v="176"/>
    <n v="1"/>
    <s v="Full-Time"/>
    <n v="1"/>
    <x v="1"/>
  </r>
  <r>
    <s v="LN-00400"/>
    <s v="BRW-0332"/>
    <d v="2025-02-11T00:00:00"/>
    <s v="Education"/>
    <n v="14900"/>
    <n v="24"/>
    <n v="14.15"/>
    <n v="716.45"/>
    <n v="32"/>
    <s v="Current"/>
    <n v="0"/>
    <n v="0"/>
    <s v="Contract"/>
    <n v="7"/>
    <x v="0"/>
  </r>
  <r>
    <s v="LN-00401"/>
    <s v="BRW-0333"/>
    <d v="2024-10-22T00:00:00"/>
    <s v="Home Improvement"/>
    <n v="15500"/>
    <n v="60"/>
    <n v="8.4499999999999993"/>
    <n v="317.63"/>
    <n v="52.3"/>
    <s v="Current"/>
    <n v="0"/>
    <n v="0"/>
    <s v="Self-Employed"/>
    <n v="9"/>
    <x v="0"/>
  </r>
  <r>
    <s v="LN-00402"/>
    <s v="BRW-0334"/>
    <d v="2024-08-05T00:00:00"/>
    <s v="Business Loan"/>
    <n v="20100"/>
    <n v="12"/>
    <n v="12.95"/>
    <n v="1794.81"/>
    <n v="55.1"/>
    <s v="Default"/>
    <n v="45"/>
    <n v="1"/>
    <s v="Full-Time"/>
    <n v="14"/>
    <x v="0"/>
  </r>
  <r>
    <s v="LN-00403"/>
    <s v="BRW-0335"/>
    <d v="2024-04-21T00:00:00"/>
    <s v="Business Loan"/>
    <n v="34700"/>
    <n v="48"/>
    <n v="10.54"/>
    <n v="889.11"/>
    <n v="29.1"/>
    <s v="Current"/>
    <n v="0"/>
    <n v="0"/>
    <s v="Full-Time"/>
    <n v="3"/>
    <x v="0"/>
  </r>
  <r>
    <s v="LN-00404"/>
    <s v="BRW-0336"/>
    <d v="2024-04-13T00:00:00"/>
    <s v="Auto Loan"/>
    <n v="3400"/>
    <n v="24"/>
    <n v="10.039999999999999"/>
    <n v="156.96"/>
    <n v="13.2"/>
    <s v="Default"/>
    <n v="98"/>
    <n v="1"/>
    <s v="Contract"/>
    <n v="6"/>
    <x v="0"/>
  </r>
  <r>
    <s v="LN-00405"/>
    <s v="BRW-0337"/>
    <d v="2025-06-18T00:00:00"/>
    <s v="Debt Consolidation"/>
    <n v="39900"/>
    <n v="12"/>
    <n v="7.25"/>
    <n v="3457.02"/>
    <n v="77.599999999999994"/>
    <s v="Current"/>
    <n v="0"/>
    <n v="0"/>
    <s v="Full-Time"/>
    <n v="10"/>
    <x v="0"/>
  </r>
  <r>
    <s v="LN-00406"/>
    <s v="BRW-0338"/>
    <d v="2024-12-10T00:00:00"/>
    <s v="Auto Loan"/>
    <n v="24700"/>
    <n v="36"/>
    <n v="12.46"/>
    <n v="825.83"/>
    <n v="23.3"/>
    <s v="Late"/>
    <n v="15"/>
    <n v="0"/>
    <s v="Full-Time"/>
    <n v="24"/>
    <x v="0"/>
  </r>
  <r>
    <s v="LN-00407"/>
    <s v="BRW-0338"/>
    <d v="2024-12-30T00:00:00"/>
    <s v="Business Loan"/>
    <n v="33900"/>
    <n v="48"/>
    <n v="12.49"/>
    <n v="900.89"/>
    <n v="24.2"/>
    <s v="Current"/>
    <n v="0"/>
    <n v="0"/>
    <s v="Full-Time"/>
    <n v="24"/>
    <x v="0"/>
  </r>
  <r>
    <s v="LN-00408"/>
    <s v="BRW-0339"/>
    <d v="2024-05-05T00:00:00"/>
    <s v="Major Purchase"/>
    <n v="44600"/>
    <n v="24"/>
    <n v="6.46"/>
    <n v="1985.96"/>
    <n v="98.4"/>
    <s v="Late"/>
    <n v="0"/>
    <n v="0"/>
    <s v="Retired"/>
    <n v="0"/>
    <x v="1"/>
  </r>
  <r>
    <s v="LN-00409"/>
    <s v="BRW-0339"/>
    <d v="2024-07-11T00:00:00"/>
    <s v="Business Loan"/>
    <n v="25000"/>
    <n v="48"/>
    <n v="8.91"/>
    <n v="621.05999999999995"/>
    <n v="67.400000000000006"/>
    <s v="Default"/>
    <n v="112"/>
    <n v="1"/>
    <s v="Retired"/>
    <n v="0"/>
    <x v="1"/>
  </r>
  <r>
    <s v="LN-00410"/>
    <s v="BRW-0340"/>
    <d v="2024-08-27T00:00:00"/>
    <s v="Education"/>
    <n v="48500"/>
    <n v="36"/>
    <n v="11.66"/>
    <n v="1603.03"/>
    <n v="75.900000000000006"/>
    <s v="Late"/>
    <n v="0"/>
    <n v="0"/>
    <s v="Full-Time"/>
    <n v="2"/>
    <x v="0"/>
  </r>
  <r>
    <s v="LN-00411"/>
    <s v="BRW-0341"/>
    <d v="2024-04-12T00:00:00"/>
    <s v="Major Purchase"/>
    <n v="47200"/>
    <n v="48"/>
    <n v="13"/>
    <n v="1266.26"/>
    <n v="21.4"/>
    <s v="Current"/>
    <n v="0"/>
    <n v="0"/>
    <s v="Self-Employed"/>
    <n v="7"/>
    <x v="0"/>
  </r>
  <r>
    <s v="LN-00412"/>
    <s v="BRW-0342"/>
    <d v="2025-05-24T00:00:00"/>
    <s v="Moving"/>
    <n v="39700"/>
    <n v="60"/>
    <n v="7.59"/>
    <n v="797.21"/>
    <n v="65.400000000000006"/>
    <s v="Late"/>
    <n v="0"/>
    <n v="0"/>
    <s v="Self-Employed"/>
    <n v="13"/>
    <x v="0"/>
  </r>
  <r>
    <s v="LN-00413"/>
    <s v="BRW-0343"/>
    <d v="2024-09-03T00:00:00"/>
    <s v="Vacation"/>
    <n v="17000"/>
    <n v="12"/>
    <n v="8.58"/>
    <n v="1483.37"/>
    <n v="33.700000000000003"/>
    <s v="Paid Off"/>
    <n v="0"/>
    <n v="0"/>
    <s v="Full-Time"/>
    <n v="20"/>
    <x v="0"/>
  </r>
  <r>
    <s v="LN-00414"/>
    <s v="BRW-0344"/>
    <d v="2024-11-30T00:00:00"/>
    <s v="Home Improvement"/>
    <n v="36400"/>
    <n v="24"/>
    <n v="15.11"/>
    <n v="1766.82"/>
    <n v="37.6"/>
    <s v="Current"/>
    <n v="0"/>
    <n v="0"/>
    <s v="Full-Time"/>
    <n v="2"/>
    <x v="0"/>
  </r>
  <r>
    <s v="LN-00415"/>
    <s v="BRW-0345"/>
    <d v="2025-05-18T00:00:00"/>
    <s v="Vacation"/>
    <n v="34200"/>
    <n v="24"/>
    <n v="15.53"/>
    <n v="1666.87"/>
    <n v="73.900000000000006"/>
    <s v="Default"/>
    <n v="115"/>
    <n v="1"/>
    <s v="Retired"/>
    <n v="6"/>
    <x v="0"/>
  </r>
  <r>
    <s v="LN-00416"/>
    <s v="BRW-0346"/>
    <d v="2025-01-25T00:00:00"/>
    <s v="Wedding"/>
    <n v="22100"/>
    <n v="36"/>
    <n v="8.42"/>
    <n v="696.82"/>
    <n v="47.8"/>
    <s v="Paid Off"/>
    <n v="0"/>
    <n v="0"/>
    <s v="Full-Time"/>
    <n v="5"/>
    <x v="0"/>
  </r>
  <r>
    <s v="LN-00417"/>
    <s v="BRW-0346"/>
    <d v="2024-04-24T00:00:00"/>
    <s v="Major Purchase"/>
    <n v="9800"/>
    <n v="12"/>
    <n v="7.99"/>
    <n v="852.44"/>
    <n v="54.2"/>
    <s v="Default"/>
    <n v="78"/>
    <n v="1"/>
    <s v="Full-Time"/>
    <n v="5"/>
    <x v="0"/>
  </r>
  <r>
    <s v="LN-00418"/>
    <s v="BRW-0347"/>
    <d v="2024-01-02T00:00:00"/>
    <s v="Home Improvement"/>
    <n v="7000"/>
    <n v="36"/>
    <n v="11.75"/>
    <n v="231.67"/>
    <n v="26.4"/>
    <s v="Current"/>
    <n v="0"/>
    <n v="0"/>
    <s v="Full-Time"/>
    <n v="4"/>
    <x v="0"/>
  </r>
  <r>
    <s v="LN-00419"/>
    <s v="BRW-0348"/>
    <d v="2024-08-15T00:00:00"/>
    <s v="Major Purchase"/>
    <n v="12900"/>
    <n v="24"/>
    <n v="12.02"/>
    <n v="607.37"/>
    <n v="26.4"/>
    <s v="Default"/>
    <n v="32"/>
    <n v="1"/>
    <s v="Full-Time"/>
    <n v="10"/>
    <x v="0"/>
  </r>
  <r>
    <s v="LN-00420"/>
    <s v="BRW-0349"/>
    <d v="2025-05-26T00:00:00"/>
    <s v="Vacation"/>
    <n v="32200"/>
    <n v="36"/>
    <n v="10.02"/>
    <n v="1039.31"/>
    <n v="45.1"/>
    <s v="Current"/>
    <n v="0"/>
    <n v="0"/>
    <s v="Contract"/>
    <n v="17"/>
    <x v="0"/>
  </r>
  <r>
    <s v="LN-00421"/>
    <s v="BRW-0350"/>
    <d v="2025-05-04T00:00:00"/>
    <s v="Debt Consolidation"/>
    <n v="11300"/>
    <n v="12"/>
    <n v="10.33"/>
    <n v="995.18"/>
    <n v="47.5"/>
    <s v="Current"/>
    <n v="0"/>
    <n v="0"/>
    <s v="Full-Time"/>
    <n v="18"/>
    <x v="0"/>
  </r>
  <r>
    <s v="LN-00422"/>
    <s v="BRW-0351"/>
    <d v="2024-08-18T00:00:00"/>
    <s v="Debt Consolidation"/>
    <n v="18000"/>
    <n v="24"/>
    <n v="10.31"/>
    <n v="833.19"/>
    <n v="44.6"/>
    <s v="Paid Off"/>
    <n v="0"/>
    <n v="0"/>
    <s v="Full-Time"/>
    <n v="14"/>
    <x v="0"/>
  </r>
  <r>
    <s v="LN-00423"/>
    <s v="BRW-0351"/>
    <d v="2024-06-12T00:00:00"/>
    <s v="Medical Expenses"/>
    <n v="36900"/>
    <n v="36"/>
    <n v="10.99"/>
    <n v="1207.8800000000001"/>
    <n v="50.7"/>
    <s v="Current"/>
    <n v="0"/>
    <n v="0"/>
    <s v="Full-Time"/>
    <n v="14"/>
    <x v="0"/>
  </r>
  <r>
    <s v="LN-00424"/>
    <s v="BRW-0352"/>
    <d v="2024-10-16T00:00:00"/>
    <s v="Education"/>
    <n v="20800"/>
    <n v="60"/>
    <n v="12.8"/>
    <n v="471.14"/>
    <n v="52.9"/>
    <s v="Paid Off"/>
    <n v="0"/>
    <n v="0"/>
    <s v="Retired"/>
    <n v="30"/>
    <x v="0"/>
  </r>
  <r>
    <s v="LN-00425"/>
    <s v="BRW-0353"/>
    <d v="2024-11-07T00:00:00"/>
    <s v="Medical Expenses"/>
    <n v="40000"/>
    <n v="12"/>
    <n v="10.08"/>
    <n v="3518.12"/>
    <n v="107.2"/>
    <s v="Current"/>
    <n v="0"/>
    <n v="0"/>
    <s v="Full-Time"/>
    <n v="9"/>
    <x v="0"/>
  </r>
  <r>
    <s v="LN-00426"/>
    <s v="BRW-0354"/>
    <d v="2024-01-10T00:00:00"/>
    <s v="Auto Loan"/>
    <n v="12100"/>
    <n v="24"/>
    <n v="11.16"/>
    <n v="564.85"/>
    <n v="54.6"/>
    <s v="Late"/>
    <n v="15"/>
    <n v="0"/>
    <s v="Contract"/>
    <n v="1"/>
    <x v="1"/>
  </r>
  <r>
    <s v="LN-00427"/>
    <s v="BRW-0355"/>
    <d v="2024-04-08T00:00:00"/>
    <s v="Medical Expenses"/>
    <n v="49200"/>
    <n v="24"/>
    <n v="14.9"/>
    <n v="2383.21"/>
    <n v="69.400000000000006"/>
    <s v="Default"/>
    <n v="151"/>
    <n v="1"/>
    <s v="Full-Time"/>
    <n v="1"/>
    <x v="1"/>
  </r>
  <r>
    <s v="LN-00428"/>
    <s v="BRW-0356"/>
    <d v="2024-06-01T00:00:00"/>
    <s v="Debt Consolidation"/>
    <n v="21600"/>
    <n v="36"/>
    <n v="8.8000000000000007"/>
    <n v="684.87"/>
    <n v="21.5"/>
    <s v="Current"/>
    <n v="0"/>
    <n v="0"/>
    <s v="Contract"/>
    <n v="33"/>
    <x v="0"/>
  </r>
  <r>
    <s v="LN-00429"/>
    <s v="BRW-0357"/>
    <d v="2025-01-19T00:00:00"/>
    <s v="Vacation"/>
    <n v="12000"/>
    <n v="24"/>
    <n v="13.61"/>
    <n v="573.95000000000005"/>
    <n v="46.6"/>
    <s v="Late"/>
    <n v="30"/>
    <n v="0"/>
    <s v="Retired"/>
    <n v="6"/>
    <x v="0"/>
  </r>
  <r>
    <s v="LN-00430"/>
    <s v="BRW-0358"/>
    <d v="2025-03-31T00:00:00"/>
    <s v="Vacation"/>
    <n v="33200"/>
    <n v="36"/>
    <n v="10.3"/>
    <n v="1075.95"/>
    <n v="58.6"/>
    <s v="Current"/>
    <n v="0"/>
    <n v="0"/>
    <s v="Self-Employed"/>
    <n v="1"/>
    <x v="1"/>
  </r>
  <r>
    <s v="LN-00431"/>
    <s v="BRW-0359"/>
    <d v="2024-04-06T00:00:00"/>
    <s v="Moving"/>
    <n v="30200"/>
    <n v="60"/>
    <n v="11.38"/>
    <n v="662.36"/>
    <n v="31.8"/>
    <s v="Current"/>
    <n v="0"/>
    <n v="0"/>
    <s v="Full-Time"/>
    <n v="3"/>
    <x v="0"/>
  </r>
  <r>
    <s v="LN-00432"/>
    <s v="BRW-0360"/>
    <d v="2024-07-08T00:00:00"/>
    <s v="Major Purchase"/>
    <n v="8000"/>
    <n v="36"/>
    <n v="7.22"/>
    <n v="247.82"/>
    <n v="23.8"/>
    <s v="Current"/>
    <n v="0"/>
    <n v="0"/>
    <s v="Full-Time"/>
    <n v="22"/>
    <x v="0"/>
  </r>
  <r>
    <s v="LN-00433"/>
    <s v="BRW-0361"/>
    <d v="2024-05-07T00:00:00"/>
    <s v="Moving"/>
    <n v="26900"/>
    <n v="60"/>
    <n v="8.5299999999999994"/>
    <n v="552.28"/>
    <n v="51.9"/>
    <s v="Late"/>
    <n v="0"/>
    <n v="0"/>
    <s v="Full-Time"/>
    <n v="20"/>
    <x v="0"/>
  </r>
  <r>
    <s v="LN-00434"/>
    <s v="BRW-0361"/>
    <d v="2025-04-02T00:00:00"/>
    <s v="Home Improvement"/>
    <n v="30800"/>
    <n v="24"/>
    <n v="5.86"/>
    <n v="1363.13"/>
    <n v="60.2"/>
    <s v="Current"/>
    <n v="0"/>
    <n v="0"/>
    <s v="Full-Time"/>
    <n v="20"/>
    <x v="0"/>
  </r>
  <r>
    <s v="LN-00435"/>
    <s v="BRW-0362"/>
    <d v="2024-05-07T00:00:00"/>
    <s v="Medical Expenses"/>
    <n v="14300"/>
    <n v="12"/>
    <n v="6.87"/>
    <n v="1236.48"/>
    <n v="23.6"/>
    <s v="Current"/>
    <n v="0"/>
    <n v="0"/>
    <s v="Contract"/>
    <n v="10"/>
    <x v="0"/>
  </r>
  <r>
    <s v="LN-00436"/>
    <s v="BRW-0363"/>
    <d v="2024-10-27T00:00:00"/>
    <s v="Debt Consolidation"/>
    <n v="3900"/>
    <n v="60"/>
    <n v="13.91"/>
    <n v="90.56"/>
    <n v="24.5"/>
    <s v="Current"/>
    <n v="0"/>
    <n v="0"/>
    <s v="Full-Time"/>
    <n v="3"/>
    <x v="0"/>
  </r>
  <r>
    <s v="LN-00437"/>
    <s v="BRW-0364"/>
    <d v="2024-08-02T00:00:00"/>
    <s v="Moving"/>
    <n v="49800"/>
    <n v="60"/>
    <n v="8.52"/>
    <n v="1022.2"/>
    <n v="52.7"/>
    <s v="Current"/>
    <n v="0"/>
    <n v="0"/>
    <s v="Contract"/>
    <n v="14"/>
    <x v="0"/>
  </r>
  <r>
    <s v="LN-00438"/>
    <s v="BRW-0365"/>
    <d v="2024-08-09T00:00:00"/>
    <s v="Medical Expenses"/>
    <n v="24000"/>
    <n v="24"/>
    <n v="11.19"/>
    <n v="1120.71"/>
    <n v="77.8"/>
    <s v="Paid Off"/>
    <n v="0"/>
    <n v="0"/>
    <s v="Contract"/>
    <n v="11"/>
    <x v="0"/>
  </r>
  <r>
    <s v="LN-00439"/>
    <s v="BRW-0366"/>
    <d v="2024-03-26T00:00:00"/>
    <s v="Moving"/>
    <n v="9800"/>
    <n v="24"/>
    <n v="8.3800000000000008"/>
    <n v="444.93"/>
    <n v="29.8"/>
    <s v="Paid Off"/>
    <n v="0"/>
    <n v="0"/>
    <s v="Full-Time"/>
    <n v="3"/>
    <x v="0"/>
  </r>
  <r>
    <s v="LN-00440"/>
    <s v="BRW-0367"/>
    <d v="2025-06-07T00:00:00"/>
    <s v="Business Loan"/>
    <n v="26000"/>
    <n v="24"/>
    <n v="14.51"/>
    <n v="1254.6099999999999"/>
    <n v="61.7"/>
    <s v="Current"/>
    <n v="0"/>
    <n v="0"/>
    <s v="Full-Time"/>
    <n v="30"/>
    <x v="0"/>
  </r>
  <r>
    <s v="LN-00441"/>
    <s v="BRW-0368"/>
    <d v="2024-05-07T00:00:00"/>
    <s v="Major Purchase"/>
    <n v="31700"/>
    <n v="24"/>
    <n v="6.22"/>
    <n v="1408.11"/>
    <n v="66.8"/>
    <s v="Current"/>
    <n v="0"/>
    <n v="0"/>
    <s v="Contract"/>
    <n v="8"/>
    <x v="0"/>
  </r>
  <r>
    <s v="LN-00442"/>
    <s v="BRW-0368"/>
    <d v="2024-05-29T00:00:00"/>
    <s v="Education"/>
    <n v="18100"/>
    <n v="36"/>
    <n v="9.7200000000000006"/>
    <n v="581.66"/>
    <n v="44"/>
    <s v="Current"/>
    <n v="0"/>
    <n v="0"/>
    <s v="Contract"/>
    <n v="8"/>
    <x v="0"/>
  </r>
  <r>
    <s v="LN-00443"/>
    <s v="BRW-0369"/>
    <d v="2024-11-09T00:00:00"/>
    <s v="Business Loan"/>
    <n v="7000"/>
    <n v="12"/>
    <n v="8.5"/>
    <n v="610.54"/>
    <n v="54.8"/>
    <s v="Current"/>
    <n v="0"/>
    <n v="0"/>
    <s v="Self-Employed"/>
    <n v="3"/>
    <x v="0"/>
  </r>
  <r>
    <s v="LN-00444"/>
    <s v="BRW-0370"/>
    <d v="2024-02-19T00:00:00"/>
    <s v="Wedding"/>
    <n v="25100"/>
    <n v="60"/>
    <n v="10.83"/>
    <n v="543.61"/>
    <n v="68"/>
    <s v="Default"/>
    <n v="129"/>
    <n v="1"/>
    <s v="Part-Time"/>
    <n v="30"/>
    <x v="0"/>
  </r>
  <r>
    <s v="LN-00445"/>
    <s v="BRW-0371"/>
    <d v="2024-05-10T00:00:00"/>
    <s v="Moving"/>
    <n v="42100"/>
    <n v="48"/>
    <n v="11.95"/>
    <n v="1107.6199999999999"/>
    <n v="72.2"/>
    <s v="Default"/>
    <n v="161"/>
    <n v="1"/>
    <s v="Retired"/>
    <n v="4"/>
    <x v="0"/>
  </r>
  <r>
    <s v="LN-00446"/>
    <s v="BRW-0372"/>
    <d v="2025-01-14T00:00:00"/>
    <s v="Medical Expenses"/>
    <n v="14100"/>
    <n v="36"/>
    <n v="11.21"/>
    <n v="463.02"/>
    <n v="36.4"/>
    <s v="Late"/>
    <n v="0"/>
    <n v="0"/>
    <s v="Full-Time"/>
    <n v="31"/>
    <x v="0"/>
  </r>
  <r>
    <s v="LN-00447"/>
    <s v="BRW-0373"/>
    <d v="2024-10-09T00:00:00"/>
    <s v="Medical Expenses"/>
    <n v="17600"/>
    <n v="48"/>
    <n v="10.76"/>
    <n v="452.83"/>
    <n v="60.1"/>
    <s v="Paid Off"/>
    <n v="0"/>
    <n v="0"/>
    <s v="Retired"/>
    <n v="1"/>
    <x v="1"/>
  </r>
  <r>
    <s v="LN-00448"/>
    <s v="BRW-0374"/>
    <d v="2024-11-16T00:00:00"/>
    <s v="Business Loan"/>
    <n v="29700"/>
    <n v="36"/>
    <n v="8.4499999999999993"/>
    <n v="936.87"/>
    <n v="39.799999999999997"/>
    <s v="Current"/>
    <n v="0"/>
    <n v="0"/>
    <s v="Full-Time"/>
    <n v="11"/>
    <x v="0"/>
  </r>
  <r>
    <s v="LN-00449"/>
    <s v="BRW-0374"/>
    <d v="2024-10-19T00:00:00"/>
    <s v="Business Loan"/>
    <n v="9900"/>
    <n v="12"/>
    <n v="6.84"/>
    <n v="855.88"/>
    <n v="37.9"/>
    <s v="Paid Off"/>
    <n v="0"/>
    <n v="0"/>
    <s v="Full-Time"/>
    <n v="11"/>
    <x v="0"/>
  </r>
  <r>
    <s v="LN-00450"/>
    <s v="BRW-0375"/>
    <d v="2025-06-11T00:00:00"/>
    <s v="Major Purchase"/>
    <n v="46800"/>
    <n v="24"/>
    <n v="10.46"/>
    <n v="2169.5300000000002"/>
    <n v="43.4"/>
    <s v="Current"/>
    <n v="0"/>
    <n v="0"/>
    <s v="Full-Time"/>
    <n v="5"/>
    <x v="0"/>
  </r>
  <r>
    <s v="LN-00451"/>
    <s v="BRW-0375"/>
    <d v="2024-12-19T00:00:00"/>
    <s v="Home Improvement"/>
    <n v="31600"/>
    <n v="12"/>
    <n v="11.64"/>
    <n v="2802.3"/>
    <n v="50.1"/>
    <s v="Paid Off"/>
    <n v="0"/>
    <n v="0"/>
    <s v="Full-Time"/>
    <n v="5"/>
    <x v="0"/>
  </r>
  <r>
    <s v="LN-00452"/>
    <s v="BRW-0376"/>
    <d v="2025-06-20T00:00:00"/>
    <s v="Moving"/>
    <n v="3700"/>
    <n v="48"/>
    <n v="15.07"/>
    <n v="103.11"/>
    <n v="55.4"/>
    <s v="Current"/>
    <n v="0"/>
    <n v="0"/>
    <s v="Part-Time"/>
    <n v="15"/>
    <x v="0"/>
  </r>
  <r>
    <s v="LN-00453"/>
    <s v="BRW-0376"/>
    <d v="2024-06-23T00:00:00"/>
    <s v="Medical Expenses"/>
    <n v="33800"/>
    <n v="48"/>
    <n v="12.73"/>
    <n v="902.25"/>
    <n v="80.2"/>
    <s v="Default"/>
    <n v="58"/>
    <n v="1"/>
    <s v="Part-Time"/>
    <n v="15"/>
    <x v="0"/>
  </r>
  <r>
    <s v="LN-00454"/>
    <s v="BRW-0377"/>
    <d v="2025-05-09T00:00:00"/>
    <s v="Business Loan"/>
    <n v="42800"/>
    <n v="12"/>
    <n v="9.3699999999999992"/>
    <n v="3750.27"/>
    <n v="105.8"/>
    <s v="Paid Off"/>
    <n v="0"/>
    <n v="0"/>
    <s v="Full-Time"/>
    <n v="4"/>
    <x v="0"/>
  </r>
  <r>
    <s v="LN-00455"/>
    <s v="BRW-0378"/>
    <d v="2024-02-06T00:00:00"/>
    <s v="Business Loan"/>
    <n v="46600"/>
    <n v="60"/>
    <n v="11.4"/>
    <n v="1022.52"/>
    <n v="38"/>
    <s v="Late"/>
    <n v="15"/>
    <n v="0"/>
    <s v="Retired"/>
    <n v="2"/>
    <x v="0"/>
  </r>
  <r>
    <s v="LN-00456"/>
    <s v="BRW-0379"/>
    <d v="2024-12-24T00:00:00"/>
    <s v="Debt Consolidation"/>
    <n v="17800"/>
    <n v="36"/>
    <n v="11.5"/>
    <n v="586.97"/>
    <n v="42.5"/>
    <s v="Current"/>
    <n v="0"/>
    <n v="0"/>
    <s v="Full-Time"/>
    <n v="14"/>
    <x v="0"/>
  </r>
  <r>
    <s v="LN-00457"/>
    <s v="BRW-0380"/>
    <d v="2025-05-14T00:00:00"/>
    <s v="Vacation"/>
    <n v="14100"/>
    <n v="24"/>
    <n v="7.99"/>
    <n v="637.64"/>
    <n v="45.4"/>
    <s v="Default"/>
    <n v="94"/>
    <n v="1"/>
    <s v="Self-Employed"/>
    <n v="6"/>
    <x v="0"/>
  </r>
  <r>
    <s v="LN-00458"/>
    <s v="BRW-0381"/>
    <d v="2024-10-02T00:00:00"/>
    <s v="Major Purchase"/>
    <n v="11000"/>
    <n v="24"/>
    <n v="13.82"/>
    <n v="527.21"/>
    <n v="56.6"/>
    <s v="Default"/>
    <n v="142"/>
    <n v="1"/>
    <s v="Full-Time"/>
    <n v="1"/>
    <x v="1"/>
  </r>
  <r>
    <s v="LN-00459"/>
    <s v="BRW-0382"/>
    <d v="2024-07-22T00:00:00"/>
    <s v="Vacation"/>
    <n v="19000"/>
    <n v="48"/>
    <n v="8.2100000000000009"/>
    <n v="465.72"/>
    <n v="17.600000000000001"/>
    <s v="Current"/>
    <n v="0"/>
    <n v="0"/>
    <s v="Full-Time"/>
    <n v="8"/>
    <x v="0"/>
  </r>
  <r>
    <s v="LN-00460"/>
    <s v="BRW-0383"/>
    <d v="2024-09-29T00:00:00"/>
    <s v="Education"/>
    <n v="9700"/>
    <n v="24"/>
    <n v="10.74"/>
    <n v="450.93"/>
    <n v="20.3"/>
    <s v="Current"/>
    <n v="0"/>
    <n v="0"/>
    <s v="Full-Time"/>
    <n v="4"/>
    <x v="0"/>
  </r>
  <r>
    <s v="LN-00461"/>
    <s v="BRW-0384"/>
    <d v="2025-02-02T00:00:00"/>
    <s v="Medical Expenses"/>
    <n v="38700"/>
    <n v="48"/>
    <n v="9.99"/>
    <n v="981.35"/>
    <n v="27.2"/>
    <s v="Late"/>
    <n v="30"/>
    <n v="0"/>
    <s v="Full-Time"/>
    <n v="1"/>
    <x v="1"/>
  </r>
  <r>
    <s v="LN-00462"/>
    <s v="BRW-0385"/>
    <d v="2024-12-16T00:00:00"/>
    <s v="Education"/>
    <n v="38800"/>
    <n v="24"/>
    <n v="11.03"/>
    <n v="1808.92"/>
    <n v="70.099999999999994"/>
    <s v="Default"/>
    <n v="32"/>
    <n v="1"/>
    <s v="Full-Time"/>
    <n v="3"/>
    <x v="0"/>
  </r>
  <r>
    <s v="LN-00463"/>
    <s v="BRW-0386"/>
    <d v="2024-06-05T00:00:00"/>
    <s v="Auto Loan"/>
    <n v="6000"/>
    <n v="48"/>
    <n v="11.91"/>
    <n v="157.74"/>
    <n v="12.6"/>
    <s v="Current"/>
    <n v="0"/>
    <n v="0"/>
    <s v="Self-Employed"/>
    <n v="3"/>
    <x v="0"/>
  </r>
  <r>
    <s v="LN-00464"/>
    <s v="BRW-0387"/>
    <d v="2024-04-15T00:00:00"/>
    <s v="Auto Loan"/>
    <n v="13900"/>
    <n v="48"/>
    <n v="6.83"/>
    <n v="331.76"/>
    <n v="35.700000000000003"/>
    <s v="Current"/>
    <n v="0"/>
    <n v="0"/>
    <s v="Full-Time"/>
    <n v="0"/>
    <x v="1"/>
  </r>
  <r>
    <s v="LN-00465"/>
    <s v="BRW-0388"/>
    <d v="2024-02-09T00:00:00"/>
    <s v="Wedding"/>
    <n v="9100"/>
    <n v="12"/>
    <n v="10.78"/>
    <n v="803.34"/>
    <n v="54.5"/>
    <s v="Default"/>
    <n v="79"/>
    <n v="1"/>
    <s v="Full-Time"/>
    <n v="32"/>
    <x v="0"/>
  </r>
  <r>
    <s v="LN-00466"/>
    <s v="BRW-0388"/>
    <d v="2025-01-24T00:00:00"/>
    <s v="Medical Expenses"/>
    <n v="31600"/>
    <n v="12"/>
    <n v="14.44"/>
    <n v="2843.82"/>
    <n v="80.7"/>
    <s v="Default"/>
    <n v="108"/>
    <n v="1"/>
    <s v="Full-Time"/>
    <n v="32"/>
    <x v="0"/>
  </r>
  <r>
    <s v="LN-00467"/>
    <s v="BRW-0389"/>
    <d v="2024-02-22T00:00:00"/>
    <s v="Business Loan"/>
    <n v="8800"/>
    <n v="12"/>
    <n v="9.35"/>
    <n v="771"/>
    <n v="36.200000000000003"/>
    <s v="Current"/>
    <n v="0"/>
    <n v="0"/>
    <s v="Full-Time"/>
    <n v="12"/>
    <x v="0"/>
  </r>
  <r>
    <s v="LN-00468"/>
    <s v="BRW-0390"/>
    <d v="2024-02-23T00:00:00"/>
    <s v="Major Purchase"/>
    <n v="45000"/>
    <n v="24"/>
    <n v="9.1999999999999993"/>
    <n v="2059.9499999999998"/>
    <n v="72.5"/>
    <s v="Current"/>
    <n v="0"/>
    <n v="0"/>
    <s v="Self-Employed"/>
    <n v="0"/>
    <x v="1"/>
  </r>
  <r>
    <s v="LN-00469"/>
    <s v="BRW-0391"/>
    <d v="2024-11-07T00:00:00"/>
    <s v="Wedding"/>
    <n v="5800"/>
    <n v="48"/>
    <n v="12.35"/>
    <n v="153.72999999999999"/>
    <n v="57.8"/>
    <s v="Default"/>
    <n v="33"/>
    <n v="1"/>
    <s v="Retired"/>
    <n v="6"/>
    <x v="0"/>
  </r>
  <r>
    <s v="LN-00470"/>
    <s v="BRW-0392"/>
    <d v="2025-06-25T00:00:00"/>
    <s v="Medical Expenses"/>
    <n v="35100"/>
    <n v="36"/>
    <n v="14.46"/>
    <n v="1207.49"/>
    <n v="63.5"/>
    <s v="Current"/>
    <n v="0"/>
    <n v="0"/>
    <s v="Full-Time"/>
    <n v="9"/>
    <x v="0"/>
  </r>
  <r>
    <s v="LN-00471"/>
    <s v="BRW-0393"/>
    <d v="2024-07-14T00:00:00"/>
    <s v="Home Improvement"/>
    <n v="8300"/>
    <n v="60"/>
    <n v="10.6"/>
    <n v="178.81"/>
    <n v="40"/>
    <s v="Default"/>
    <n v="144"/>
    <n v="1"/>
    <s v="Contract"/>
    <n v="2"/>
    <x v="0"/>
  </r>
  <r>
    <s v="LN-00472"/>
    <s v="BRW-0394"/>
    <d v="2024-07-25T00:00:00"/>
    <s v="Home Improvement"/>
    <n v="26300"/>
    <n v="36"/>
    <n v="11.46"/>
    <n v="866.77"/>
    <n v="75.599999999999994"/>
    <s v="Current"/>
    <n v="0"/>
    <n v="0"/>
    <s v="Contract"/>
    <n v="25"/>
    <x v="0"/>
  </r>
  <r>
    <s v="LN-00473"/>
    <s v="BRW-0394"/>
    <d v="2025-01-09T00:00:00"/>
    <s v="Major Purchase"/>
    <n v="8500"/>
    <n v="60"/>
    <n v="12.71"/>
    <n v="192.14"/>
    <n v="47.5"/>
    <s v="Paid Off"/>
    <n v="0"/>
    <n v="0"/>
    <s v="Contract"/>
    <n v="25"/>
    <x v="0"/>
  </r>
  <r>
    <s v="LN-00474"/>
    <s v="BRW-0395"/>
    <d v="2024-10-07T00:00:00"/>
    <s v="Major Purchase"/>
    <n v="47700"/>
    <n v="12"/>
    <n v="10.97"/>
    <n v="4215.1400000000003"/>
    <n v="122"/>
    <s v="Current"/>
    <n v="0"/>
    <n v="0"/>
    <s v="Part-Time"/>
    <n v="8"/>
    <x v="0"/>
  </r>
  <r>
    <s v="LN-00475"/>
    <s v="BRW-0396"/>
    <d v="2024-03-17T00:00:00"/>
    <s v="Business Loan"/>
    <n v="21100"/>
    <n v="60"/>
    <n v="11.78"/>
    <n v="467.02"/>
    <n v="17.5"/>
    <s v="Current"/>
    <n v="0"/>
    <n v="0"/>
    <s v="Part-Time"/>
    <n v="2"/>
    <x v="0"/>
  </r>
  <r>
    <s v="LN-00476"/>
    <s v="BRW-0397"/>
    <d v="2024-08-11T00:00:00"/>
    <s v="Major Purchase"/>
    <n v="11900"/>
    <n v="12"/>
    <n v="7.52"/>
    <n v="1032.52"/>
    <n v="17.600000000000001"/>
    <s v="Paid Off"/>
    <n v="0"/>
    <n v="0"/>
    <s v="Self-Employed"/>
    <n v="31"/>
    <x v="0"/>
  </r>
  <r>
    <s v="LN-00477"/>
    <s v="BRW-0398"/>
    <d v="2024-10-30T00:00:00"/>
    <s v="Moving"/>
    <n v="27200"/>
    <n v="36"/>
    <n v="10.43"/>
    <n v="883.17"/>
    <n v="48.4"/>
    <s v="Current"/>
    <n v="0"/>
    <n v="0"/>
    <s v="Self-Employed"/>
    <n v="14"/>
    <x v="0"/>
  </r>
  <r>
    <s v="LN-00478"/>
    <s v="BRW-0399"/>
    <d v="2024-10-03T00:00:00"/>
    <s v="Business Loan"/>
    <n v="32700"/>
    <n v="36"/>
    <n v="13.44"/>
    <n v="1108.74"/>
    <n v="24.4"/>
    <s v="Paid Off"/>
    <n v="0"/>
    <n v="0"/>
    <s v="Full-Time"/>
    <n v="30"/>
    <x v="0"/>
  </r>
  <r>
    <s v="LN-00479"/>
    <s v="BRW-0400"/>
    <d v="2025-01-12T00:00:00"/>
    <s v="Business Loan"/>
    <n v="2000"/>
    <n v="36"/>
    <n v="13.08"/>
    <n v="67.459999999999994"/>
    <n v="15.9"/>
    <s v="Late"/>
    <n v="15"/>
    <n v="0"/>
    <s v="Part-Time"/>
    <n v="32"/>
    <x v="0"/>
  </r>
  <r>
    <s v="LN-00480"/>
    <s v="BRW-0400"/>
    <d v="2024-02-28T00:00:00"/>
    <s v="Auto Loan"/>
    <n v="15700"/>
    <n v="60"/>
    <n v="11.39"/>
    <n v="344.42"/>
    <n v="26.8"/>
    <s v="Current"/>
    <n v="0"/>
    <n v="0"/>
    <s v="Part-Time"/>
    <n v="32"/>
    <x v="0"/>
  </r>
  <r>
    <s v="LN-00481"/>
    <s v="BRW-0401"/>
    <d v="2024-04-18T00:00:00"/>
    <s v="Auto Loan"/>
    <n v="21100"/>
    <n v="60"/>
    <n v="10.14"/>
    <n v="449.77"/>
    <n v="29.5"/>
    <s v="Paid Off"/>
    <n v="0"/>
    <n v="0"/>
    <s v="Full-Time"/>
    <n v="14"/>
    <x v="0"/>
  </r>
  <r>
    <s v="LN-00482"/>
    <s v="BRW-0402"/>
    <d v="2024-07-27T00:00:00"/>
    <s v="Wedding"/>
    <n v="20300"/>
    <n v="24"/>
    <n v="8.6199999999999992"/>
    <n v="923.86"/>
    <n v="49.5"/>
    <s v="Paid Off"/>
    <n v="0"/>
    <n v="0"/>
    <s v="Part-Time"/>
    <n v="28"/>
    <x v="0"/>
  </r>
  <r>
    <s v="LN-00483"/>
    <s v="BRW-0403"/>
    <d v="2024-04-05T00:00:00"/>
    <s v="Business Loan"/>
    <n v="12500"/>
    <n v="24"/>
    <n v="14.99"/>
    <n v="606.02"/>
    <n v="82"/>
    <s v="Default"/>
    <n v="147"/>
    <n v="1"/>
    <s v="Part-Time"/>
    <n v="25"/>
    <x v="0"/>
  </r>
  <r>
    <s v="LN-00484"/>
    <s v="BRW-0404"/>
    <d v="2024-01-22T00:00:00"/>
    <s v="Medical Expenses"/>
    <n v="20000"/>
    <n v="24"/>
    <n v="11.22"/>
    <n v="934.2"/>
    <n v="48.3"/>
    <s v="Late"/>
    <n v="15"/>
    <n v="0"/>
    <s v="Self-Employed"/>
    <n v="3"/>
    <x v="0"/>
  </r>
  <r>
    <s v="LN-00485"/>
    <s v="BRW-0405"/>
    <d v="2025-02-16T00:00:00"/>
    <s v="Business Loan"/>
    <n v="3600"/>
    <n v="24"/>
    <n v="9.51"/>
    <n v="165.31"/>
    <n v="25.2"/>
    <s v="Paid Off"/>
    <n v="0"/>
    <n v="0"/>
    <s v="Self-Employed"/>
    <n v="7"/>
    <x v="0"/>
  </r>
  <r>
    <s v="LN-00486"/>
    <s v="BRW-0406"/>
    <d v="2024-02-14T00:00:00"/>
    <s v="Wedding"/>
    <n v="20400"/>
    <n v="12"/>
    <n v="14.07"/>
    <n v="1832.33"/>
    <n v="59"/>
    <s v="Default"/>
    <n v="51"/>
    <n v="1"/>
    <s v="Full-Time"/>
    <n v="2"/>
    <x v="0"/>
  </r>
  <r>
    <s v="LN-00487"/>
    <s v="BRW-0406"/>
    <d v="2024-01-10T00:00:00"/>
    <s v="Auto Loan"/>
    <n v="32100"/>
    <n v="12"/>
    <n v="13.9"/>
    <n v="2880.66"/>
    <n v="69.400000000000006"/>
    <s v="Paid Off"/>
    <n v="0"/>
    <n v="0"/>
    <s v="Full-Time"/>
    <n v="2"/>
    <x v="0"/>
  </r>
  <r>
    <s v="LN-00488"/>
    <s v="BRW-0407"/>
    <d v="2024-06-16T00:00:00"/>
    <s v="Home Improvement"/>
    <n v="14900"/>
    <n v="60"/>
    <n v="14.61"/>
    <n v="351.43"/>
    <n v="48.8"/>
    <s v="Default"/>
    <n v="152"/>
    <n v="1"/>
    <s v="Full-Time"/>
    <n v="25"/>
    <x v="0"/>
  </r>
  <r>
    <s v="LN-00489"/>
    <s v="BRW-0408"/>
    <d v="2024-02-15T00:00:00"/>
    <s v="Debt Consolidation"/>
    <n v="14800"/>
    <n v="60"/>
    <n v="6.52"/>
    <n v="289.72000000000003"/>
    <n v="37.6"/>
    <s v="Default"/>
    <n v="105"/>
    <n v="1"/>
    <s v="Full-Time"/>
    <n v="1"/>
    <x v="1"/>
  </r>
  <r>
    <s v="LN-00490"/>
    <s v="BRW-0409"/>
    <d v="2025-01-29T00:00:00"/>
    <s v="Major Purchase"/>
    <n v="17800"/>
    <n v="12"/>
    <n v="11.9"/>
    <n v="1580.68"/>
    <n v="90.2"/>
    <s v="Default"/>
    <n v="103"/>
    <n v="1"/>
    <s v="Full-Time"/>
    <n v="27"/>
    <x v="0"/>
  </r>
  <r>
    <s v="LN-00491"/>
    <s v="BRW-0410"/>
    <d v="2024-04-22T00:00:00"/>
    <s v="Major Purchase"/>
    <n v="36300"/>
    <n v="12"/>
    <n v="12.58"/>
    <n v="3235.07"/>
    <n v="72.099999999999994"/>
    <s v="Default"/>
    <n v="102"/>
    <n v="1"/>
    <s v="Full-Time"/>
    <n v="6"/>
    <x v="0"/>
  </r>
  <r>
    <s v="LN-00492"/>
    <s v="BRW-0411"/>
    <d v="2024-06-03T00:00:00"/>
    <s v="Wedding"/>
    <n v="13100"/>
    <n v="12"/>
    <n v="13.53"/>
    <n v="1173.32"/>
    <n v="57.8"/>
    <s v="Default"/>
    <n v="165"/>
    <n v="1"/>
    <s v="Part-Time"/>
    <n v="8"/>
    <x v="0"/>
  </r>
  <r>
    <s v="LN-00493"/>
    <s v="BRW-0412"/>
    <d v="2024-10-20T00:00:00"/>
    <s v="Medical Expenses"/>
    <n v="6600"/>
    <n v="36"/>
    <n v="10.01"/>
    <n v="212.99"/>
    <n v="49.3"/>
    <s v="Paid Off"/>
    <n v="0"/>
    <n v="0"/>
    <s v="Part-Time"/>
    <n v="4"/>
    <x v="0"/>
  </r>
  <r>
    <s v="LN-00494"/>
    <s v="BRW-0413"/>
    <d v="2024-06-01T00:00:00"/>
    <s v="Auto Loan"/>
    <n v="36100"/>
    <n v="12"/>
    <n v="12.48"/>
    <n v="3215.55"/>
    <n v="85.5"/>
    <s v="Current"/>
    <n v="0"/>
    <n v="0"/>
    <s v="Full-Time"/>
    <n v="22"/>
    <x v="0"/>
  </r>
  <r>
    <s v="LN-00495"/>
    <s v="BRW-0414"/>
    <d v="2024-10-12T00:00:00"/>
    <s v="Vacation"/>
    <n v="7400"/>
    <n v="48"/>
    <n v="14.9"/>
    <n v="205.57"/>
    <n v="56.2"/>
    <s v="Default"/>
    <n v="112"/>
    <n v="1"/>
    <s v="Self-Employed"/>
    <n v="12"/>
    <x v="0"/>
  </r>
  <r>
    <s v="LN-00496"/>
    <s v="BRW-0415"/>
    <d v="2025-02-27T00:00:00"/>
    <s v="Medical Expenses"/>
    <n v="18900"/>
    <n v="48"/>
    <n v="10.69"/>
    <n v="485.64"/>
    <n v="30.2"/>
    <s v="Current"/>
    <n v="0"/>
    <n v="0"/>
    <s v="Self-Employed"/>
    <n v="27"/>
    <x v="0"/>
  </r>
  <r>
    <s v="LN-00497"/>
    <s v="BRW-0415"/>
    <d v="2025-06-29T00:00:00"/>
    <s v="Business Loan"/>
    <n v="28400"/>
    <n v="60"/>
    <n v="11.24"/>
    <n v="620.89"/>
    <n v="31.9"/>
    <s v="Current"/>
    <n v="0"/>
    <n v="0"/>
    <s v="Self-Employed"/>
    <n v="27"/>
    <x v="0"/>
  </r>
  <r>
    <s v="LN-00498"/>
    <s v="BRW-0416"/>
    <d v="2024-08-28T00:00:00"/>
    <s v="Moving"/>
    <n v="35300"/>
    <n v="24"/>
    <n v="13.15"/>
    <n v="1680.71"/>
    <n v="62.3"/>
    <s v="Paid Off"/>
    <n v="0"/>
    <n v="0"/>
    <s v="Full-Time"/>
    <n v="2"/>
    <x v="0"/>
  </r>
  <r>
    <s v="LN-00499"/>
    <s v="BRW-0417"/>
    <d v="2025-01-04T00:00:00"/>
    <s v="Vacation"/>
    <n v="46200"/>
    <n v="12"/>
    <n v="11.87"/>
    <n v="4102"/>
    <n v="155.30000000000001"/>
    <s v="Late"/>
    <n v="15"/>
    <n v="0"/>
    <s v="Full-Time"/>
    <n v="3"/>
    <x v="0"/>
  </r>
  <r>
    <s v="LN-00500"/>
    <s v="BRW-0418"/>
    <d v="2024-08-17T00:00:00"/>
    <s v="Medical Expenses"/>
    <n v="28500"/>
    <n v="48"/>
    <n v="9.76"/>
    <n v="719.55"/>
    <n v="53.9"/>
    <s v="Default"/>
    <n v="65"/>
    <n v="1"/>
    <s v="Full-Time"/>
    <n v="3"/>
    <x v="0"/>
  </r>
  <r>
    <s v="LN-00501"/>
    <s v="BRW-0419"/>
    <d v="2024-04-18T00:00:00"/>
    <s v="Medical Expenses"/>
    <n v="2300"/>
    <n v="48"/>
    <n v="11.06"/>
    <n v="59.51"/>
    <n v="31.5"/>
    <s v="Paid Off"/>
    <n v="0"/>
    <n v="0"/>
    <s v="Part-Time"/>
    <n v="12"/>
    <x v="0"/>
  </r>
  <r>
    <s v="LN-00502"/>
    <s v="BRW-0420"/>
    <d v="2025-03-02T00:00:00"/>
    <s v="Debt Consolidation"/>
    <n v="8800"/>
    <n v="24"/>
    <n v="6.29"/>
    <n v="391.17"/>
    <n v="18.100000000000001"/>
    <s v="Paid Off"/>
    <n v="0"/>
    <n v="0"/>
    <s v="Self-Employed"/>
    <n v="6"/>
    <x v="0"/>
  </r>
  <r>
    <s v="LN-00503"/>
    <s v="BRW-0420"/>
    <d v="2025-03-30T00:00:00"/>
    <s v="Moving"/>
    <n v="16400"/>
    <n v="48"/>
    <n v="9.51"/>
    <n v="412.1"/>
    <n v="18.399999999999999"/>
    <s v="Current"/>
    <n v="0"/>
    <n v="0"/>
    <s v="Self-Employed"/>
    <n v="6"/>
    <x v="0"/>
  </r>
  <r>
    <s v="LN-00504"/>
    <s v="BRW-0421"/>
    <d v="2025-03-09T00:00:00"/>
    <s v="Debt Consolidation"/>
    <n v="6800"/>
    <n v="24"/>
    <n v="10.29"/>
    <n v="314.7"/>
    <n v="24.5"/>
    <s v="Late"/>
    <n v="15"/>
    <n v="0"/>
    <s v="Retired"/>
    <n v="24"/>
    <x v="0"/>
  </r>
  <r>
    <s v="LN-00505"/>
    <s v="BRW-0422"/>
    <d v="2024-10-05T00:00:00"/>
    <s v="Wedding"/>
    <n v="36000"/>
    <n v="48"/>
    <n v="14.34"/>
    <n v="989.9"/>
    <n v="56.2"/>
    <s v="Paid Off"/>
    <n v="0"/>
    <n v="0"/>
    <s v="Full-Time"/>
    <n v="2"/>
    <x v="0"/>
  </r>
  <r>
    <s v="LN-00506"/>
    <s v="BRW-0422"/>
    <d v="2024-07-07T00:00:00"/>
    <s v="Medical Expenses"/>
    <n v="21200"/>
    <n v="12"/>
    <n v="10.78"/>
    <n v="1871.52"/>
    <n v="67.400000000000006"/>
    <s v="Late"/>
    <n v="30"/>
    <n v="0"/>
    <s v="Full-Time"/>
    <n v="2"/>
    <x v="0"/>
  </r>
  <r>
    <s v="LN-00507"/>
    <s v="BRW-0423"/>
    <d v="2024-06-17T00:00:00"/>
    <s v="Vacation"/>
    <n v="33300"/>
    <n v="48"/>
    <n v="10.34"/>
    <n v="850.02"/>
    <n v="45.4"/>
    <s v="Default"/>
    <n v="125"/>
    <n v="1"/>
    <s v="Self-Employed"/>
    <n v="35"/>
    <x v="0"/>
  </r>
  <r>
    <s v="LN-00508"/>
    <s v="BRW-0424"/>
    <d v="2024-12-09T00:00:00"/>
    <s v="Business Loan"/>
    <n v="5100"/>
    <n v="36"/>
    <n v="9.5500000000000007"/>
    <n v="163.49"/>
    <n v="19.5"/>
    <s v="Default"/>
    <n v="102"/>
    <n v="1"/>
    <s v="Self-Employed"/>
    <n v="8"/>
    <x v="0"/>
  </r>
  <r>
    <s v="LN-00509"/>
    <s v="BRW-0425"/>
    <d v="2024-07-25T00:00:00"/>
    <s v="Home Improvement"/>
    <n v="17400"/>
    <n v="36"/>
    <n v="6.77"/>
    <n v="535.42999999999995"/>
    <n v="62.8"/>
    <s v="Current"/>
    <n v="0"/>
    <n v="0"/>
    <s v="Full-Time"/>
    <n v="16"/>
    <x v="0"/>
  </r>
  <r>
    <s v="LN-00510"/>
    <s v="BRW-0426"/>
    <d v="2024-11-18T00:00:00"/>
    <s v="Wedding"/>
    <n v="10800"/>
    <n v="48"/>
    <n v="6.06"/>
    <n v="253.94"/>
    <n v="49"/>
    <s v="Default"/>
    <n v="109"/>
    <n v="1"/>
    <s v="Full-Time"/>
    <n v="2"/>
    <x v="0"/>
  </r>
  <r>
    <s v="LN-00511"/>
    <s v="BRW-0426"/>
    <d v="2024-11-18T00:00:00"/>
    <s v="Debt Consolidation"/>
    <n v="34800"/>
    <n v="48"/>
    <n v="8.33"/>
    <n v="854.97"/>
    <n v="72.400000000000006"/>
    <s v="Paid Off"/>
    <n v="0"/>
    <n v="0"/>
    <s v="Full-Time"/>
    <n v="2"/>
    <x v="0"/>
  </r>
  <r>
    <s v="LN-00512"/>
    <s v="BRW-0427"/>
    <d v="2024-06-02T00:00:00"/>
    <s v="Home Improvement"/>
    <n v="30100"/>
    <n v="60"/>
    <n v="9.49"/>
    <n v="632.01"/>
    <n v="61.9"/>
    <s v="Default"/>
    <n v="127"/>
    <n v="1"/>
    <s v="Self-Employed"/>
    <n v="17"/>
    <x v="0"/>
  </r>
  <r>
    <s v="LN-00513"/>
    <s v="BRW-0428"/>
    <d v="2024-04-05T00:00:00"/>
    <s v="Debt Consolidation"/>
    <n v="8700"/>
    <n v="48"/>
    <n v="8.9600000000000009"/>
    <n v="216.33"/>
    <n v="13.4"/>
    <s v="Current"/>
    <n v="0"/>
    <n v="0"/>
    <s v="Full-Time"/>
    <n v="20"/>
    <x v="0"/>
  </r>
  <r>
    <s v="LN-00514"/>
    <s v="BRW-0429"/>
    <d v="2025-06-19T00:00:00"/>
    <s v="Medical Expenses"/>
    <n v="7500"/>
    <n v="60"/>
    <n v="8.4600000000000009"/>
    <n v="153.72999999999999"/>
    <n v="21.5"/>
    <s v="Paid Off"/>
    <n v="0"/>
    <n v="0"/>
    <s v="Part-Time"/>
    <n v="13"/>
    <x v="0"/>
  </r>
  <r>
    <s v="LN-00515"/>
    <s v="BRW-0430"/>
    <d v="2025-01-31T00:00:00"/>
    <s v="Education"/>
    <n v="47100"/>
    <n v="12"/>
    <n v="14.85"/>
    <n v="4247.83"/>
    <n v="64.8"/>
    <s v="Default"/>
    <n v="49"/>
    <n v="1"/>
    <s v="Self-Employed"/>
    <n v="9"/>
    <x v="0"/>
  </r>
  <r>
    <s v="LN-00516"/>
    <s v="BRW-0431"/>
    <d v="2024-11-12T00:00:00"/>
    <s v="Wedding"/>
    <n v="14000"/>
    <n v="12"/>
    <n v="10.029999999999999"/>
    <n v="1231.02"/>
    <n v="86"/>
    <s v="Late"/>
    <n v="30"/>
    <n v="0"/>
    <s v="Full-Time"/>
    <n v="2"/>
    <x v="0"/>
  </r>
  <r>
    <s v="LN-00517"/>
    <s v="BRW-0431"/>
    <d v="2024-06-14T00:00:00"/>
    <s v="Home Improvement"/>
    <n v="11300"/>
    <n v="24"/>
    <n v="13.99"/>
    <n v="542.49"/>
    <n v="52.8"/>
    <s v="Default"/>
    <n v="177"/>
    <n v="1"/>
    <s v="Full-Time"/>
    <n v="2"/>
    <x v="0"/>
  </r>
  <r>
    <s v="LN-00518"/>
    <s v="BRW-0432"/>
    <d v="2025-04-29T00:00:00"/>
    <s v="Home Improvement"/>
    <n v="11800"/>
    <n v="48"/>
    <n v="7.19"/>
    <n v="283.61"/>
    <n v="55.7"/>
    <s v="Current"/>
    <n v="0"/>
    <n v="0"/>
    <s v="Full-Time"/>
    <n v="0"/>
    <x v="1"/>
  </r>
  <r>
    <s v="LN-00519"/>
    <s v="BRW-0433"/>
    <d v="2025-02-14T00:00:00"/>
    <s v="Home Improvement"/>
    <n v="25400"/>
    <n v="36"/>
    <n v="12.56"/>
    <n v="850.45"/>
    <n v="32.4"/>
    <s v="Late"/>
    <n v="0"/>
    <n v="0"/>
    <s v="Full-Time"/>
    <n v="19"/>
    <x v="0"/>
  </r>
  <r>
    <s v="LN-00520"/>
    <s v="BRW-0433"/>
    <d v="2025-02-27T00:00:00"/>
    <s v="Vacation"/>
    <n v="42600"/>
    <n v="36"/>
    <n v="10.14"/>
    <n v="1377.38"/>
    <n v="37.6"/>
    <s v="Paid Off"/>
    <n v="0"/>
    <n v="0"/>
    <s v="Full-Time"/>
    <n v="19"/>
    <x v="0"/>
  </r>
  <r>
    <s v="LN-00521"/>
    <s v="BRW-0434"/>
    <d v="2024-01-09T00:00:00"/>
    <s v="Wedding"/>
    <n v="4400"/>
    <n v="24"/>
    <n v="11.42"/>
    <n v="205.93"/>
    <n v="47.1"/>
    <s v="Current"/>
    <n v="0"/>
    <n v="0"/>
    <s v="Full-Time"/>
    <n v="34"/>
    <x v="0"/>
  </r>
  <r>
    <s v="LN-00522"/>
    <s v="BRW-0435"/>
    <d v="2025-04-24T00:00:00"/>
    <s v="Home Improvement"/>
    <n v="12600"/>
    <n v="12"/>
    <n v="8.26"/>
    <n v="1097.57"/>
    <n v="77.8"/>
    <s v="Late"/>
    <n v="15"/>
    <n v="0"/>
    <s v="Retired"/>
    <n v="9"/>
    <x v="0"/>
  </r>
  <r>
    <s v="LN-00523"/>
    <s v="BRW-0436"/>
    <d v="2024-12-02T00:00:00"/>
    <s v="Home Improvement"/>
    <n v="46300"/>
    <n v="48"/>
    <n v="8.98"/>
    <n v="1151.74"/>
    <n v="23.8"/>
    <s v="Late"/>
    <n v="0"/>
    <n v="0"/>
    <s v="Full-Time"/>
    <n v="13"/>
    <x v="0"/>
  </r>
  <r>
    <s v="LN-00524"/>
    <s v="BRW-0437"/>
    <d v="2025-04-26T00:00:00"/>
    <s v="Vacation"/>
    <n v="8700"/>
    <n v="60"/>
    <n v="10.5"/>
    <n v="187"/>
    <n v="48.4"/>
    <s v="Default"/>
    <n v="84"/>
    <n v="1"/>
    <s v="Contract"/>
    <n v="10"/>
    <x v="0"/>
  </r>
  <r>
    <s v="LN-00525"/>
    <s v="BRW-0438"/>
    <d v="2025-01-05T00:00:00"/>
    <s v="Debt Consolidation"/>
    <n v="39200"/>
    <n v="12"/>
    <n v="15.28"/>
    <n v="3543.31"/>
    <n v="124.5"/>
    <s v="Late"/>
    <n v="30"/>
    <n v="0"/>
    <s v="Full-Time"/>
    <n v="16"/>
    <x v="0"/>
  </r>
  <r>
    <s v="LN-00526"/>
    <s v="BRW-0439"/>
    <d v="2024-06-29T00:00:00"/>
    <s v="Debt Consolidation"/>
    <n v="26200"/>
    <n v="36"/>
    <n v="7.23"/>
    <n v="811.74"/>
    <n v="59"/>
    <s v="Default"/>
    <n v="47"/>
    <n v="1"/>
    <s v="Self-Employed"/>
    <n v="2"/>
    <x v="0"/>
  </r>
  <r>
    <s v="LN-00527"/>
    <s v="BRW-0440"/>
    <d v="2024-09-22T00:00:00"/>
    <s v="Home Improvement"/>
    <n v="14900"/>
    <n v="48"/>
    <n v="10.77"/>
    <n v="383.44"/>
    <n v="32.4"/>
    <s v="Paid Off"/>
    <n v="0"/>
    <n v="0"/>
    <s v="Part-Time"/>
    <n v="20"/>
    <x v="0"/>
  </r>
  <r>
    <s v="LN-00528"/>
    <s v="BRW-0441"/>
    <d v="2024-06-13T00:00:00"/>
    <s v="Auto Loan"/>
    <n v="8800"/>
    <n v="48"/>
    <n v="10.51"/>
    <n v="225.35"/>
    <n v="34.4"/>
    <s v="Paid Off"/>
    <n v="0"/>
    <n v="0"/>
    <s v="Part-Time"/>
    <n v="4"/>
    <x v="0"/>
  </r>
  <r>
    <s v="LN-00529"/>
    <s v="BRW-0442"/>
    <d v="2024-05-28T00:00:00"/>
    <s v="Debt Consolidation"/>
    <n v="44900"/>
    <n v="24"/>
    <n v="6.22"/>
    <n v="1994.45"/>
    <n v="49.4"/>
    <s v="Late"/>
    <n v="30"/>
    <n v="0"/>
    <s v="Full-Time"/>
    <n v="19"/>
    <x v="0"/>
  </r>
  <r>
    <s v="LN-00530"/>
    <s v="BRW-0443"/>
    <d v="2024-11-20T00:00:00"/>
    <s v="Education"/>
    <n v="12800"/>
    <n v="24"/>
    <n v="13.03"/>
    <n v="608.72"/>
    <n v="50.5"/>
    <s v="Default"/>
    <n v="134"/>
    <n v="1"/>
    <s v="Self-Employed"/>
    <n v="1"/>
    <x v="1"/>
  </r>
  <r>
    <s v="LN-00531"/>
    <s v="BRW-0444"/>
    <d v="2024-04-09T00:00:00"/>
    <s v="Debt Consolidation"/>
    <n v="47300"/>
    <n v="24"/>
    <n v="12.12"/>
    <n v="2229.23"/>
    <n v="90.1"/>
    <s v="Default"/>
    <n v="78"/>
    <n v="1"/>
    <s v="Full-Time"/>
    <n v="17"/>
    <x v="0"/>
  </r>
  <r>
    <s v="LN-00532"/>
    <s v="BRW-0445"/>
    <d v="2024-07-14T00:00:00"/>
    <s v="Moving"/>
    <n v="30800"/>
    <n v="24"/>
    <n v="10.36"/>
    <n v="1426.39"/>
    <n v="45.1"/>
    <s v="Current"/>
    <n v="0"/>
    <n v="0"/>
    <s v="Contract"/>
    <n v="4"/>
    <x v="0"/>
  </r>
  <r>
    <s v="LN-00533"/>
    <s v="BRW-0446"/>
    <d v="2025-04-11T00:00:00"/>
    <s v="Debt Consolidation"/>
    <n v="16700"/>
    <n v="12"/>
    <n v="9.33"/>
    <n v="1463"/>
    <n v="32"/>
    <s v="Paid Off"/>
    <n v="0"/>
    <n v="0"/>
    <s v="Contract"/>
    <n v="2"/>
    <x v="0"/>
  </r>
  <r>
    <s v="LN-00534"/>
    <s v="BRW-0446"/>
    <d v="2025-04-14T00:00:00"/>
    <s v="Major Purchase"/>
    <n v="38700"/>
    <n v="12"/>
    <n v="10.47"/>
    <n v="3410.81"/>
    <n v="57.4"/>
    <s v="Current"/>
    <n v="0"/>
    <n v="0"/>
    <s v="Contract"/>
    <n v="2"/>
    <x v="0"/>
  </r>
  <r>
    <s v="LN-00535"/>
    <s v="BRW-0447"/>
    <d v="2024-04-11T00:00:00"/>
    <s v="Major Purchase"/>
    <n v="33700"/>
    <n v="48"/>
    <n v="9.89"/>
    <n v="852.94"/>
    <n v="15.6"/>
    <s v="Current"/>
    <n v="0"/>
    <n v="0"/>
    <s v="Self-Employed"/>
    <n v="22"/>
    <x v="0"/>
  </r>
  <r>
    <s v="LN-00536"/>
    <s v="BRW-0448"/>
    <d v="2024-04-12T00:00:00"/>
    <s v="Wedding"/>
    <n v="7000"/>
    <n v="60"/>
    <n v="12.74"/>
    <n v="158.34"/>
    <n v="10.5"/>
    <s v="Paid Off"/>
    <n v="0"/>
    <n v="0"/>
    <s v="Self-Employed"/>
    <n v="12"/>
    <x v="0"/>
  </r>
  <r>
    <s v="LN-00537"/>
    <s v="BRW-0449"/>
    <d v="2024-07-19T00:00:00"/>
    <s v="Major Purchase"/>
    <n v="23500"/>
    <n v="60"/>
    <n v="10.74"/>
    <n v="507.91"/>
    <n v="49.1"/>
    <s v="Late"/>
    <n v="30"/>
    <n v="0"/>
    <s v="Self-Employed"/>
    <n v="16"/>
    <x v="0"/>
  </r>
  <r>
    <s v="LN-00538"/>
    <s v="BRW-0450"/>
    <d v="2025-01-18T00:00:00"/>
    <s v="Vacation"/>
    <n v="30100"/>
    <n v="48"/>
    <n v="9.07"/>
    <n v="750.04"/>
    <n v="42.4"/>
    <s v="Current"/>
    <n v="0"/>
    <n v="0"/>
    <s v="Contract"/>
    <n v="12"/>
    <x v="0"/>
  </r>
  <r>
    <s v="LN-00539"/>
    <s v="BRW-0451"/>
    <d v="2024-01-05T00:00:00"/>
    <s v="Auto Loan"/>
    <n v="40200"/>
    <n v="48"/>
    <n v="10.18"/>
    <n v="1023.05"/>
    <n v="52.7"/>
    <s v="Current"/>
    <n v="0"/>
    <n v="0"/>
    <s v="Full-Time"/>
    <n v="4"/>
    <x v="0"/>
  </r>
  <r>
    <s v="LN-00540"/>
    <s v="BRW-0452"/>
    <d v="2024-06-23T00:00:00"/>
    <s v="Education"/>
    <n v="26900"/>
    <n v="60"/>
    <n v="11.75"/>
    <n v="594.98"/>
    <n v="45.4"/>
    <s v="Late"/>
    <n v="30"/>
    <n v="0"/>
    <s v="Full-Time"/>
    <n v="7"/>
    <x v="0"/>
  </r>
  <r>
    <s v="LN-00541"/>
    <s v="BRW-0453"/>
    <d v="2025-03-15T00:00:00"/>
    <s v="Business Loan"/>
    <n v="19600"/>
    <n v="12"/>
    <n v="11.67"/>
    <n v="1738.41"/>
    <n v="59.4"/>
    <s v="Default"/>
    <n v="129"/>
    <n v="1"/>
    <s v="Part-Time"/>
    <n v="1"/>
    <x v="1"/>
  </r>
  <r>
    <s v="LN-00542"/>
    <s v="BRW-0453"/>
    <d v="2024-04-11T00:00:00"/>
    <s v="Medical Expenses"/>
    <n v="12600"/>
    <n v="24"/>
    <n v="9.85"/>
    <n v="580.54999999999995"/>
    <n v="28.5"/>
    <s v="Current"/>
    <n v="0"/>
    <n v="0"/>
    <s v="Part-Time"/>
    <n v="1"/>
    <x v="1"/>
  </r>
  <r>
    <s v="LN-00543"/>
    <s v="BRW-0454"/>
    <d v="2024-06-11T00:00:00"/>
    <s v="Major Purchase"/>
    <n v="32100"/>
    <n v="36"/>
    <n v="13.94"/>
    <n v="1096.17"/>
    <n v="61.3"/>
    <s v="Current"/>
    <n v="0"/>
    <n v="0"/>
    <s v="Contract"/>
    <n v="16"/>
    <x v="0"/>
  </r>
  <r>
    <s v="LN-00544"/>
    <s v="BRW-0455"/>
    <d v="2024-03-21T00:00:00"/>
    <s v="Wedding"/>
    <n v="26800"/>
    <n v="60"/>
    <n v="13.19"/>
    <n v="612.39"/>
    <n v="56.8"/>
    <s v="Paid Off"/>
    <n v="0"/>
    <n v="0"/>
    <s v="Contract"/>
    <n v="5"/>
    <x v="0"/>
  </r>
  <r>
    <s v="LN-00545"/>
    <s v="BRW-0456"/>
    <d v="2024-09-08T00:00:00"/>
    <s v="Education"/>
    <n v="13000"/>
    <n v="24"/>
    <n v="7.77"/>
    <n v="586.59"/>
    <n v="32.9"/>
    <s v="Current"/>
    <n v="0"/>
    <n v="0"/>
    <s v="Full-Time"/>
    <n v="12"/>
    <x v="0"/>
  </r>
  <r>
    <s v="LN-00546"/>
    <s v="BRW-0456"/>
    <d v="2024-04-15T00:00:00"/>
    <s v="Auto Loan"/>
    <n v="12200"/>
    <n v="24"/>
    <n v="9.42"/>
    <n v="559.71"/>
    <n v="32"/>
    <s v="Late"/>
    <n v="15"/>
    <n v="0"/>
    <s v="Full-Time"/>
    <n v="12"/>
    <x v="0"/>
  </r>
  <r>
    <s v="LN-00547"/>
    <s v="BRW-0457"/>
    <d v="2024-07-31T00:00:00"/>
    <s v="Auto Loan"/>
    <n v="6500"/>
    <n v="48"/>
    <n v="13.44"/>
    <n v="175.8"/>
    <n v="34.799999999999997"/>
    <s v="Current"/>
    <n v="0"/>
    <n v="0"/>
    <s v="Full-Time"/>
    <n v="24"/>
    <x v="0"/>
  </r>
  <r>
    <s v="LN-00548"/>
    <s v="BRW-0458"/>
    <d v="2025-04-06T00:00:00"/>
    <s v="Home Improvement"/>
    <n v="19500"/>
    <n v="36"/>
    <n v="12.75"/>
    <n v="654.69000000000005"/>
    <n v="54.1"/>
    <s v="Current"/>
    <n v="0"/>
    <n v="0"/>
    <s v="Contract"/>
    <n v="30"/>
    <x v="0"/>
  </r>
  <r>
    <s v="LN-00549"/>
    <s v="BRW-0459"/>
    <d v="2024-12-21T00:00:00"/>
    <s v="Wedding"/>
    <n v="43000"/>
    <n v="12"/>
    <n v="10.71"/>
    <n v="3794.6"/>
    <n v="79.900000000000006"/>
    <s v="Current"/>
    <n v="0"/>
    <n v="0"/>
    <s v="Full-Time"/>
    <n v="34"/>
    <x v="0"/>
  </r>
  <r>
    <s v="LN-00550"/>
    <s v="BRW-0460"/>
    <d v="2025-06-14T00:00:00"/>
    <s v="Auto Loan"/>
    <n v="11300"/>
    <n v="12"/>
    <n v="9.33"/>
    <n v="989.93"/>
    <n v="70.8"/>
    <s v="Paid Off"/>
    <n v="0"/>
    <n v="0"/>
    <s v="Full-Time"/>
    <n v="13"/>
    <x v="0"/>
  </r>
  <r>
    <s v="LN-00551"/>
    <s v="BRW-0461"/>
    <d v="2024-05-09T00:00:00"/>
    <s v="Business Loan"/>
    <n v="5900"/>
    <n v="12"/>
    <n v="9.74"/>
    <n v="517.99"/>
    <n v="23.6"/>
    <s v="Paid Off"/>
    <n v="0"/>
    <n v="0"/>
    <s v="Self-Employed"/>
    <n v="3"/>
    <x v="0"/>
  </r>
  <r>
    <s v="LN-00552"/>
    <s v="BRW-0462"/>
    <d v="2025-02-13T00:00:00"/>
    <s v="Moving"/>
    <n v="24400"/>
    <n v="48"/>
    <n v="11.75"/>
    <n v="639.54999999999995"/>
    <n v="47"/>
    <s v="Current"/>
    <n v="0"/>
    <n v="0"/>
    <s v="Contract"/>
    <n v="0"/>
    <x v="1"/>
  </r>
  <r>
    <s v="LN-00553"/>
    <s v="BRW-0463"/>
    <d v="2024-07-29T00:00:00"/>
    <s v="Auto Loan"/>
    <n v="6900"/>
    <n v="60"/>
    <n v="10.039999999999999"/>
    <n v="146.74"/>
    <n v="38"/>
    <s v="Paid Off"/>
    <n v="0"/>
    <n v="0"/>
    <s v="Self-Employed"/>
    <n v="26"/>
    <x v="0"/>
  </r>
  <r>
    <s v="LN-00554"/>
    <s v="BRW-0463"/>
    <d v="2025-01-27T00:00:00"/>
    <s v="Major Purchase"/>
    <n v="14300"/>
    <n v="36"/>
    <n v="11.6"/>
    <n v="472.24"/>
    <n v="46.4"/>
    <s v="Current"/>
    <n v="0"/>
    <n v="0"/>
    <s v="Self-Employed"/>
    <n v="26"/>
    <x v="0"/>
  </r>
  <r>
    <s v="LN-00555"/>
    <s v="BRW-0464"/>
    <d v="2025-02-23T00:00:00"/>
    <s v="Home Improvement"/>
    <n v="44700"/>
    <n v="60"/>
    <n v="9.92"/>
    <n v="947.98"/>
    <n v="46.1"/>
    <s v="Late"/>
    <n v="0"/>
    <n v="0"/>
    <s v="Full-Time"/>
    <n v="12"/>
    <x v="0"/>
  </r>
  <r>
    <s v="LN-00556"/>
    <s v="BRW-0465"/>
    <d v="2024-07-09T00:00:00"/>
    <s v="Education"/>
    <n v="4600"/>
    <n v="36"/>
    <n v="10.78"/>
    <n v="150.12"/>
    <n v="17.600000000000001"/>
    <s v="Late"/>
    <n v="0"/>
    <n v="0"/>
    <s v="Part-Time"/>
    <n v="9"/>
    <x v="0"/>
  </r>
  <r>
    <s v="LN-00557"/>
    <s v="BRW-0465"/>
    <d v="2024-01-12T00:00:00"/>
    <s v="Education"/>
    <n v="6000"/>
    <n v="12"/>
    <n v="10.23"/>
    <n v="528.14"/>
    <n v="32.200000000000003"/>
    <s v="Current"/>
    <n v="0"/>
    <n v="0"/>
    <s v="Part-Time"/>
    <n v="9"/>
    <x v="0"/>
  </r>
  <r>
    <s v="LN-00558"/>
    <s v="BRW-0466"/>
    <d v="2024-08-10T00:00:00"/>
    <s v="Business Loan"/>
    <n v="20000"/>
    <n v="60"/>
    <n v="10.86"/>
    <n v="433.45"/>
    <n v="55.4"/>
    <s v="Default"/>
    <n v="101"/>
    <n v="1"/>
    <s v="Full-Time"/>
    <n v="6"/>
    <x v="0"/>
  </r>
  <r>
    <s v="LN-00559"/>
    <s v="BRW-0467"/>
    <d v="2024-11-23T00:00:00"/>
    <s v="Home Improvement"/>
    <n v="33000"/>
    <n v="48"/>
    <n v="7.42"/>
    <n v="796.67"/>
    <n v="70.099999999999994"/>
    <s v="Default"/>
    <n v="42"/>
    <n v="1"/>
    <s v="Self-Employed"/>
    <n v="0"/>
    <x v="1"/>
  </r>
  <r>
    <s v="LN-00560"/>
    <s v="BRW-0468"/>
    <d v="2024-06-24T00:00:00"/>
    <s v="Vacation"/>
    <n v="4900"/>
    <n v="12"/>
    <n v="6.69"/>
    <n v="423.28"/>
    <n v="50"/>
    <s v="Current"/>
    <n v="0"/>
    <n v="0"/>
    <s v="Full-Time"/>
    <n v="1"/>
    <x v="1"/>
  </r>
  <r>
    <s v="LN-00561"/>
    <s v="BRW-0468"/>
    <d v="2025-04-17T00:00:00"/>
    <s v="Debt Consolidation"/>
    <n v="15400"/>
    <n v="60"/>
    <n v="11.01"/>
    <n v="334.91"/>
    <n v="47"/>
    <s v="Current"/>
    <n v="0"/>
    <n v="0"/>
    <s v="Full-Time"/>
    <n v="1"/>
    <x v="1"/>
  </r>
  <r>
    <s v="LN-00562"/>
    <s v="BRW-0469"/>
    <d v="2025-03-01T00:00:00"/>
    <s v="Moving"/>
    <n v="5000"/>
    <n v="12"/>
    <n v="12.2"/>
    <n v="444.71"/>
    <n v="79.2"/>
    <s v="Paid Off"/>
    <n v="0"/>
    <n v="0"/>
    <s v="Retired"/>
    <n v="31"/>
    <x v="0"/>
  </r>
  <r>
    <s v="LN-00563"/>
    <s v="BRW-0469"/>
    <d v="2025-02-06T00:00:00"/>
    <s v="Major Purchase"/>
    <n v="6300"/>
    <n v="48"/>
    <n v="12.91"/>
    <n v="168.73"/>
    <n v="62"/>
    <s v="Default"/>
    <n v="146"/>
    <n v="1"/>
    <s v="Retired"/>
    <n v="31"/>
    <x v="0"/>
  </r>
  <r>
    <s v="LN-00564"/>
    <s v="BRW-0470"/>
    <d v="2024-02-18T00:00:00"/>
    <s v="Home Improvement"/>
    <n v="47000"/>
    <n v="12"/>
    <n v="6.91"/>
    <n v="4064.81"/>
    <n v="102.4"/>
    <s v="Paid Off"/>
    <n v="0"/>
    <n v="0"/>
    <s v="Full-Time"/>
    <n v="14"/>
    <x v="0"/>
  </r>
  <r>
    <s v="LN-00565"/>
    <s v="BRW-0471"/>
    <d v="2024-01-06T00:00:00"/>
    <s v="Major Purchase"/>
    <n v="6200"/>
    <n v="36"/>
    <n v="11.68"/>
    <n v="204.98"/>
    <n v="33.5"/>
    <s v="Late"/>
    <n v="15"/>
    <n v="0"/>
    <s v="Full-Time"/>
    <n v="1"/>
    <x v="1"/>
  </r>
  <r>
    <s v="LN-00566"/>
    <s v="BRW-0471"/>
    <d v="2025-01-23T00:00:00"/>
    <s v="Debt Consolidation"/>
    <n v="39200"/>
    <n v="12"/>
    <n v="8.92"/>
    <n v="3426.64"/>
    <n v="74"/>
    <s v="Default"/>
    <n v="73"/>
    <n v="1"/>
    <s v="Full-Time"/>
    <n v="1"/>
    <x v="1"/>
  </r>
  <r>
    <s v="LN-00567"/>
    <s v="BRW-0472"/>
    <d v="2025-02-27T00:00:00"/>
    <s v="Wedding"/>
    <n v="5200"/>
    <n v="24"/>
    <n v="10.25"/>
    <n v="240.55"/>
    <n v="44.2"/>
    <s v="Current"/>
    <n v="0"/>
    <n v="0"/>
    <s v="Full-Time"/>
    <n v="22"/>
    <x v="0"/>
  </r>
  <r>
    <s v="LN-00568"/>
    <s v="BRW-0472"/>
    <d v="2025-05-09T00:00:00"/>
    <s v="Business Loan"/>
    <n v="22000"/>
    <n v="36"/>
    <n v="8.09"/>
    <n v="690.31"/>
    <n v="60.9"/>
    <s v="Current"/>
    <n v="0"/>
    <n v="0"/>
    <s v="Full-Time"/>
    <n v="22"/>
    <x v="0"/>
  </r>
  <r>
    <s v="LN-00569"/>
    <s v="BRW-0473"/>
    <d v="2024-03-17T00:00:00"/>
    <s v="Moving"/>
    <n v="13600"/>
    <n v="24"/>
    <n v="13.16"/>
    <n v="647.59"/>
    <n v="38.700000000000003"/>
    <s v="Current"/>
    <n v="0"/>
    <n v="0"/>
    <s v="Full-Time"/>
    <n v="6"/>
    <x v="0"/>
  </r>
  <r>
    <s v="LN-00570"/>
    <s v="BRW-0474"/>
    <d v="2025-06-24T00:00:00"/>
    <s v="Major Purchase"/>
    <n v="6100"/>
    <n v="24"/>
    <n v="10.25"/>
    <n v="282.19"/>
    <n v="47.8"/>
    <s v="Paid Off"/>
    <n v="0"/>
    <n v="0"/>
    <s v="Retired"/>
    <n v="4"/>
    <x v="0"/>
  </r>
  <r>
    <s v="LN-00571"/>
    <s v="BRW-0475"/>
    <d v="2025-01-07T00:00:00"/>
    <s v="Medical Expenses"/>
    <n v="7100"/>
    <n v="24"/>
    <n v="7.01"/>
    <n v="317.92"/>
    <n v="40"/>
    <s v="Late"/>
    <n v="0"/>
    <n v="0"/>
    <s v="Full-Time"/>
    <n v="0"/>
    <x v="1"/>
  </r>
  <r>
    <s v="LN-00572"/>
    <s v="BRW-0476"/>
    <d v="2024-04-14T00:00:00"/>
    <s v="Major Purchase"/>
    <n v="10300"/>
    <n v="24"/>
    <n v="11.51"/>
    <n v="482.5"/>
    <n v="26.9"/>
    <s v="Late"/>
    <n v="15"/>
    <n v="0"/>
    <s v="Full-Time"/>
    <n v="16"/>
    <x v="0"/>
  </r>
  <r>
    <s v="LN-00573"/>
    <s v="BRW-0477"/>
    <d v="2024-09-28T00:00:00"/>
    <s v="Vacation"/>
    <n v="2900"/>
    <n v="60"/>
    <n v="8.6300000000000008"/>
    <n v="59.68"/>
    <n v="34.799999999999997"/>
    <s v="Current"/>
    <n v="0"/>
    <n v="0"/>
    <s v="Self-Employed"/>
    <n v="2"/>
    <x v="0"/>
  </r>
  <r>
    <s v="LN-00574"/>
    <s v="BRW-0478"/>
    <d v="2025-01-13T00:00:00"/>
    <s v="Major Purchase"/>
    <n v="26400"/>
    <n v="12"/>
    <n v="8.7899999999999991"/>
    <n v="2306.15"/>
    <n v="39.1"/>
    <s v="Paid Off"/>
    <n v="0"/>
    <n v="0"/>
    <s v="Self-Employed"/>
    <n v="11"/>
    <x v="0"/>
  </r>
  <r>
    <s v="LN-00575"/>
    <s v="BRW-0479"/>
    <d v="2025-05-20T00:00:00"/>
    <s v="Auto Loan"/>
    <n v="7000"/>
    <n v="36"/>
    <n v="12.5"/>
    <n v="234.18"/>
    <n v="43"/>
    <s v="Current"/>
    <n v="0"/>
    <n v="0"/>
    <s v="Full-Time"/>
    <n v="3"/>
    <x v="0"/>
  </r>
  <r>
    <s v="LN-00576"/>
    <s v="BRW-0480"/>
    <d v="2024-09-01T00:00:00"/>
    <s v="Home Improvement"/>
    <n v="3600"/>
    <n v="12"/>
    <n v="9.94"/>
    <n v="316.39999999999998"/>
    <n v="55.8"/>
    <s v="Default"/>
    <n v="55"/>
    <n v="1"/>
    <s v="Contract"/>
    <n v="23"/>
    <x v="0"/>
  </r>
  <r>
    <s v="LN-00577"/>
    <s v="BRW-0481"/>
    <d v="2024-10-01T00:00:00"/>
    <s v="Wedding"/>
    <n v="21400"/>
    <n v="48"/>
    <n v="6.99"/>
    <n v="512.35"/>
    <n v="12.1"/>
    <s v="Current"/>
    <n v="0"/>
    <n v="0"/>
    <s v="Full-Time"/>
    <n v="17"/>
    <x v="0"/>
  </r>
  <r>
    <s v="LN-00578"/>
    <s v="BRW-0482"/>
    <d v="2025-05-03T00:00:00"/>
    <s v="Wedding"/>
    <n v="2100"/>
    <n v="24"/>
    <n v="10.25"/>
    <n v="97.15"/>
    <n v="12.6"/>
    <s v="Late"/>
    <n v="15"/>
    <n v="0"/>
    <s v="Full-Time"/>
    <n v="27"/>
    <x v="0"/>
  </r>
  <r>
    <s v="LN-00579"/>
    <s v="BRW-0483"/>
    <d v="2024-01-14T00:00:00"/>
    <s v="Home Improvement"/>
    <n v="8200"/>
    <n v="48"/>
    <n v="10.09"/>
    <n v="208.33"/>
    <n v="54.1"/>
    <s v="Current"/>
    <n v="0"/>
    <n v="0"/>
    <s v="Self-Employed"/>
    <n v="24"/>
    <x v="0"/>
  </r>
  <r>
    <s v="LN-00580"/>
    <s v="BRW-0484"/>
    <d v="2025-04-30T00:00:00"/>
    <s v="Home Improvement"/>
    <n v="27600"/>
    <n v="12"/>
    <n v="8.84"/>
    <n v="2411.61"/>
    <n v="66.900000000000006"/>
    <s v="Current"/>
    <n v="0"/>
    <n v="0"/>
    <s v="Full-Time"/>
    <n v="5"/>
    <x v="0"/>
  </r>
  <r>
    <s v="LN-00581"/>
    <s v="BRW-0484"/>
    <d v="2025-06-21T00:00:00"/>
    <s v="Home Improvement"/>
    <n v="2400"/>
    <n v="36"/>
    <n v="10.039999999999999"/>
    <n v="77.489999999999995"/>
    <n v="27.3"/>
    <s v="Paid Off"/>
    <n v="0"/>
    <n v="0"/>
    <s v="Full-Time"/>
    <n v="5"/>
    <x v="0"/>
  </r>
  <r>
    <s v="LN-00582"/>
    <s v="BRW-0485"/>
    <d v="2025-05-13T00:00:00"/>
    <s v="Education"/>
    <n v="37300"/>
    <n v="60"/>
    <n v="7.5"/>
    <n v="747.42"/>
    <n v="22.9"/>
    <s v="Paid Off"/>
    <n v="0"/>
    <n v="0"/>
    <s v="Full-Time"/>
    <n v="4"/>
    <x v="0"/>
  </r>
  <r>
    <s v="LN-00583"/>
    <s v="BRW-0486"/>
    <d v="2024-10-03T00:00:00"/>
    <s v="Education"/>
    <n v="39200"/>
    <n v="60"/>
    <n v="11.84"/>
    <n v="868.82"/>
    <n v="60.1"/>
    <s v="Current"/>
    <n v="0"/>
    <n v="0"/>
    <s v="Part-Time"/>
    <n v="4"/>
    <x v="0"/>
  </r>
  <r>
    <s v="LN-00584"/>
    <s v="BRW-0487"/>
    <d v="2025-03-17T00:00:00"/>
    <s v="Business Loan"/>
    <n v="8800"/>
    <n v="48"/>
    <n v="5.99"/>
    <n v="206.63"/>
    <n v="22.5"/>
    <s v="Current"/>
    <n v="0"/>
    <n v="0"/>
    <s v="Full-Time"/>
    <n v="8"/>
    <x v="0"/>
  </r>
  <r>
    <s v="LN-00585"/>
    <s v="BRW-0487"/>
    <d v="2025-04-05T00:00:00"/>
    <s v="Major Purchase"/>
    <n v="48300"/>
    <n v="60"/>
    <n v="10.33"/>
    <n v="1034.0899999999999"/>
    <n v="32.700000000000003"/>
    <s v="Late"/>
    <n v="15"/>
    <n v="0"/>
    <s v="Full-Time"/>
    <n v="8"/>
    <x v="0"/>
  </r>
  <r>
    <s v="LN-00586"/>
    <s v="BRW-0488"/>
    <d v="2024-10-09T00:00:00"/>
    <s v="Education"/>
    <n v="20800"/>
    <n v="48"/>
    <n v="14.43"/>
    <n v="572.89"/>
    <n v="47.4"/>
    <s v="Current"/>
    <n v="0"/>
    <n v="0"/>
    <s v="Full-Time"/>
    <n v="3"/>
    <x v="0"/>
  </r>
  <r>
    <s v="LN-00587"/>
    <s v="BRW-0488"/>
    <d v="2024-12-21T00:00:00"/>
    <s v="Education"/>
    <n v="7900"/>
    <n v="48"/>
    <n v="12.53"/>
    <n v="210.1"/>
    <n v="40.5"/>
    <s v="Late"/>
    <n v="30"/>
    <n v="0"/>
    <s v="Full-Time"/>
    <n v="3"/>
    <x v="0"/>
  </r>
  <r>
    <s v="LN-00588"/>
    <s v="BRW-0489"/>
    <d v="2024-06-15T00:00:00"/>
    <s v="Vacation"/>
    <n v="27100"/>
    <n v="36"/>
    <n v="9.3699999999999992"/>
    <n v="866.45"/>
    <n v="23.2"/>
    <s v="Paid Off"/>
    <n v="0"/>
    <n v="0"/>
    <s v="Full-Time"/>
    <n v="29"/>
    <x v="0"/>
  </r>
  <r>
    <s v="LN-00589"/>
    <s v="BRW-0490"/>
    <d v="2024-11-09T00:00:00"/>
    <s v="Debt Consolidation"/>
    <n v="41600"/>
    <n v="12"/>
    <n v="6.52"/>
    <n v="3590.31"/>
    <n v="72.7"/>
    <s v="Default"/>
    <n v="120"/>
    <n v="1"/>
    <s v="Full-Time"/>
    <n v="11"/>
    <x v="0"/>
  </r>
  <r>
    <s v="LN-00590"/>
    <s v="BRW-0491"/>
    <d v="2025-05-29T00:00:00"/>
    <s v="Debt Consolidation"/>
    <n v="4800"/>
    <n v="36"/>
    <n v="9.7799999999999994"/>
    <n v="154.38999999999999"/>
    <n v="40"/>
    <s v="Current"/>
    <n v="0"/>
    <n v="0"/>
    <s v="Full-Time"/>
    <n v="18"/>
    <x v="0"/>
  </r>
  <r>
    <s v="LN-00591"/>
    <s v="BRW-0492"/>
    <d v="2024-03-23T00:00:00"/>
    <s v="Auto Loan"/>
    <n v="13200"/>
    <n v="48"/>
    <n v="13.58"/>
    <n v="357.93"/>
    <n v="49.4"/>
    <s v="Default"/>
    <n v="38"/>
    <n v="1"/>
    <s v="Part-Time"/>
    <n v="2"/>
    <x v="0"/>
  </r>
  <r>
    <s v="LN-00592"/>
    <s v="BRW-0493"/>
    <d v="2024-04-10T00:00:00"/>
    <s v="Education"/>
    <n v="10000"/>
    <n v="48"/>
    <n v="9.58"/>
    <n v="251.61"/>
    <n v="38.700000000000003"/>
    <s v="Late"/>
    <n v="15"/>
    <n v="0"/>
    <s v="Part-Time"/>
    <n v="23"/>
    <x v="0"/>
  </r>
  <r>
    <s v="LN-00593"/>
    <s v="BRW-0494"/>
    <d v="2024-07-23T00:00:00"/>
    <s v="Major Purchase"/>
    <n v="17500"/>
    <n v="60"/>
    <n v="9.65"/>
    <n v="368.82"/>
    <n v="30.8"/>
    <s v="Current"/>
    <n v="0"/>
    <n v="0"/>
    <s v="Full-Time"/>
    <n v="11"/>
    <x v="0"/>
  </r>
  <r>
    <s v="LN-00594"/>
    <s v="BRW-0495"/>
    <d v="2025-03-23T00:00:00"/>
    <s v="Auto Loan"/>
    <n v="26400"/>
    <n v="60"/>
    <n v="11.87"/>
    <n v="585.52"/>
    <n v="52.7"/>
    <s v="Default"/>
    <n v="164"/>
    <n v="1"/>
    <s v="Contract"/>
    <n v="6"/>
    <x v="0"/>
  </r>
  <r>
    <s v="LN-00595"/>
    <s v="BRW-0496"/>
    <d v="2025-03-13T00:00:00"/>
    <s v="Education"/>
    <n v="34900"/>
    <n v="36"/>
    <n v="11.33"/>
    <n v="1148.04"/>
    <n v="69.7"/>
    <s v="Late"/>
    <n v="30"/>
    <n v="0"/>
    <s v="Contract"/>
    <n v="4"/>
    <x v="0"/>
  </r>
  <r>
    <s v="LN-00596"/>
    <s v="BRW-0497"/>
    <d v="2024-11-05T00:00:00"/>
    <s v="Debt Consolidation"/>
    <n v="22200"/>
    <n v="24"/>
    <n v="10.19"/>
    <n v="1026.3699999999999"/>
    <n v="55"/>
    <s v="Current"/>
    <n v="0"/>
    <n v="0"/>
    <s v="Full-Time"/>
    <n v="3"/>
    <x v="0"/>
  </r>
  <r>
    <s v="LN-00597"/>
    <s v="BRW-0497"/>
    <d v="2025-02-06T00:00:00"/>
    <s v="Wedding"/>
    <n v="29100"/>
    <n v="36"/>
    <n v="7.38"/>
    <n v="903.59"/>
    <n v="52.3"/>
    <s v="Default"/>
    <n v="31"/>
    <n v="1"/>
    <s v="Full-Time"/>
    <n v="3"/>
    <x v="0"/>
  </r>
  <r>
    <s v="LN-00598"/>
    <s v="BRW-0498"/>
    <d v="2024-04-19T00:00:00"/>
    <s v="Moving"/>
    <n v="4600"/>
    <n v="12"/>
    <n v="7.27"/>
    <n v="398.6"/>
    <n v="32.4"/>
    <s v="Current"/>
    <n v="0"/>
    <n v="0"/>
    <s v="Self-Employed"/>
    <n v="7"/>
    <x v="0"/>
  </r>
  <r>
    <s v="LN-00599"/>
    <s v="BRW-0499"/>
    <d v="2024-02-24T00:00:00"/>
    <s v="Education"/>
    <n v="7800"/>
    <n v="60"/>
    <n v="9.86"/>
    <n v="165.19"/>
    <n v="28.8"/>
    <s v="Current"/>
    <n v="0"/>
    <n v="0"/>
    <s v="Full-Time"/>
    <n v="14"/>
    <x v="0"/>
  </r>
  <r>
    <s v="LN-00600"/>
    <s v="BRW-0500"/>
    <d v="2024-11-14T00:00:00"/>
    <s v="Medical Expenses"/>
    <n v="26400"/>
    <n v="24"/>
    <n v="11.44"/>
    <n v="1235.8499999999999"/>
    <n v="73.2"/>
    <s v="Late"/>
    <n v="15"/>
    <n v="0"/>
    <s v="Full-Time"/>
    <n v="5"/>
    <x v="0"/>
  </r>
  <r>
    <s v="LN-00601"/>
    <s v="BRW-0500"/>
    <d v="2024-05-03T00:00:00"/>
    <s v="Wedding"/>
    <n v="7500"/>
    <n v="12"/>
    <n v="10.7"/>
    <n v="661.81"/>
    <n v="62.9"/>
    <s v="Current"/>
    <n v="0"/>
    <n v="0"/>
    <s v="Full-Time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A755E-426B-4886-933B-722F9ACC9297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P3:V5" firstHeaderRow="1" firstDataRow="2" firstDataCol="1" rowPageCount="1" colPageCount="1"/>
  <pivotFields count="14">
    <pivotField axis="axisPage" showAll="0">
      <items count="6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0"/>
        <item x="1"/>
        <item x="4"/>
        <item x="2"/>
        <item x="3"/>
        <item t="default"/>
      </items>
    </pivotField>
  </pivotFields>
  <rowItems count="1">
    <i/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Average of defaulted" fld="11" subtotal="average" baseField="13" baseItem="0"/>
  </dataFields>
  <formats count="1">
    <format dxfId="8">
      <pivotArea collapsedLevelsAreSubtotals="1" fieldPosition="0">
        <references count="2">
          <reference field="4294967294" count="1" selected="0">
            <x v="0"/>
          </reference>
          <reference field="13" count="0"/>
        </references>
      </pivotArea>
    </format>
  </formats>
  <chartFormats count="5"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22969-EC4A-463B-B84D-A2930967FF9F}" name="PivotTable3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3:V5" firstHeaderRow="1" firstDataRow="2" firstDataCol="1" rowPageCount="1" colPageCount="1"/>
  <pivotFields count="13">
    <pivotField axis="axisPage" showAll="0">
      <items count="6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7">
        <item x="2"/>
        <item x="1"/>
        <item x="0"/>
        <item x="4"/>
        <item x="5"/>
        <item x="3"/>
        <item t="default"/>
      </items>
    </pivotField>
  </pivotFields>
  <rowItems count="1">
    <i/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-1"/>
  </pageFields>
  <dataFields count="1">
    <dataField name="Average of defaulted" fld="11" subtotal="average" baseField="12" baseItem="1"/>
  </dataFields>
  <formats count="1">
    <format dxfId="6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</formats>
  <chartFormats count="6"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ED73F-7794-4B30-AA33-A76B202307A2}" name="PivotTable2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Loan Purpose">
  <location ref="N3:Y5" firstHeaderRow="1" firstDataRow="2" firstDataCol="1" rowPageCount="1" colPageCount="1"/>
  <pivotFields count="12">
    <pivotField axis="axisPage" showAll="0">
      <items count="6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showAll="0"/>
    <pivotField numFmtId="14" showAll="0"/>
    <pivotField axis="axisCol" showAll="0" sortType="ascending">
      <items count="11">
        <item x="3"/>
        <item x="7"/>
        <item x="8"/>
        <item x="4"/>
        <item x="6"/>
        <item x="1"/>
        <item x="5"/>
        <item x="2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3"/>
  </colFields>
  <colItems count="11">
    <i>
      <x v="6"/>
    </i>
    <i>
      <x v="7"/>
    </i>
    <i>
      <x v="2"/>
    </i>
    <i>
      <x v="5"/>
    </i>
    <i>
      <x v="8"/>
    </i>
    <i>
      <x v="3"/>
    </i>
    <i>
      <x v="1"/>
    </i>
    <i>
      <x/>
    </i>
    <i>
      <x v="4"/>
    </i>
    <i>
      <x v="9"/>
    </i>
    <i t="grand">
      <x/>
    </i>
  </colItems>
  <pageFields count="1">
    <pageField fld="0" hier="-1"/>
  </pageFields>
  <dataFields count="1">
    <dataField name="Average of defaulted" fld="11" subtotal="average" baseField="3" baseItem="0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2">
      <pivotArea outline="0" collapsedLevelsAreSubtotals="1" fieldPosition="0">
        <references count="1">
          <reference field="3" count="0" selected="0"/>
        </references>
      </pivotArea>
    </format>
  </formats>
  <chartFormats count="20"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75F80-1F2B-4463-B655-1E3DA15B933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fault">
  <location ref="N25:Q28" firstHeaderRow="0" firstDataRow="1" firstDataCol="1"/>
  <pivotFields count="12"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oan_amount" fld="4" subtotal="average" baseField="11" baseItem="0"/>
    <dataField name="Min of loan_amount" fld="4" subtotal="min" baseField="11" baseItem="0"/>
    <dataField name="Max of loan_amount" fld="4" subtotal="max" baseField="11" baseItem="0"/>
  </dataFields>
  <formats count="2">
    <format dxfId="5">
      <pivotArea collapsedLevelsAreSubtotals="1" fieldPosition="0">
        <references count="1">
          <reference field="11" count="0"/>
        </references>
      </pivotArea>
    </format>
    <format dxfId="4">
      <pivotArea field="1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52107-A69B-45BD-9BA6-9A91E958AE7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Years Employed">
  <location ref="Y2:Z5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6">
        <item m="1" x="4"/>
        <item m="1" x="3"/>
        <item x="0"/>
        <item m="1"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3">
    <i>
      <x v="4"/>
    </i>
    <i>
      <x v="2"/>
    </i>
    <i t="grand">
      <x/>
    </i>
  </rowItems>
  <colItems count="1">
    <i/>
  </colItems>
  <dataFields count="1">
    <dataField name="Average of defaulted" fld="11" subtotal="average" baseField="14" baseItem="0" numFmtId="164"/>
  </dataFields>
  <formats count="1">
    <format dxfId="0">
      <pivotArea outline="0" collapsedLevelsAreSubtotals="1" fieldPosition="0"/>
    </format>
  </formats>
  <chartFormats count="3"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448E5-92CD-40CB-B13E-8EDBA653DF4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Employment Status">
  <location ref="Q1:W3" firstHeaderRow="1" firstDataRow="2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 sortType="ascending">
      <items count="6">
        <item x="2"/>
        <item x="1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Items count="1">
    <i/>
  </rowItems>
  <colFields count="1">
    <field x="12"/>
  </colFields>
  <colItems count="6">
    <i>
      <x/>
    </i>
    <i>
      <x v="3"/>
    </i>
    <i>
      <x v="1"/>
    </i>
    <i>
      <x v="4"/>
    </i>
    <i>
      <x v="2"/>
    </i>
    <i t="grand">
      <x/>
    </i>
  </colItems>
  <dataFields count="1">
    <dataField name="Average of defaulted" fld="11" subtotal="average" baseField="12" baseItem="0" numFmtId="10"/>
  </dataFields>
  <formats count="1">
    <format dxfId="1">
      <pivotArea outline="0" collapsedLevelsAreSubtotals="1" fieldPosition="0"/>
    </format>
  </formats>
  <chartFormats count="5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E8195-976B-43F7-800E-5A2BAC1A6EEC}" name="Table1" displayName="Table1" ref="A3:M255" totalsRowShown="0">
  <autoFilter ref="A3:M255" xr:uid="{30CE8195-976B-43F7-800E-5A2BAC1A6EEC}"/>
  <tableColumns count="13">
    <tableColumn id="1" xr3:uid="{DD121193-EECC-44C8-B3F7-F46D1E221ED5}" name="loan_id"/>
    <tableColumn id="2" xr3:uid="{0E703C28-697B-432B-BF05-08DA4D6A5C29}" name="borrower_id"/>
    <tableColumn id="3" xr3:uid="{4E3A4302-0D8E-412B-A0E8-11D999B9FDC1}" name="application_date" dataDxfId="7"/>
    <tableColumn id="4" xr3:uid="{D32BC3B8-78C0-416C-9B14-31AD24BD57AD}" name="loan_purpose"/>
    <tableColumn id="5" xr3:uid="{FA226337-E322-48D8-B9BC-F4CE6B0B8EA6}" name="loan_amount"/>
    <tableColumn id="6" xr3:uid="{1F548039-A3CC-4498-B694-CE841996CEE2}" name="term_months"/>
    <tableColumn id="7" xr3:uid="{740092ED-E366-4475-94FA-7C0795B81A70}" name="interest_rate"/>
    <tableColumn id="8" xr3:uid="{FED12A08-B383-4535-A7F8-19577A1406C8}" name="monthly_payment"/>
    <tableColumn id="9" xr3:uid="{F2D05780-D43E-4874-A324-1605D4470404}" name="dti_ratio"/>
    <tableColumn id="10" xr3:uid="{46F47214-3FD3-47BC-8726-89DFE31E9E45}" name="loan_status"/>
    <tableColumn id="11" xr3:uid="{648876C2-80FC-4636-AE7C-5DCA5DFF3793}" name="days_delinquent"/>
    <tableColumn id="12" xr3:uid="{F84CD199-71A5-4D0E-BC92-C5A2377873EA}" name="defaulted"/>
    <tableColumn id="13" xr3:uid="{559563AB-3514-417F-9299-F65B312C2760}" name="dti_ratio_buc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A7E6-F2C3-407E-8DAF-91E07D5B063F}">
  <dimension ref="A1:L602"/>
  <sheetViews>
    <sheetView topLeftCell="F1" workbookViewId="0">
      <selection activeCell="O36" sqref="O36"/>
    </sheetView>
  </sheetViews>
  <sheetFormatPr defaultRowHeight="15" x14ac:dyDescent="0.25"/>
  <cols>
    <col min="1" max="1" width="9" bestFit="1" customWidth="1"/>
    <col min="2" max="2" width="11.5703125" bestFit="1" customWidth="1"/>
    <col min="3" max="3" width="16" bestFit="1" customWidth="1"/>
    <col min="4" max="4" width="18.42578125" bestFit="1" customWidth="1"/>
    <col min="5" max="5" width="12.7109375" bestFit="1" customWidth="1"/>
    <col min="6" max="6" width="12.5703125" bestFit="1" customWidth="1"/>
    <col min="7" max="7" width="11.85546875" bestFit="1" customWidth="1"/>
    <col min="8" max="8" width="16.7109375" bestFit="1" customWidth="1"/>
    <col min="9" max="9" width="8.28515625" bestFit="1" customWidth="1"/>
    <col min="10" max="10" width="11.28515625" bestFit="1" customWidth="1"/>
    <col min="11" max="11" width="15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45299</v>
      </c>
      <c r="D2" t="s">
        <v>14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15</v>
      </c>
      <c r="K2">
        <v>0</v>
      </c>
      <c r="L2">
        <v>0</v>
      </c>
    </row>
    <row r="3" spans="1:12" x14ac:dyDescent="0.25">
      <c r="A3" t="s">
        <v>16</v>
      </c>
      <c r="B3" t="s">
        <v>13</v>
      </c>
      <c r="C3" s="1">
        <v>45517</v>
      </c>
      <c r="D3" t="s">
        <v>17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18</v>
      </c>
      <c r="K3">
        <v>138</v>
      </c>
      <c r="L3">
        <v>1</v>
      </c>
    </row>
    <row r="4" spans="1:12" x14ac:dyDescent="0.25">
      <c r="A4" t="s">
        <v>19</v>
      </c>
      <c r="B4" t="s">
        <v>20</v>
      </c>
      <c r="C4" s="1">
        <v>45836</v>
      </c>
      <c r="D4" t="s">
        <v>21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15</v>
      </c>
      <c r="K4">
        <v>0</v>
      </c>
      <c r="L4">
        <v>0</v>
      </c>
    </row>
    <row r="5" spans="1:12" x14ac:dyDescent="0.25">
      <c r="A5" t="s">
        <v>22</v>
      </c>
      <c r="B5" t="s">
        <v>23</v>
      </c>
      <c r="C5" s="1">
        <v>45795</v>
      </c>
      <c r="D5" t="s">
        <v>24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18</v>
      </c>
      <c r="K5">
        <v>34</v>
      </c>
      <c r="L5">
        <v>1</v>
      </c>
    </row>
    <row r="6" spans="1:12" x14ac:dyDescent="0.25">
      <c r="A6" t="s">
        <v>25</v>
      </c>
      <c r="B6" t="s">
        <v>26</v>
      </c>
      <c r="C6" s="1">
        <v>45740</v>
      </c>
      <c r="D6" t="s">
        <v>21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27</v>
      </c>
      <c r="K6">
        <v>0</v>
      </c>
      <c r="L6">
        <v>0</v>
      </c>
    </row>
    <row r="7" spans="1:12" x14ac:dyDescent="0.25">
      <c r="A7" t="s">
        <v>28</v>
      </c>
      <c r="B7" t="s">
        <v>29</v>
      </c>
      <c r="C7" s="1">
        <v>45766</v>
      </c>
      <c r="D7" t="s">
        <v>30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27</v>
      </c>
      <c r="K7">
        <v>0</v>
      </c>
      <c r="L7">
        <v>0</v>
      </c>
    </row>
    <row r="8" spans="1:12" x14ac:dyDescent="0.25">
      <c r="A8" t="s">
        <v>31</v>
      </c>
      <c r="B8" t="s">
        <v>32</v>
      </c>
      <c r="C8" s="1">
        <v>45477</v>
      </c>
      <c r="D8" t="s">
        <v>33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15</v>
      </c>
      <c r="K8">
        <v>0</v>
      </c>
      <c r="L8">
        <v>0</v>
      </c>
    </row>
    <row r="9" spans="1:12" x14ac:dyDescent="0.25">
      <c r="A9" t="s">
        <v>34</v>
      </c>
      <c r="B9" t="s">
        <v>35</v>
      </c>
      <c r="C9" s="1">
        <v>45745</v>
      </c>
      <c r="D9" t="s">
        <v>36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18</v>
      </c>
      <c r="K9">
        <v>38</v>
      </c>
      <c r="L9">
        <v>1</v>
      </c>
    </row>
    <row r="10" spans="1:12" x14ac:dyDescent="0.25">
      <c r="A10" t="s">
        <v>37</v>
      </c>
      <c r="B10" t="s">
        <v>35</v>
      </c>
      <c r="C10" s="1">
        <v>45505</v>
      </c>
      <c r="D10" t="s">
        <v>38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27</v>
      </c>
      <c r="K10">
        <v>0</v>
      </c>
      <c r="L10">
        <v>0</v>
      </c>
    </row>
    <row r="11" spans="1:12" x14ac:dyDescent="0.25">
      <c r="A11" t="s">
        <v>39</v>
      </c>
      <c r="B11" t="s">
        <v>40</v>
      </c>
      <c r="C11" s="1">
        <v>45597</v>
      </c>
      <c r="D11" t="s">
        <v>41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18</v>
      </c>
      <c r="K11">
        <v>43</v>
      </c>
      <c r="L11">
        <v>1</v>
      </c>
    </row>
    <row r="12" spans="1:12" x14ac:dyDescent="0.25">
      <c r="A12" t="s">
        <v>42</v>
      </c>
      <c r="B12" t="s">
        <v>43</v>
      </c>
      <c r="C12" s="1">
        <v>45463</v>
      </c>
      <c r="D12" t="s">
        <v>38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27</v>
      </c>
      <c r="K12">
        <v>0</v>
      </c>
      <c r="L12">
        <v>0</v>
      </c>
    </row>
    <row r="13" spans="1:12" x14ac:dyDescent="0.25">
      <c r="A13" t="s">
        <v>44</v>
      </c>
      <c r="B13" t="s">
        <v>43</v>
      </c>
      <c r="C13" s="1">
        <v>45450</v>
      </c>
      <c r="D13" t="s">
        <v>38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27</v>
      </c>
      <c r="K13">
        <v>0</v>
      </c>
      <c r="L13">
        <v>0</v>
      </c>
    </row>
    <row r="14" spans="1:12" x14ac:dyDescent="0.25">
      <c r="A14" t="s">
        <v>45</v>
      </c>
      <c r="B14" t="s">
        <v>46</v>
      </c>
      <c r="C14" s="1">
        <v>45449</v>
      </c>
      <c r="D14" t="s">
        <v>47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27</v>
      </c>
      <c r="K14">
        <v>0</v>
      </c>
      <c r="L14">
        <v>0</v>
      </c>
    </row>
    <row r="15" spans="1:12" x14ac:dyDescent="0.25">
      <c r="A15" t="s">
        <v>48</v>
      </c>
      <c r="B15" t="s">
        <v>49</v>
      </c>
      <c r="C15" s="1">
        <v>45313</v>
      </c>
      <c r="D15" t="s">
        <v>21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27</v>
      </c>
      <c r="K15">
        <v>0</v>
      </c>
      <c r="L15">
        <v>0</v>
      </c>
    </row>
    <row r="16" spans="1:12" x14ac:dyDescent="0.25">
      <c r="A16" t="s">
        <v>50</v>
      </c>
      <c r="B16" t="s">
        <v>51</v>
      </c>
      <c r="C16" s="1">
        <v>45486</v>
      </c>
      <c r="D16" t="s">
        <v>14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27</v>
      </c>
      <c r="K16">
        <v>0</v>
      </c>
      <c r="L16">
        <v>0</v>
      </c>
    </row>
    <row r="17" spans="1:12" x14ac:dyDescent="0.25">
      <c r="A17" t="s">
        <v>52</v>
      </c>
      <c r="B17" t="s">
        <v>51</v>
      </c>
      <c r="C17" s="1">
        <v>45835</v>
      </c>
      <c r="D17" t="s">
        <v>14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18</v>
      </c>
      <c r="K17">
        <v>105</v>
      </c>
      <c r="L17">
        <v>1</v>
      </c>
    </row>
    <row r="18" spans="1:12" x14ac:dyDescent="0.25">
      <c r="A18" t="s">
        <v>53</v>
      </c>
      <c r="B18" t="s">
        <v>54</v>
      </c>
      <c r="C18" s="1">
        <v>45481</v>
      </c>
      <c r="D18" t="s">
        <v>21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27</v>
      </c>
      <c r="K18">
        <v>0</v>
      </c>
      <c r="L18">
        <v>0</v>
      </c>
    </row>
    <row r="19" spans="1:12" x14ac:dyDescent="0.25">
      <c r="A19" t="s">
        <v>55</v>
      </c>
      <c r="B19" t="s">
        <v>54</v>
      </c>
      <c r="C19" s="1">
        <v>45486</v>
      </c>
      <c r="D19" t="s">
        <v>47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27</v>
      </c>
      <c r="K19">
        <v>0</v>
      </c>
      <c r="L19">
        <v>0</v>
      </c>
    </row>
    <row r="20" spans="1:12" x14ac:dyDescent="0.25">
      <c r="A20" t="s">
        <v>56</v>
      </c>
      <c r="B20" t="s">
        <v>57</v>
      </c>
      <c r="C20" s="1">
        <v>45360</v>
      </c>
      <c r="D20" t="s">
        <v>30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18</v>
      </c>
      <c r="K20">
        <v>63</v>
      </c>
      <c r="L20">
        <v>1</v>
      </c>
    </row>
    <row r="21" spans="1:12" x14ac:dyDescent="0.25">
      <c r="A21" t="s">
        <v>58</v>
      </c>
      <c r="B21" t="s">
        <v>59</v>
      </c>
      <c r="C21" s="1">
        <v>45689</v>
      </c>
      <c r="D21" t="s">
        <v>41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15</v>
      </c>
      <c r="K21">
        <v>0</v>
      </c>
      <c r="L21">
        <v>0</v>
      </c>
    </row>
    <row r="22" spans="1:12" x14ac:dyDescent="0.25">
      <c r="A22" t="s">
        <v>60</v>
      </c>
      <c r="B22" t="s">
        <v>61</v>
      </c>
      <c r="C22" s="1">
        <v>45505</v>
      </c>
      <c r="D22" t="s">
        <v>30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62</v>
      </c>
      <c r="K22">
        <v>15</v>
      </c>
      <c r="L22">
        <v>0</v>
      </c>
    </row>
    <row r="23" spans="1:12" x14ac:dyDescent="0.25">
      <c r="A23" t="s">
        <v>63</v>
      </c>
      <c r="B23" t="s">
        <v>64</v>
      </c>
      <c r="C23" s="1">
        <v>45351</v>
      </c>
      <c r="D23" t="s">
        <v>41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27</v>
      </c>
      <c r="K23">
        <v>0</v>
      </c>
      <c r="L23">
        <v>0</v>
      </c>
    </row>
    <row r="24" spans="1:12" x14ac:dyDescent="0.25">
      <c r="A24" t="s">
        <v>65</v>
      </c>
      <c r="B24" t="s">
        <v>66</v>
      </c>
      <c r="C24" s="1">
        <v>45528</v>
      </c>
      <c r="D24" t="s">
        <v>24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27</v>
      </c>
      <c r="K24">
        <v>0</v>
      </c>
      <c r="L24">
        <v>0</v>
      </c>
    </row>
    <row r="25" spans="1:12" x14ac:dyDescent="0.25">
      <c r="A25" t="s">
        <v>67</v>
      </c>
      <c r="B25" t="s">
        <v>68</v>
      </c>
      <c r="C25" s="1">
        <v>45658</v>
      </c>
      <c r="D25" t="s">
        <v>33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27</v>
      </c>
      <c r="K25">
        <v>0</v>
      </c>
      <c r="L25">
        <v>0</v>
      </c>
    </row>
    <row r="26" spans="1:12" x14ac:dyDescent="0.25">
      <c r="A26" t="s">
        <v>69</v>
      </c>
      <c r="B26" t="s">
        <v>70</v>
      </c>
      <c r="C26" s="1">
        <v>45745</v>
      </c>
      <c r="D26" t="s">
        <v>33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62</v>
      </c>
      <c r="K26">
        <v>15</v>
      </c>
      <c r="L26">
        <v>0</v>
      </c>
    </row>
    <row r="27" spans="1:12" x14ac:dyDescent="0.25">
      <c r="A27" t="s">
        <v>71</v>
      </c>
      <c r="B27" t="s">
        <v>72</v>
      </c>
      <c r="C27" s="1">
        <v>45511</v>
      </c>
      <c r="D27" t="s">
        <v>30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18</v>
      </c>
      <c r="K27">
        <v>170</v>
      </c>
      <c r="L27">
        <v>1</v>
      </c>
    </row>
    <row r="28" spans="1:12" x14ac:dyDescent="0.25">
      <c r="A28" t="s">
        <v>73</v>
      </c>
      <c r="B28" t="s">
        <v>72</v>
      </c>
      <c r="C28" s="1">
        <v>45327</v>
      </c>
      <c r="D28" t="s">
        <v>24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27</v>
      </c>
      <c r="K28">
        <v>0</v>
      </c>
      <c r="L28">
        <v>0</v>
      </c>
    </row>
    <row r="29" spans="1:12" x14ac:dyDescent="0.25">
      <c r="A29" t="s">
        <v>74</v>
      </c>
      <c r="B29" t="s">
        <v>75</v>
      </c>
      <c r="C29" s="1">
        <v>45314</v>
      </c>
      <c r="D29" t="s">
        <v>24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62</v>
      </c>
      <c r="K29">
        <v>15</v>
      </c>
      <c r="L29">
        <v>0</v>
      </c>
    </row>
    <row r="30" spans="1:12" x14ac:dyDescent="0.25">
      <c r="A30" t="s">
        <v>76</v>
      </c>
      <c r="B30" t="s">
        <v>75</v>
      </c>
      <c r="C30" s="1">
        <v>45330</v>
      </c>
      <c r="D30" t="s">
        <v>21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27</v>
      </c>
      <c r="K30">
        <v>0</v>
      </c>
      <c r="L30">
        <v>0</v>
      </c>
    </row>
    <row r="31" spans="1:12" x14ac:dyDescent="0.25">
      <c r="A31" t="s">
        <v>77</v>
      </c>
      <c r="B31" t="s">
        <v>78</v>
      </c>
      <c r="C31" s="1">
        <v>45514</v>
      </c>
      <c r="D31" t="s">
        <v>38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15</v>
      </c>
      <c r="K31">
        <v>0</v>
      </c>
      <c r="L31">
        <v>0</v>
      </c>
    </row>
    <row r="32" spans="1:12" x14ac:dyDescent="0.25">
      <c r="A32" t="s">
        <v>79</v>
      </c>
      <c r="B32" t="s">
        <v>78</v>
      </c>
      <c r="C32" s="1">
        <v>45389</v>
      </c>
      <c r="D32" t="s">
        <v>33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15</v>
      </c>
      <c r="K32">
        <v>0</v>
      </c>
      <c r="L32">
        <v>0</v>
      </c>
    </row>
    <row r="33" spans="1:12" x14ac:dyDescent="0.25">
      <c r="A33" t="s">
        <v>80</v>
      </c>
      <c r="B33" t="s">
        <v>81</v>
      </c>
      <c r="C33" s="1">
        <v>45736</v>
      </c>
      <c r="D33" t="s">
        <v>36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62</v>
      </c>
      <c r="K33">
        <v>15</v>
      </c>
      <c r="L33">
        <v>0</v>
      </c>
    </row>
    <row r="34" spans="1:12" x14ac:dyDescent="0.25">
      <c r="A34" t="s">
        <v>82</v>
      </c>
      <c r="B34" t="s">
        <v>83</v>
      </c>
      <c r="C34" s="1">
        <v>45828</v>
      </c>
      <c r="D34" t="s">
        <v>47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18</v>
      </c>
      <c r="K34">
        <v>168</v>
      </c>
      <c r="L34">
        <v>1</v>
      </c>
    </row>
    <row r="35" spans="1:12" x14ac:dyDescent="0.25">
      <c r="A35" t="s">
        <v>84</v>
      </c>
      <c r="B35" t="s">
        <v>85</v>
      </c>
      <c r="C35" s="1">
        <v>45694</v>
      </c>
      <c r="D35" t="s">
        <v>30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27</v>
      </c>
      <c r="K35">
        <v>0</v>
      </c>
      <c r="L35">
        <v>0</v>
      </c>
    </row>
    <row r="36" spans="1:12" x14ac:dyDescent="0.25">
      <c r="A36" t="s">
        <v>86</v>
      </c>
      <c r="B36" t="s">
        <v>87</v>
      </c>
      <c r="C36" s="1">
        <v>45779</v>
      </c>
      <c r="D36" t="s">
        <v>17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27</v>
      </c>
      <c r="K36">
        <v>0</v>
      </c>
      <c r="L36">
        <v>0</v>
      </c>
    </row>
    <row r="37" spans="1:12" x14ac:dyDescent="0.25">
      <c r="A37" t="s">
        <v>88</v>
      </c>
      <c r="B37" t="s">
        <v>89</v>
      </c>
      <c r="C37" s="1">
        <v>45494</v>
      </c>
      <c r="D37" t="s">
        <v>21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27</v>
      </c>
      <c r="K37">
        <v>0</v>
      </c>
      <c r="L37">
        <v>0</v>
      </c>
    </row>
    <row r="38" spans="1:12" x14ac:dyDescent="0.25">
      <c r="A38" t="s">
        <v>90</v>
      </c>
      <c r="B38" t="s">
        <v>91</v>
      </c>
      <c r="C38" s="1">
        <v>45383</v>
      </c>
      <c r="D38" t="s">
        <v>21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18</v>
      </c>
      <c r="K38">
        <v>135</v>
      </c>
      <c r="L38">
        <v>1</v>
      </c>
    </row>
    <row r="39" spans="1:12" x14ac:dyDescent="0.25">
      <c r="A39" t="s">
        <v>92</v>
      </c>
      <c r="B39" t="s">
        <v>93</v>
      </c>
      <c r="C39" s="1">
        <v>45465</v>
      </c>
      <c r="D39" t="s">
        <v>30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15</v>
      </c>
      <c r="K39">
        <v>0</v>
      </c>
      <c r="L39">
        <v>0</v>
      </c>
    </row>
    <row r="40" spans="1:12" x14ac:dyDescent="0.25">
      <c r="A40" t="s">
        <v>94</v>
      </c>
      <c r="B40" t="s">
        <v>95</v>
      </c>
      <c r="C40" s="1">
        <v>45674</v>
      </c>
      <c r="D40" t="s">
        <v>33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27</v>
      </c>
      <c r="K40">
        <v>0</v>
      </c>
      <c r="L40">
        <v>0</v>
      </c>
    </row>
    <row r="41" spans="1:12" x14ac:dyDescent="0.25">
      <c r="A41" t="s">
        <v>96</v>
      </c>
      <c r="B41" t="s">
        <v>97</v>
      </c>
      <c r="C41" s="1">
        <v>45405</v>
      </c>
      <c r="D41" t="s">
        <v>38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27</v>
      </c>
      <c r="K41">
        <v>0</v>
      </c>
      <c r="L41">
        <v>0</v>
      </c>
    </row>
    <row r="42" spans="1:12" x14ac:dyDescent="0.25">
      <c r="A42" t="s">
        <v>98</v>
      </c>
      <c r="B42" t="s">
        <v>99</v>
      </c>
      <c r="C42" s="1">
        <v>45436</v>
      </c>
      <c r="D42" t="s">
        <v>38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27</v>
      </c>
      <c r="K42">
        <v>0</v>
      </c>
      <c r="L42">
        <v>0</v>
      </c>
    </row>
    <row r="43" spans="1:12" x14ac:dyDescent="0.25">
      <c r="A43" t="s">
        <v>100</v>
      </c>
      <c r="B43" t="s">
        <v>101</v>
      </c>
      <c r="C43" s="1">
        <v>45569</v>
      </c>
      <c r="D43" t="s">
        <v>21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18</v>
      </c>
      <c r="K43">
        <v>32</v>
      </c>
      <c r="L43">
        <v>1</v>
      </c>
    </row>
    <row r="44" spans="1:12" x14ac:dyDescent="0.25">
      <c r="A44" t="s">
        <v>102</v>
      </c>
      <c r="B44" t="s">
        <v>101</v>
      </c>
      <c r="C44" s="1">
        <v>45311</v>
      </c>
      <c r="D44" t="s">
        <v>36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62</v>
      </c>
      <c r="K44">
        <v>15</v>
      </c>
      <c r="L44">
        <v>0</v>
      </c>
    </row>
    <row r="45" spans="1:12" x14ac:dyDescent="0.25">
      <c r="A45" t="s">
        <v>103</v>
      </c>
      <c r="B45" t="s">
        <v>104</v>
      </c>
      <c r="C45" s="1">
        <v>45836</v>
      </c>
      <c r="D45" t="s">
        <v>21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18</v>
      </c>
      <c r="K45">
        <v>80</v>
      </c>
      <c r="L45">
        <v>1</v>
      </c>
    </row>
    <row r="46" spans="1:12" x14ac:dyDescent="0.25">
      <c r="A46" t="s">
        <v>105</v>
      </c>
      <c r="B46" t="s">
        <v>104</v>
      </c>
      <c r="C46" s="1">
        <v>45834</v>
      </c>
      <c r="D46" t="s">
        <v>21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18</v>
      </c>
      <c r="K46">
        <v>155</v>
      </c>
      <c r="L46">
        <v>1</v>
      </c>
    </row>
    <row r="47" spans="1:12" x14ac:dyDescent="0.25">
      <c r="A47" t="s">
        <v>106</v>
      </c>
      <c r="B47" t="s">
        <v>107</v>
      </c>
      <c r="C47" s="1">
        <v>45533</v>
      </c>
      <c r="D47" t="s">
        <v>33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62</v>
      </c>
      <c r="K47">
        <v>30</v>
      </c>
      <c r="L47">
        <v>0</v>
      </c>
    </row>
    <row r="48" spans="1:12" x14ac:dyDescent="0.25">
      <c r="A48" t="s">
        <v>108</v>
      </c>
      <c r="B48" t="s">
        <v>109</v>
      </c>
      <c r="C48" s="1">
        <v>45578</v>
      </c>
      <c r="D48" t="s">
        <v>24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18</v>
      </c>
      <c r="K48">
        <v>117</v>
      </c>
      <c r="L48">
        <v>1</v>
      </c>
    </row>
    <row r="49" spans="1:12" x14ac:dyDescent="0.25">
      <c r="A49" t="s">
        <v>110</v>
      </c>
      <c r="B49" t="s">
        <v>111</v>
      </c>
      <c r="C49" s="1">
        <v>45524</v>
      </c>
      <c r="D49" t="s">
        <v>33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27</v>
      </c>
      <c r="K49">
        <v>0</v>
      </c>
      <c r="L49">
        <v>0</v>
      </c>
    </row>
    <row r="50" spans="1:12" x14ac:dyDescent="0.25">
      <c r="A50" t="s">
        <v>112</v>
      </c>
      <c r="B50" t="s">
        <v>111</v>
      </c>
      <c r="C50" s="1">
        <v>45433</v>
      </c>
      <c r="D50" t="s">
        <v>24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27</v>
      </c>
      <c r="K50">
        <v>0</v>
      </c>
      <c r="L50">
        <v>0</v>
      </c>
    </row>
    <row r="51" spans="1:12" x14ac:dyDescent="0.25">
      <c r="A51" t="s">
        <v>113</v>
      </c>
      <c r="B51" t="s">
        <v>114</v>
      </c>
      <c r="C51" s="1">
        <v>45453</v>
      </c>
      <c r="D51" t="s">
        <v>21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15</v>
      </c>
      <c r="K51">
        <v>0</v>
      </c>
      <c r="L51">
        <v>0</v>
      </c>
    </row>
    <row r="52" spans="1:12" x14ac:dyDescent="0.25">
      <c r="A52" t="s">
        <v>115</v>
      </c>
      <c r="B52" t="s">
        <v>116</v>
      </c>
      <c r="C52" s="1">
        <v>45715</v>
      </c>
      <c r="D52" t="s">
        <v>30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15</v>
      </c>
      <c r="K52">
        <v>0</v>
      </c>
      <c r="L52">
        <v>0</v>
      </c>
    </row>
    <row r="53" spans="1:12" x14ac:dyDescent="0.25">
      <c r="A53" t="s">
        <v>117</v>
      </c>
      <c r="B53" t="s">
        <v>118</v>
      </c>
      <c r="C53" s="1">
        <v>45565</v>
      </c>
      <c r="D53" t="s">
        <v>24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27</v>
      </c>
      <c r="K53">
        <v>0</v>
      </c>
      <c r="L53">
        <v>0</v>
      </c>
    </row>
    <row r="54" spans="1:12" x14ac:dyDescent="0.25">
      <c r="A54" t="s">
        <v>119</v>
      </c>
      <c r="B54" t="s">
        <v>118</v>
      </c>
      <c r="C54" s="1">
        <v>45772</v>
      </c>
      <c r="D54" t="s">
        <v>38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15</v>
      </c>
      <c r="K54">
        <v>0</v>
      </c>
      <c r="L54">
        <v>0</v>
      </c>
    </row>
    <row r="55" spans="1:12" x14ac:dyDescent="0.25">
      <c r="A55" t="s">
        <v>120</v>
      </c>
      <c r="B55" t="s">
        <v>121</v>
      </c>
      <c r="C55" s="1">
        <v>45307</v>
      </c>
      <c r="D55" t="s">
        <v>33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62</v>
      </c>
      <c r="K55">
        <v>30</v>
      </c>
      <c r="L55">
        <v>0</v>
      </c>
    </row>
    <row r="56" spans="1:12" x14ac:dyDescent="0.25">
      <c r="A56" t="s">
        <v>122</v>
      </c>
      <c r="B56" t="s">
        <v>123</v>
      </c>
      <c r="C56" s="1">
        <v>45793</v>
      </c>
      <c r="D56" t="s">
        <v>38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62</v>
      </c>
      <c r="K56">
        <v>15</v>
      </c>
      <c r="L56">
        <v>0</v>
      </c>
    </row>
    <row r="57" spans="1:12" x14ac:dyDescent="0.25">
      <c r="A57" t="s">
        <v>124</v>
      </c>
      <c r="B57" t="s">
        <v>125</v>
      </c>
      <c r="C57" s="1">
        <v>45829</v>
      </c>
      <c r="D57" t="s">
        <v>41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27</v>
      </c>
      <c r="K57">
        <v>0</v>
      </c>
      <c r="L57">
        <v>0</v>
      </c>
    </row>
    <row r="58" spans="1:12" x14ac:dyDescent="0.25">
      <c r="A58" t="s">
        <v>126</v>
      </c>
      <c r="B58" t="s">
        <v>127</v>
      </c>
      <c r="C58" s="1">
        <v>45697</v>
      </c>
      <c r="D58" t="s">
        <v>14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27</v>
      </c>
      <c r="K58">
        <v>0</v>
      </c>
      <c r="L58">
        <v>0</v>
      </c>
    </row>
    <row r="59" spans="1:12" x14ac:dyDescent="0.25">
      <c r="A59" t="s">
        <v>128</v>
      </c>
      <c r="B59" t="s">
        <v>129</v>
      </c>
      <c r="C59" s="1">
        <v>45584</v>
      </c>
      <c r="D59" t="s">
        <v>41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62</v>
      </c>
      <c r="K59">
        <v>0</v>
      </c>
      <c r="L59">
        <v>0</v>
      </c>
    </row>
    <row r="60" spans="1:12" x14ac:dyDescent="0.25">
      <c r="A60" t="s">
        <v>130</v>
      </c>
      <c r="B60" t="s">
        <v>131</v>
      </c>
      <c r="C60" s="1">
        <v>45804</v>
      </c>
      <c r="D60" t="s">
        <v>21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15</v>
      </c>
      <c r="K60">
        <v>0</v>
      </c>
      <c r="L60">
        <v>0</v>
      </c>
    </row>
    <row r="61" spans="1:12" x14ac:dyDescent="0.25">
      <c r="A61" t="s">
        <v>132</v>
      </c>
      <c r="B61" t="s">
        <v>133</v>
      </c>
      <c r="C61" s="1">
        <v>45498</v>
      </c>
      <c r="D61" t="s">
        <v>33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27</v>
      </c>
      <c r="K61">
        <v>0</v>
      </c>
      <c r="L61">
        <v>0</v>
      </c>
    </row>
    <row r="62" spans="1:12" x14ac:dyDescent="0.25">
      <c r="A62" t="s">
        <v>134</v>
      </c>
      <c r="B62" t="s">
        <v>135</v>
      </c>
      <c r="C62" s="1">
        <v>45663</v>
      </c>
      <c r="D62" t="s">
        <v>33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18</v>
      </c>
      <c r="K62">
        <v>128</v>
      </c>
      <c r="L62">
        <v>1</v>
      </c>
    </row>
    <row r="63" spans="1:12" x14ac:dyDescent="0.25">
      <c r="A63" t="s">
        <v>136</v>
      </c>
      <c r="B63" t="s">
        <v>137</v>
      </c>
      <c r="C63" s="1">
        <v>45466</v>
      </c>
      <c r="D63" t="s">
        <v>21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62</v>
      </c>
      <c r="K63">
        <v>0</v>
      </c>
      <c r="L63">
        <v>0</v>
      </c>
    </row>
    <row r="64" spans="1:12" x14ac:dyDescent="0.25">
      <c r="A64" t="s">
        <v>138</v>
      </c>
      <c r="B64" t="s">
        <v>139</v>
      </c>
      <c r="C64" s="1">
        <v>45748</v>
      </c>
      <c r="D64" t="s">
        <v>33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15</v>
      </c>
      <c r="K64">
        <v>0</v>
      </c>
      <c r="L64">
        <v>0</v>
      </c>
    </row>
    <row r="65" spans="1:12" x14ac:dyDescent="0.25">
      <c r="A65" t="s">
        <v>140</v>
      </c>
      <c r="B65" t="s">
        <v>141</v>
      </c>
      <c r="C65" s="1">
        <v>45802</v>
      </c>
      <c r="D65" t="s">
        <v>41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15</v>
      </c>
      <c r="K65">
        <v>0</v>
      </c>
      <c r="L65">
        <v>0</v>
      </c>
    </row>
    <row r="66" spans="1:12" x14ac:dyDescent="0.25">
      <c r="A66" t="s">
        <v>142</v>
      </c>
      <c r="B66" t="s">
        <v>141</v>
      </c>
      <c r="C66" s="1">
        <v>45373</v>
      </c>
      <c r="D66" t="s">
        <v>38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15</v>
      </c>
      <c r="K66">
        <v>0</v>
      </c>
      <c r="L66">
        <v>0</v>
      </c>
    </row>
    <row r="67" spans="1:12" x14ac:dyDescent="0.25">
      <c r="A67" t="s">
        <v>143</v>
      </c>
      <c r="B67" t="s">
        <v>144</v>
      </c>
      <c r="C67" s="1">
        <v>45649</v>
      </c>
      <c r="D67" t="s">
        <v>21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18</v>
      </c>
      <c r="K67">
        <v>38</v>
      </c>
      <c r="L67">
        <v>1</v>
      </c>
    </row>
    <row r="68" spans="1:12" x14ac:dyDescent="0.25">
      <c r="A68" t="s">
        <v>145</v>
      </c>
      <c r="B68" t="s">
        <v>146</v>
      </c>
      <c r="C68" s="1">
        <v>45474</v>
      </c>
      <c r="D68" t="s">
        <v>47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18</v>
      </c>
      <c r="K68">
        <v>102</v>
      </c>
      <c r="L68">
        <v>1</v>
      </c>
    </row>
    <row r="69" spans="1:12" x14ac:dyDescent="0.25">
      <c r="A69" t="s">
        <v>147</v>
      </c>
      <c r="B69" t="s">
        <v>148</v>
      </c>
      <c r="C69" s="1">
        <v>45660</v>
      </c>
      <c r="D69" t="s">
        <v>47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27</v>
      </c>
      <c r="K69">
        <v>0</v>
      </c>
      <c r="L69">
        <v>0</v>
      </c>
    </row>
    <row r="70" spans="1:12" x14ac:dyDescent="0.25">
      <c r="A70" t="s">
        <v>149</v>
      </c>
      <c r="B70" t="s">
        <v>150</v>
      </c>
      <c r="C70" s="1">
        <v>45774</v>
      </c>
      <c r="D70" t="s">
        <v>17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18</v>
      </c>
      <c r="K70">
        <v>100</v>
      </c>
      <c r="L70">
        <v>1</v>
      </c>
    </row>
    <row r="71" spans="1:12" x14ac:dyDescent="0.25">
      <c r="A71" t="s">
        <v>151</v>
      </c>
      <c r="B71" t="s">
        <v>152</v>
      </c>
      <c r="C71" s="1">
        <v>45833</v>
      </c>
      <c r="D71" t="s">
        <v>17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62</v>
      </c>
      <c r="K71">
        <v>0</v>
      </c>
      <c r="L71">
        <v>0</v>
      </c>
    </row>
    <row r="72" spans="1:12" x14ac:dyDescent="0.25">
      <c r="A72" t="s">
        <v>153</v>
      </c>
      <c r="B72" t="s">
        <v>154</v>
      </c>
      <c r="C72" s="1">
        <v>45654</v>
      </c>
      <c r="D72" t="s">
        <v>24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27</v>
      </c>
      <c r="K72">
        <v>0</v>
      </c>
      <c r="L72">
        <v>0</v>
      </c>
    </row>
    <row r="73" spans="1:12" x14ac:dyDescent="0.25">
      <c r="A73" t="s">
        <v>155</v>
      </c>
      <c r="B73" t="s">
        <v>154</v>
      </c>
      <c r="C73" s="1">
        <v>45589</v>
      </c>
      <c r="D73" t="s">
        <v>14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27</v>
      </c>
      <c r="K73">
        <v>0</v>
      </c>
      <c r="L73">
        <v>0</v>
      </c>
    </row>
    <row r="74" spans="1:12" x14ac:dyDescent="0.25">
      <c r="A74" t="s">
        <v>156</v>
      </c>
      <c r="B74" t="s">
        <v>157</v>
      </c>
      <c r="C74" s="1">
        <v>45715</v>
      </c>
      <c r="D74" t="s">
        <v>36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18</v>
      </c>
      <c r="K74">
        <v>119</v>
      </c>
      <c r="L74">
        <v>1</v>
      </c>
    </row>
    <row r="75" spans="1:12" x14ac:dyDescent="0.25">
      <c r="A75" t="s">
        <v>158</v>
      </c>
      <c r="B75" t="s">
        <v>159</v>
      </c>
      <c r="C75" s="1">
        <v>45361</v>
      </c>
      <c r="D75" t="s">
        <v>38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27</v>
      </c>
      <c r="K75">
        <v>0</v>
      </c>
      <c r="L75">
        <v>0</v>
      </c>
    </row>
    <row r="76" spans="1:12" x14ac:dyDescent="0.25">
      <c r="A76" t="s">
        <v>160</v>
      </c>
      <c r="B76" t="s">
        <v>161</v>
      </c>
      <c r="C76" s="1">
        <v>45471</v>
      </c>
      <c r="D76" t="s">
        <v>30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18</v>
      </c>
      <c r="K76">
        <v>116</v>
      </c>
      <c r="L76">
        <v>1</v>
      </c>
    </row>
    <row r="77" spans="1:12" x14ac:dyDescent="0.25">
      <c r="A77" t="s">
        <v>162</v>
      </c>
      <c r="B77" t="s">
        <v>163</v>
      </c>
      <c r="C77" s="1">
        <v>45763</v>
      </c>
      <c r="D77" t="s">
        <v>14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27</v>
      </c>
      <c r="K77">
        <v>0</v>
      </c>
      <c r="L77">
        <v>0</v>
      </c>
    </row>
    <row r="78" spans="1:12" x14ac:dyDescent="0.25">
      <c r="A78" t="s">
        <v>164</v>
      </c>
      <c r="B78" t="s">
        <v>163</v>
      </c>
      <c r="C78" s="1">
        <v>45615</v>
      </c>
      <c r="D78" t="s">
        <v>17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27</v>
      </c>
      <c r="K78">
        <v>0</v>
      </c>
      <c r="L78">
        <v>0</v>
      </c>
    </row>
    <row r="79" spans="1:12" x14ac:dyDescent="0.25">
      <c r="A79" t="s">
        <v>165</v>
      </c>
      <c r="B79" t="s">
        <v>166</v>
      </c>
      <c r="C79" s="1">
        <v>45676</v>
      </c>
      <c r="D79" t="s">
        <v>30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27</v>
      </c>
      <c r="K79">
        <v>0</v>
      </c>
      <c r="L79">
        <v>0</v>
      </c>
    </row>
    <row r="80" spans="1:12" x14ac:dyDescent="0.25">
      <c r="A80" t="s">
        <v>167</v>
      </c>
      <c r="B80" t="s">
        <v>168</v>
      </c>
      <c r="C80" s="1">
        <v>45614</v>
      </c>
      <c r="D80" t="s">
        <v>47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27</v>
      </c>
      <c r="K80">
        <v>0</v>
      </c>
      <c r="L80">
        <v>0</v>
      </c>
    </row>
    <row r="81" spans="1:12" x14ac:dyDescent="0.25">
      <c r="A81" t="s">
        <v>169</v>
      </c>
      <c r="B81" t="s">
        <v>170</v>
      </c>
      <c r="C81" s="1">
        <v>45471</v>
      </c>
      <c r="D81" t="s">
        <v>30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18</v>
      </c>
      <c r="K81">
        <v>39</v>
      </c>
      <c r="L81">
        <v>1</v>
      </c>
    </row>
    <row r="82" spans="1:12" x14ac:dyDescent="0.25">
      <c r="A82" t="s">
        <v>171</v>
      </c>
      <c r="B82" t="s">
        <v>170</v>
      </c>
      <c r="C82" s="1">
        <v>45804</v>
      </c>
      <c r="D82" t="s">
        <v>38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18</v>
      </c>
      <c r="K82">
        <v>117</v>
      </c>
      <c r="L82">
        <v>1</v>
      </c>
    </row>
    <row r="83" spans="1:12" x14ac:dyDescent="0.25">
      <c r="A83" t="s">
        <v>172</v>
      </c>
      <c r="B83" t="s">
        <v>173</v>
      </c>
      <c r="C83" s="1">
        <v>45820</v>
      </c>
      <c r="D83" t="s">
        <v>21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15</v>
      </c>
      <c r="K83">
        <v>0</v>
      </c>
      <c r="L83">
        <v>0</v>
      </c>
    </row>
    <row r="84" spans="1:12" x14ac:dyDescent="0.25">
      <c r="A84" t="s">
        <v>174</v>
      </c>
      <c r="B84" t="s">
        <v>173</v>
      </c>
      <c r="C84" s="1">
        <v>45337</v>
      </c>
      <c r="D84" t="s">
        <v>14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27</v>
      </c>
      <c r="K84">
        <v>0</v>
      </c>
      <c r="L84">
        <v>0</v>
      </c>
    </row>
    <row r="85" spans="1:12" x14ac:dyDescent="0.25">
      <c r="A85" t="s">
        <v>175</v>
      </c>
      <c r="B85" t="s">
        <v>176</v>
      </c>
      <c r="C85" s="1">
        <v>45611</v>
      </c>
      <c r="D85" t="s">
        <v>41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27</v>
      </c>
      <c r="K85">
        <v>0</v>
      </c>
      <c r="L85">
        <v>0</v>
      </c>
    </row>
    <row r="86" spans="1:12" x14ac:dyDescent="0.25">
      <c r="A86" t="s">
        <v>177</v>
      </c>
      <c r="B86" t="s">
        <v>178</v>
      </c>
      <c r="C86" s="1">
        <v>45453</v>
      </c>
      <c r="D86" t="s">
        <v>21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62</v>
      </c>
      <c r="K86">
        <v>0</v>
      </c>
      <c r="L86">
        <v>0</v>
      </c>
    </row>
    <row r="87" spans="1:12" x14ac:dyDescent="0.25">
      <c r="A87" t="s">
        <v>179</v>
      </c>
      <c r="B87" t="s">
        <v>180</v>
      </c>
      <c r="C87" s="1">
        <v>45582</v>
      </c>
      <c r="D87" t="s">
        <v>38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27</v>
      </c>
      <c r="K87">
        <v>0</v>
      </c>
      <c r="L87">
        <v>0</v>
      </c>
    </row>
    <row r="88" spans="1:12" x14ac:dyDescent="0.25">
      <c r="A88" t="s">
        <v>181</v>
      </c>
      <c r="B88" t="s">
        <v>182</v>
      </c>
      <c r="C88" s="1">
        <v>45343</v>
      </c>
      <c r="D88" t="s">
        <v>21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27</v>
      </c>
      <c r="K88">
        <v>0</v>
      </c>
      <c r="L88">
        <v>0</v>
      </c>
    </row>
    <row r="89" spans="1:12" x14ac:dyDescent="0.25">
      <c r="A89" t="s">
        <v>183</v>
      </c>
      <c r="B89" t="s">
        <v>182</v>
      </c>
      <c r="C89" s="1">
        <v>45611</v>
      </c>
      <c r="D89" t="s">
        <v>33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15</v>
      </c>
      <c r="K89">
        <v>0</v>
      </c>
      <c r="L89">
        <v>0</v>
      </c>
    </row>
    <row r="90" spans="1:12" x14ac:dyDescent="0.25">
      <c r="A90" t="s">
        <v>184</v>
      </c>
      <c r="B90" t="s">
        <v>185</v>
      </c>
      <c r="C90" s="1">
        <v>45387</v>
      </c>
      <c r="D90" t="s">
        <v>36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62</v>
      </c>
      <c r="K90">
        <v>15</v>
      </c>
      <c r="L90">
        <v>0</v>
      </c>
    </row>
    <row r="91" spans="1:12" x14ac:dyDescent="0.25">
      <c r="A91" t="s">
        <v>186</v>
      </c>
      <c r="B91" t="s">
        <v>185</v>
      </c>
      <c r="C91" s="1">
        <v>45521</v>
      </c>
      <c r="D91" t="s">
        <v>14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62</v>
      </c>
      <c r="K91">
        <v>15</v>
      </c>
      <c r="L91">
        <v>0</v>
      </c>
    </row>
    <row r="92" spans="1:12" x14ac:dyDescent="0.25">
      <c r="A92" t="s">
        <v>187</v>
      </c>
      <c r="B92" t="s">
        <v>188</v>
      </c>
      <c r="C92" s="1">
        <v>45322</v>
      </c>
      <c r="D92" t="s">
        <v>33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18</v>
      </c>
      <c r="K92">
        <v>58</v>
      </c>
      <c r="L92">
        <v>1</v>
      </c>
    </row>
    <row r="93" spans="1:12" x14ac:dyDescent="0.25">
      <c r="A93" t="s">
        <v>189</v>
      </c>
      <c r="B93" t="s">
        <v>190</v>
      </c>
      <c r="C93" s="1">
        <v>45422</v>
      </c>
      <c r="D93" t="s">
        <v>14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15</v>
      </c>
      <c r="K93">
        <v>0</v>
      </c>
      <c r="L93">
        <v>0</v>
      </c>
    </row>
    <row r="94" spans="1:12" x14ac:dyDescent="0.25">
      <c r="A94" t="s">
        <v>191</v>
      </c>
      <c r="B94" t="s">
        <v>192</v>
      </c>
      <c r="C94" s="1">
        <v>45715</v>
      </c>
      <c r="D94" t="s">
        <v>21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18</v>
      </c>
      <c r="K94">
        <v>92</v>
      </c>
      <c r="L94">
        <v>1</v>
      </c>
    </row>
    <row r="95" spans="1:12" x14ac:dyDescent="0.25">
      <c r="A95" t="s">
        <v>193</v>
      </c>
      <c r="B95" t="s">
        <v>194</v>
      </c>
      <c r="C95" s="1">
        <v>45737</v>
      </c>
      <c r="D95" t="s">
        <v>14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62</v>
      </c>
      <c r="K95">
        <v>0</v>
      </c>
      <c r="L95">
        <v>0</v>
      </c>
    </row>
    <row r="96" spans="1:12" x14ac:dyDescent="0.25">
      <c r="A96" t="s">
        <v>195</v>
      </c>
      <c r="B96" t="s">
        <v>196</v>
      </c>
      <c r="C96" s="1">
        <v>45766</v>
      </c>
      <c r="D96" t="s">
        <v>36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27</v>
      </c>
      <c r="K96">
        <v>0</v>
      </c>
      <c r="L96">
        <v>0</v>
      </c>
    </row>
    <row r="97" spans="1:12" x14ac:dyDescent="0.25">
      <c r="A97" t="s">
        <v>197</v>
      </c>
      <c r="B97" t="s">
        <v>198</v>
      </c>
      <c r="C97" s="1">
        <v>45680</v>
      </c>
      <c r="D97" t="s">
        <v>17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27</v>
      </c>
      <c r="K97">
        <v>0</v>
      </c>
      <c r="L97">
        <v>0</v>
      </c>
    </row>
    <row r="98" spans="1:12" x14ac:dyDescent="0.25">
      <c r="A98" t="s">
        <v>199</v>
      </c>
      <c r="B98" t="s">
        <v>200</v>
      </c>
      <c r="C98" s="1">
        <v>45444</v>
      </c>
      <c r="D98" t="s">
        <v>33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62</v>
      </c>
      <c r="K98">
        <v>0</v>
      </c>
      <c r="L98">
        <v>0</v>
      </c>
    </row>
    <row r="99" spans="1:12" x14ac:dyDescent="0.25">
      <c r="A99" t="s">
        <v>201</v>
      </c>
      <c r="B99" t="s">
        <v>202</v>
      </c>
      <c r="C99" s="1">
        <v>45603</v>
      </c>
      <c r="D99" t="s">
        <v>38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62</v>
      </c>
      <c r="K99">
        <v>15</v>
      </c>
      <c r="L99">
        <v>0</v>
      </c>
    </row>
    <row r="100" spans="1:12" x14ac:dyDescent="0.25">
      <c r="A100" t="s">
        <v>203</v>
      </c>
      <c r="B100" t="s">
        <v>204</v>
      </c>
      <c r="C100" s="1">
        <v>45422</v>
      </c>
      <c r="D100" t="s">
        <v>36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15</v>
      </c>
      <c r="K100">
        <v>0</v>
      </c>
      <c r="L100">
        <v>0</v>
      </c>
    </row>
    <row r="101" spans="1:12" x14ac:dyDescent="0.25">
      <c r="A101" t="s">
        <v>205</v>
      </c>
      <c r="B101" t="s">
        <v>204</v>
      </c>
      <c r="C101" s="1">
        <v>45580</v>
      </c>
      <c r="D101" t="s">
        <v>41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15</v>
      </c>
      <c r="K101">
        <v>0</v>
      </c>
      <c r="L101">
        <v>0</v>
      </c>
    </row>
    <row r="102" spans="1:12" x14ac:dyDescent="0.25">
      <c r="A102" t="s">
        <v>206</v>
      </c>
      <c r="B102" t="s">
        <v>207</v>
      </c>
      <c r="C102" s="1">
        <v>45469</v>
      </c>
      <c r="D102" t="s">
        <v>30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18</v>
      </c>
      <c r="K102">
        <v>78</v>
      </c>
      <c r="L102">
        <v>1</v>
      </c>
    </row>
    <row r="103" spans="1:12" x14ac:dyDescent="0.25">
      <c r="A103" t="s">
        <v>208</v>
      </c>
      <c r="B103" t="s">
        <v>209</v>
      </c>
      <c r="C103" s="1">
        <v>45365</v>
      </c>
      <c r="D103" t="s">
        <v>30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15</v>
      </c>
      <c r="K103">
        <v>0</v>
      </c>
      <c r="L103">
        <v>0</v>
      </c>
    </row>
    <row r="104" spans="1:12" x14ac:dyDescent="0.25">
      <c r="A104" t="s">
        <v>210</v>
      </c>
      <c r="B104" t="s">
        <v>211</v>
      </c>
      <c r="C104" s="1">
        <v>45727</v>
      </c>
      <c r="D104" t="s">
        <v>33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27</v>
      </c>
      <c r="K104">
        <v>0</v>
      </c>
      <c r="L104">
        <v>0</v>
      </c>
    </row>
    <row r="105" spans="1:12" x14ac:dyDescent="0.25">
      <c r="A105" t="s">
        <v>212</v>
      </c>
      <c r="B105" t="s">
        <v>213</v>
      </c>
      <c r="C105" s="1">
        <v>45802</v>
      </c>
      <c r="D105" t="s">
        <v>17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27</v>
      </c>
      <c r="K105">
        <v>0</v>
      </c>
      <c r="L105">
        <v>0</v>
      </c>
    </row>
    <row r="106" spans="1:12" x14ac:dyDescent="0.25">
      <c r="A106" t="s">
        <v>214</v>
      </c>
      <c r="B106" t="s">
        <v>213</v>
      </c>
      <c r="C106" s="1">
        <v>45786</v>
      </c>
      <c r="D106" t="s">
        <v>17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27</v>
      </c>
      <c r="K106">
        <v>0</v>
      </c>
      <c r="L106">
        <v>0</v>
      </c>
    </row>
    <row r="107" spans="1:12" x14ac:dyDescent="0.25">
      <c r="A107" t="s">
        <v>215</v>
      </c>
      <c r="B107" t="s">
        <v>216</v>
      </c>
      <c r="C107" s="1">
        <v>45372</v>
      </c>
      <c r="D107" t="s">
        <v>33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27</v>
      </c>
      <c r="K107">
        <v>0</v>
      </c>
      <c r="L107">
        <v>0</v>
      </c>
    </row>
    <row r="108" spans="1:12" x14ac:dyDescent="0.25">
      <c r="A108" t="s">
        <v>217</v>
      </c>
      <c r="B108" t="s">
        <v>218</v>
      </c>
      <c r="C108" s="1">
        <v>45346</v>
      </c>
      <c r="D108" t="s">
        <v>36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27</v>
      </c>
      <c r="K108">
        <v>0</v>
      </c>
      <c r="L108">
        <v>0</v>
      </c>
    </row>
    <row r="109" spans="1:12" x14ac:dyDescent="0.25">
      <c r="A109" t="s">
        <v>219</v>
      </c>
      <c r="B109" t="s">
        <v>220</v>
      </c>
      <c r="C109" s="1">
        <v>45593</v>
      </c>
      <c r="D109" t="s">
        <v>14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18</v>
      </c>
      <c r="K109">
        <v>39</v>
      </c>
      <c r="L109">
        <v>1</v>
      </c>
    </row>
    <row r="110" spans="1:12" x14ac:dyDescent="0.25">
      <c r="A110" t="s">
        <v>221</v>
      </c>
      <c r="B110" t="s">
        <v>222</v>
      </c>
      <c r="C110" s="1">
        <v>45776</v>
      </c>
      <c r="D110" t="s">
        <v>47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62</v>
      </c>
      <c r="K110">
        <v>0</v>
      </c>
      <c r="L110">
        <v>0</v>
      </c>
    </row>
    <row r="111" spans="1:12" x14ac:dyDescent="0.25">
      <c r="A111" t="s">
        <v>223</v>
      </c>
      <c r="B111" t="s">
        <v>224</v>
      </c>
      <c r="C111" s="1">
        <v>45576</v>
      </c>
      <c r="D111" t="s">
        <v>47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18</v>
      </c>
      <c r="K111">
        <v>101</v>
      </c>
      <c r="L111">
        <v>1</v>
      </c>
    </row>
    <row r="112" spans="1:12" x14ac:dyDescent="0.25">
      <c r="A112" t="s">
        <v>225</v>
      </c>
      <c r="B112" t="s">
        <v>226</v>
      </c>
      <c r="C112" s="1">
        <v>45446</v>
      </c>
      <c r="D112" t="s">
        <v>24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27</v>
      </c>
      <c r="K112">
        <v>0</v>
      </c>
      <c r="L112">
        <v>0</v>
      </c>
    </row>
    <row r="113" spans="1:12" x14ac:dyDescent="0.25">
      <c r="A113" t="s">
        <v>227</v>
      </c>
      <c r="B113" t="s">
        <v>228</v>
      </c>
      <c r="C113" s="1">
        <v>45378</v>
      </c>
      <c r="D113" t="s">
        <v>38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15</v>
      </c>
      <c r="K113">
        <v>0</v>
      </c>
      <c r="L113">
        <v>0</v>
      </c>
    </row>
    <row r="114" spans="1:12" x14ac:dyDescent="0.25">
      <c r="A114" t="s">
        <v>229</v>
      </c>
      <c r="B114" t="s">
        <v>230</v>
      </c>
      <c r="C114" s="1">
        <v>45463</v>
      </c>
      <c r="D114" t="s">
        <v>17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18</v>
      </c>
      <c r="K114">
        <v>118</v>
      </c>
      <c r="L114">
        <v>1</v>
      </c>
    </row>
    <row r="115" spans="1:12" x14ac:dyDescent="0.25">
      <c r="A115" t="s">
        <v>231</v>
      </c>
      <c r="B115" t="s">
        <v>230</v>
      </c>
      <c r="C115" s="1">
        <v>45767</v>
      </c>
      <c r="D115" t="s">
        <v>41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18</v>
      </c>
      <c r="K115">
        <v>107</v>
      </c>
      <c r="L115">
        <v>1</v>
      </c>
    </row>
    <row r="116" spans="1:12" x14ac:dyDescent="0.25">
      <c r="A116" t="s">
        <v>232</v>
      </c>
      <c r="B116" t="s">
        <v>233</v>
      </c>
      <c r="C116" s="1">
        <v>45440</v>
      </c>
      <c r="D116" t="s">
        <v>21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27</v>
      </c>
      <c r="K116">
        <v>0</v>
      </c>
      <c r="L116">
        <v>0</v>
      </c>
    </row>
    <row r="117" spans="1:12" x14ac:dyDescent="0.25">
      <c r="A117" t="s">
        <v>234</v>
      </c>
      <c r="B117" t="s">
        <v>235</v>
      </c>
      <c r="C117" s="1">
        <v>45836</v>
      </c>
      <c r="D117" t="s">
        <v>17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62</v>
      </c>
      <c r="K117">
        <v>30</v>
      </c>
      <c r="L117">
        <v>0</v>
      </c>
    </row>
    <row r="118" spans="1:12" x14ac:dyDescent="0.25">
      <c r="A118" t="s">
        <v>236</v>
      </c>
      <c r="B118" t="s">
        <v>237</v>
      </c>
      <c r="C118" s="1">
        <v>45692</v>
      </c>
      <c r="D118" t="s">
        <v>24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27</v>
      </c>
      <c r="K118">
        <v>0</v>
      </c>
      <c r="L118">
        <v>0</v>
      </c>
    </row>
    <row r="119" spans="1:12" x14ac:dyDescent="0.25">
      <c r="A119" t="s">
        <v>238</v>
      </c>
      <c r="B119" t="s">
        <v>237</v>
      </c>
      <c r="C119" s="1">
        <v>45302</v>
      </c>
      <c r="D119" t="s">
        <v>47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27</v>
      </c>
      <c r="K119">
        <v>0</v>
      </c>
      <c r="L119">
        <v>0</v>
      </c>
    </row>
    <row r="120" spans="1:12" x14ac:dyDescent="0.25">
      <c r="A120" t="s">
        <v>239</v>
      </c>
      <c r="B120" t="s">
        <v>240</v>
      </c>
      <c r="C120" s="1">
        <v>45326</v>
      </c>
      <c r="D120" t="s">
        <v>36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18</v>
      </c>
      <c r="K120">
        <v>53</v>
      </c>
      <c r="L120">
        <v>1</v>
      </c>
    </row>
    <row r="121" spans="1:12" x14ac:dyDescent="0.25">
      <c r="A121" t="s">
        <v>241</v>
      </c>
      <c r="B121" t="s">
        <v>242</v>
      </c>
      <c r="C121" s="1">
        <v>45414</v>
      </c>
      <c r="D121" t="s">
        <v>47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18</v>
      </c>
      <c r="K121">
        <v>63</v>
      </c>
      <c r="L121">
        <v>1</v>
      </c>
    </row>
    <row r="122" spans="1:12" x14ac:dyDescent="0.25">
      <c r="A122" t="s">
        <v>243</v>
      </c>
      <c r="B122" t="s">
        <v>244</v>
      </c>
      <c r="C122" s="1">
        <v>45551</v>
      </c>
      <c r="D122" t="s">
        <v>47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27</v>
      </c>
      <c r="K122">
        <v>0</v>
      </c>
      <c r="L122">
        <v>0</v>
      </c>
    </row>
    <row r="123" spans="1:12" x14ac:dyDescent="0.25">
      <c r="A123" t="s">
        <v>245</v>
      </c>
      <c r="B123" t="s">
        <v>246</v>
      </c>
      <c r="C123" s="1">
        <v>45367</v>
      </c>
      <c r="D123" t="s">
        <v>24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18</v>
      </c>
      <c r="K123">
        <v>45</v>
      </c>
      <c r="L123">
        <v>1</v>
      </c>
    </row>
    <row r="124" spans="1:12" x14ac:dyDescent="0.25">
      <c r="A124" t="s">
        <v>247</v>
      </c>
      <c r="B124" t="s">
        <v>248</v>
      </c>
      <c r="C124" s="1">
        <v>45363</v>
      </c>
      <c r="D124" t="s">
        <v>30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62</v>
      </c>
      <c r="K124">
        <v>15</v>
      </c>
      <c r="L124">
        <v>0</v>
      </c>
    </row>
    <row r="125" spans="1:12" x14ac:dyDescent="0.25">
      <c r="A125" t="s">
        <v>249</v>
      </c>
      <c r="B125" t="s">
        <v>250</v>
      </c>
      <c r="C125" s="1">
        <v>45400</v>
      </c>
      <c r="D125" t="s">
        <v>14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27</v>
      </c>
      <c r="K125">
        <v>0</v>
      </c>
      <c r="L125">
        <v>0</v>
      </c>
    </row>
    <row r="126" spans="1:12" x14ac:dyDescent="0.25">
      <c r="A126" t="s">
        <v>251</v>
      </c>
      <c r="B126" t="s">
        <v>252</v>
      </c>
      <c r="C126" s="1">
        <v>45444</v>
      </c>
      <c r="D126" t="s">
        <v>47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27</v>
      </c>
      <c r="K126">
        <v>0</v>
      </c>
      <c r="L126">
        <v>0</v>
      </c>
    </row>
    <row r="127" spans="1:12" x14ac:dyDescent="0.25">
      <c r="A127" t="s">
        <v>253</v>
      </c>
      <c r="B127" t="s">
        <v>254</v>
      </c>
      <c r="C127" s="1">
        <v>45794</v>
      </c>
      <c r="D127" t="s">
        <v>33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15</v>
      </c>
      <c r="K127">
        <v>0</v>
      </c>
      <c r="L127">
        <v>0</v>
      </c>
    </row>
    <row r="128" spans="1:12" x14ac:dyDescent="0.25">
      <c r="A128" t="s">
        <v>255</v>
      </c>
      <c r="B128" t="s">
        <v>256</v>
      </c>
      <c r="C128" s="1">
        <v>45659</v>
      </c>
      <c r="D128" t="s">
        <v>36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27</v>
      </c>
      <c r="K128">
        <v>0</v>
      </c>
      <c r="L128">
        <v>0</v>
      </c>
    </row>
    <row r="129" spans="1:12" x14ac:dyDescent="0.25">
      <c r="A129" t="s">
        <v>257</v>
      </c>
      <c r="B129" t="s">
        <v>256</v>
      </c>
      <c r="C129" s="1">
        <v>45762</v>
      </c>
      <c r="D129" t="s">
        <v>36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27</v>
      </c>
      <c r="K129">
        <v>0</v>
      </c>
      <c r="L129">
        <v>0</v>
      </c>
    </row>
    <row r="130" spans="1:12" x14ac:dyDescent="0.25">
      <c r="A130" t="s">
        <v>258</v>
      </c>
      <c r="B130" t="s">
        <v>259</v>
      </c>
      <c r="C130" s="1">
        <v>45659</v>
      </c>
      <c r="D130" t="s">
        <v>17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62</v>
      </c>
      <c r="K130">
        <v>15</v>
      </c>
      <c r="L130">
        <v>0</v>
      </c>
    </row>
    <row r="131" spans="1:12" x14ac:dyDescent="0.25">
      <c r="A131" t="s">
        <v>260</v>
      </c>
      <c r="B131" t="s">
        <v>261</v>
      </c>
      <c r="C131" s="1">
        <v>45690</v>
      </c>
      <c r="D131" t="s">
        <v>41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18</v>
      </c>
      <c r="K131">
        <v>168</v>
      </c>
      <c r="L131">
        <v>1</v>
      </c>
    </row>
    <row r="132" spans="1:12" x14ac:dyDescent="0.25">
      <c r="A132" t="s">
        <v>262</v>
      </c>
      <c r="B132" t="s">
        <v>263</v>
      </c>
      <c r="C132" s="1">
        <v>45308</v>
      </c>
      <c r="D132" t="s">
        <v>14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18</v>
      </c>
      <c r="K132">
        <v>44</v>
      </c>
      <c r="L132">
        <v>1</v>
      </c>
    </row>
    <row r="133" spans="1:12" x14ac:dyDescent="0.25">
      <c r="A133" t="s">
        <v>264</v>
      </c>
      <c r="B133" t="s">
        <v>265</v>
      </c>
      <c r="C133" s="1">
        <v>45444</v>
      </c>
      <c r="D133" t="s">
        <v>41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27</v>
      </c>
      <c r="K133">
        <v>0</v>
      </c>
      <c r="L133">
        <v>0</v>
      </c>
    </row>
    <row r="134" spans="1:12" x14ac:dyDescent="0.25">
      <c r="A134" t="s">
        <v>266</v>
      </c>
      <c r="B134" t="s">
        <v>267</v>
      </c>
      <c r="C134" s="1">
        <v>45425</v>
      </c>
      <c r="D134" t="s">
        <v>14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18</v>
      </c>
      <c r="K134">
        <v>42</v>
      </c>
      <c r="L134">
        <v>1</v>
      </c>
    </row>
    <row r="135" spans="1:12" x14ac:dyDescent="0.25">
      <c r="A135" t="s">
        <v>268</v>
      </c>
      <c r="B135" t="s">
        <v>269</v>
      </c>
      <c r="C135" s="1">
        <v>45400</v>
      </c>
      <c r="D135" t="s">
        <v>36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18</v>
      </c>
      <c r="K135">
        <v>86</v>
      </c>
      <c r="L135">
        <v>1</v>
      </c>
    </row>
    <row r="136" spans="1:12" x14ac:dyDescent="0.25">
      <c r="A136" t="s">
        <v>270</v>
      </c>
      <c r="B136" t="s">
        <v>269</v>
      </c>
      <c r="C136" s="1">
        <v>45432</v>
      </c>
      <c r="D136" t="s">
        <v>36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62</v>
      </c>
      <c r="K136">
        <v>30</v>
      </c>
      <c r="L136">
        <v>0</v>
      </c>
    </row>
    <row r="137" spans="1:12" x14ac:dyDescent="0.25">
      <c r="A137" t="s">
        <v>271</v>
      </c>
      <c r="B137" t="s">
        <v>272</v>
      </c>
      <c r="C137" s="1">
        <v>45464</v>
      </c>
      <c r="D137" t="s">
        <v>33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27</v>
      </c>
      <c r="K137">
        <v>0</v>
      </c>
      <c r="L137">
        <v>0</v>
      </c>
    </row>
    <row r="138" spans="1:12" x14ac:dyDescent="0.25">
      <c r="A138" t="s">
        <v>273</v>
      </c>
      <c r="B138" t="s">
        <v>274</v>
      </c>
      <c r="C138" s="1">
        <v>45453</v>
      </c>
      <c r="D138" t="s">
        <v>41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18</v>
      </c>
      <c r="K138">
        <v>154</v>
      </c>
      <c r="L138">
        <v>1</v>
      </c>
    </row>
    <row r="139" spans="1:12" x14ac:dyDescent="0.25">
      <c r="A139" t="s">
        <v>275</v>
      </c>
      <c r="B139" t="s">
        <v>274</v>
      </c>
      <c r="C139" s="1">
        <v>45582</v>
      </c>
      <c r="D139" t="s">
        <v>36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18</v>
      </c>
      <c r="K139">
        <v>151</v>
      </c>
      <c r="L139">
        <v>1</v>
      </c>
    </row>
    <row r="140" spans="1:12" x14ac:dyDescent="0.25">
      <c r="A140" t="s">
        <v>276</v>
      </c>
      <c r="B140" t="s">
        <v>277</v>
      </c>
      <c r="C140" s="1">
        <v>45470</v>
      </c>
      <c r="D140" t="s">
        <v>38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27</v>
      </c>
      <c r="K140">
        <v>0</v>
      </c>
      <c r="L140">
        <v>0</v>
      </c>
    </row>
    <row r="141" spans="1:12" x14ac:dyDescent="0.25">
      <c r="A141" t="s">
        <v>278</v>
      </c>
      <c r="B141" t="s">
        <v>279</v>
      </c>
      <c r="C141" s="1">
        <v>45533</v>
      </c>
      <c r="D141" t="s">
        <v>36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18</v>
      </c>
      <c r="K141">
        <v>165</v>
      </c>
      <c r="L141">
        <v>1</v>
      </c>
    </row>
    <row r="142" spans="1:12" x14ac:dyDescent="0.25">
      <c r="A142" t="s">
        <v>280</v>
      </c>
      <c r="B142" t="s">
        <v>281</v>
      </c>
      <c r="C142" s="1">
        <v>45767</v>
      </c>
      <c r="D142" t="s">
        <v>47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27</v>
      </c>
      <c r="K142">
        <v>0</v>
      </c>
      <c r="L142">
        <v>0</v>
      </c>
    </row>
    <row r="143" spans="1:12" x14ac:dyDescent="0.25">
      <c r="A143" t="s">
        <v>282</v>
      </c>
      <c r="B143" t="s">
        <v>281</v>
      </c>
      <c r="C143" s="1">
        <v>45455</v>
      </c>
      <c r="D143" t="s">
        <v>38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62</v>
      </c>
      <c r="K143">
        <v>0</v>
      </c>
      <c r="L143">
        <v>0</v>
      </c>
    </row>
    <row r="144" spans="1:12" x14ac:dyDescent="0.25">
      <c r="A144" t="s">
        <v>283</v>
      </c>
      <c r="B144" t="s">
        <v>284</v>
      </c>
      <c r="C144" s="1">
        <v>45345</v>
      </c>
      <c r="D144" t="s">
        <v>17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15</v>
      </c>
      <c r="K144">
        <v>0</v>
      </c>
      <c r="L144">
        <v>0</v>
      </c>
    </row>
    <row r="145" spans="1:12" x14ac:dyDescent="0.25">
      <c r="A145" t="s">
        <v>285</v>
      </c>
      <c r="B145" t="s">
        <v>286</v>
      </c>
      <c r="C145" s="1">
        <v>45625</v>
      </c>
      <c r="D145" t="s">
        <v>36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15</v>
      </c>
      <c r="K145">
        <v>0</v>
      </c>
      <c r="L145">
        <v>0</v>
      </c>
    </row>
    <row r="146" spans="1:12" x14ac:dyDescent="0.25">
      <c r="A146" t="s">
        <v>287</v>
      </c>
      <c r="B146" t="s">
        <v>288</v>
      </c>
      <c r="C146" s="1">
        <v>45676</v>
      </c>
      <c r="D146" t="s">
        <v>36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27</v>
      </c>
      <c r="K146">
        <v>0</v>
      </c>
      <c r="L146">
        <v>0</v>
      </c>
    </row>
    <row r="147" spans="1:12" x14ac:dyDescent="0.25">
      <c r="A147" t="s">
        <v>289</v>
      </c>
      <c r="B147" t="s">
        <v>290</v>
      </c>
      <c r="C147" s="1">
        <v>45674</v>
      </c>
      <c r="D147" t="s">
        <v>17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18</v>
      </c>
      <c r="K147">
        <v>79</v>
      </c>
      <c r="L147">
        <v>1</v>
      </c>
    </row>
    <row r="148" spans="1:12" x14ac:dyDescent="0.25">
      <c r="A148" t="s">
        <v>291</v>
      </c>
      <c r="B148" t="s">
        <v>292</v>
      </c>
      <c r="C148" s="1">
        <v>45431</v>
      </c>
      <c r="D148" t="s">
        <v>24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18</v>
      </c>
      <c r="K148">
        <v>149</v>
      </c>
      <c r="L148">
        <v>1</v>
      </c>
    </row>
    <row r="149" spans="1:12" x14ac:dyDescent="0.25">
      <c r="A149" t="s">
        <v>293</v>
      </c>
      <c r="B149" t="s">
        <v>294</v>
      </c>
      <c r="C149" s="1">
        <v>45466</v>
      </c>
      <c r="D149" t="s">
        <v>33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27</v>
      </c>
      <c r="K149">
        <v>0</v>
      </c>
      <c r="L149">
        <v>0</v>
      </c>
    </row>
    <row r="150" spans="1:12" x14ac:dyDescent="0.25">
      <c r="A150" t="s">
        <v>295</v>
      </c>
      <c r="B150" t="s">
        <v>296</v>
      </c>
      <c r="C150" s="1">
        <v>45765</v>
      </c>
      <c r="D150" t="s">
        <v>21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15</v>
      </c>
      <c r="K150">
        <v>0</v>
      </c>
      <c r="L150">
        <v>0</v>
      </c>
    </row>
    <row r="151" spans="1:12" x14ac:dyDescent="0.25">
      <c r="A151" t="s">
        <v>297</v>
      </c>
      <c r="B151" t="s">
        <v>298</v>
      </c>
      <c r="C151" s="1">
        <v>45297</v>
      </c>
      <c r="D151" t="s">
        <v>30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15</v>
      </c>
      <c r="K151">
        <v>0</v>
      </c>
      <c r="L151">
        <v>0</v>
      </c>
    </row>
    <row r="152" spans="1:12" x14ac:dyDescent="0.25">
      <c r="A152" t="s">
        <v>299</v>
      </c>
      <c r="B152" t="s">
        <v>300</v>
      </c>
      <c r="C152" s="1">
        <v>45392</v>
      </c>
      <c r="D152" t="s">
        <v>21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27</v>
      </c>
      <c r="K152">
        <v>0</v>
      </c>
      <c r="L152">
        <v>0</v>
      </c>
    </row>
    <row r="153" spans="1:12" x14ac:dyDescent="0.25">
      <c r="A153" t="s">
        <v>301</v>
      </c>
      <c r="B153" t="s">
        <v>302</v>
      </c>
      <c r="C153" s="1">
        <v>45384</v>
      </c>
      <c r="D153" t="s">
        <v>17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18</v>
      </c>
      <c r="K153">
        <v>108</v>
      </c>
      <c r="L153">
        <v>1</v>
      </c>
    </row>
    <row r="154" spans="1:12" x14ac:dyDescent="0.25">
      <c r="A154" t="s">
        <v>303</v>
      </c>
      <c r="B154" t="s">
        <v>304</v>
      </c>
      <c r="C154" s="1">
        <v>45766</v>
      </c>
      <c r="D154" t="s">
        <v>14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62</v>
      </c>
      <c r="K154">
        <v>15</v>
      </c>
      <c r="L154">
        <v>0</v>
      </c>
    </row>
    <row r="155" spans="1:12" x14ac:dyDescent="0.25">
      <c r="A155" t="s">
        <v>305</v>
      </c>
      <c r="B155" t="s">
        <v>306</v>
      </c>
      <c r="C155" s="1">
        <v>45364</v>
      </c>
      <c r="D155" t="s">
        <v>30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18</v>
      </c>
      <c r="K155">
        <v>115</v>
      </c>
      <c r="L155">
        <v>1</v>
      </c>
    </row>
    <row r="156" spans="1:12" x14ac:dyDescent="0.25">
      <c r="A156" t="s">
        <v>307</v>
      </c>
      <c r="B156" t="s">
        <v>308</v>
      </c>
      <c r="C156" s="1">
        <v>45504</v>
      </c>
      <c r="D156" t="s">
        <v>24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15</v>
      </c>
      <c r="K156">
        <v>0</v>
      </c>
      <c r="L156">
        <v>0</v>
      </c>
    </row>
    <row r="157" spans="1:12" x14ac:dyDescent="0.25">
      <c r="A157" t="s">
        <v>309</v>
      </c>
      <c r="B157" t="s">
        <v>310</v>
      </c>
      <c r="C157" s="1">
        <v>45405</v>
      </c>
      <c r="D157" t="s">
        <v>41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27</v>
      </c>
      <c r="K157">
        <v>0</v>
      </c>
      <c r="L157">
        <v>0</v>
      </c>
    </row>
    <row r="158" spans="1:12" x14ac:dyDescent="0.25">
      <c r="A158" t="s">
        <v>311</v>
      </c>
      <c r="B158" t="s">
        <v>312</v>
      </c>
      <c r="C158" s="1">
        <v>45634</v>
      </c>
      <c r="D158" t="s">
        <v>21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27</v>
      </c>
      <c r="K158">
        <v>0</v>
      </c>
      <c r="L158">
        <v>0</v>
      </c>
    </row>
    <row r="159" spans="1:12" x14ac:dyDescent="0.25">
      <c r="A159" t="s">
        <v>313</v>
      </c>
      <c r="B159" t="s">
        <v>314</v>
      </c>
      <c r="C159" s="1">
        <v>45565</v>
      </c>
      <c r="D159" t="s">
        <v>47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27</v>
      </c>
      <c r="K159">
        <v>0</v>
      </c>
      <c r="L159">
        <v>0</v>
      </c>
    </row>
    <row r="160" spans="1:12" x14ac:dyDescent="0.25">
      <c r="A160" t="s">
        <v>315</v>
      </c>
      <c r="B160" t="s">
        <v>314</v>
      </c>
      <c r="C160" s="1">
        <v>45773</v>
      </c>
      <c r="D160" t="s">
        <v>30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27</v>
      </c>
      <c r="K160">
        <v>0</v>
      </c>
      <c r="L160">
        <v>0</v>
      </c>
    </row>
    <row r="161" spans="1:12" x14ac:dyDescent="0.25">
      <c r="A161" t="s">
        <v>316</v>
      </c>
      <c r="B161" t="s">
        <v>317</v>
      </c>
      <c r="C161" s="1">
        <v>45760</v>
      </c>
      <c r="D161" t="s">
        <v>47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18</v>
      </c>
      <c r="K161">
        <v>130</v>
      </c>
      <c r="L161">
        <v>1</v>
      </c>
    </row>
    <row r="162" spans="1:12" x14ac:dyDescent="0.25">
      <c r="A162" t="s">
        <v>318</v>
      </c>
      <c r="B162" t="s">
        <v>319</v>
      </c>
      <c r="C162" s="1">
        <v>45443</v>
      </c>
      <c r="D162" t="s">
        <v>24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62</v>
      </c>
      <c r="K162">
        <v>15</v>
      </c>
      <c r="L162">
        <v>0</v>
      </c>
    </row>
    <row r="163" spans="1:12" x14ac:dyDescent="0.25">
      <c r="A163" t="s">
        <v>320</v>
      </c>
      <c r="B163" t="s">
        <v>319</v>
      </c>
      <c r="C163" s="1">
        <v>45777</v>
      </c>
      <c r="D163" t="s">
        <v>41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62</v>
      </c>
      <c r="K163">
        <v>0</v>
      </c>
      <c r="L163">
        <v>0</v>
      </c>
    </row>
    <row r="164" spans="1:12" x14ac:dyDescent="0.25">
      <c r="A164" t="s">
        <v>321</v>
      </c>
      <c r="B164" t="s">
        <v>322</v>
      </c>
      <c r="C164" s="1">
        <v>45713</v>
      </c>
      <c r="D164" t="s">
        <v>36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15</v>
      </c>
      <c r="K164">
        <v>0</v>
      </c>
      <c r="L164">
        <v>0</v>
      </c>
    </row>
    <row r="165" spans="1:12" x14ac:dyDescent="0.25">
      <c r="A165" t="s">
        <v>323</v>
      </c>
      <c r="B165" t="s">
        <v>324</v>
      </c>
      <c r="C165" s="1">
        <v>45605</v>
      </c>
      <c r="D165" t="s">
        <v>21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27</v>
      </c>
      <c r="K165">
        <v>0</v>
      </c>
      <c r="L165">
        <v>0</v>
      </c>
    </row>
    <row r="166" spans="1:12" x14ac:dyDescent="0.25">
      <c r="A166" t="s">
        <v>325</v>
      </c>
      <c r="B166" t="s">
        <v>326</v>
      </c>
      <c r="C166" s="1">
        <v>45456</v>
      </c>
      <c r="D166" t="s">
        <v>41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15</v>
      </c>
      <c r="K166">
        <v>0</v>
      </c>
      <c r="L166">
        <v>0</v>
      </c>
    </row>
    <row r="167" spans="1:12" x14ac:dyDescent="0.25">
      <c r="A167" t="s">
        <v>327</v>
      </c>
      <c r="B167" t="s">
        <v>326</v>
      </c>
      <c r="C167" s="1">
        <v>45743</v>
      </c>
      <c r="D167" t="s">
        <v>33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27</v>
      </c>
      <c r="K167">
        <v>0</v>
      </c>
      <c r="L167">
        <v>0</v>
      </c>
    </row>
    <row r="168" spans="1:12" x14ac:dyDescent="0.25">
      <c r="A168" t="s">
        <v>328</v>
      </c>
      <c r="B168" t="s">
        <v>329</v>
      </c>
      <c r="C168" s="1">
        <v>45458</v>
      </c>
      <c r="D168" t="s">
        <v>30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27</v>
      </c>
      <c r="K168">
        <v>0</v>
      </c>
      <c r="L168">
        <v>0</v>
      </c>
    </row>
    <row r="169" spans="1:12" x14ac:dyDescent="0.25">
      <c r="A169" t="s">
        <v>330</v>
      </c>
      <c r="B169" t="s">
        <v>331</v>
      </c>
      <c r="C169" s="1">
        <v>45811</v>
      </c>
      <c r="D169" t="s">
        <v>33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18</v>
      </c>
      <c r="K169">
        <v>105</v>
      </c>
      <c r="L169">
        <v>1</v>
      </c>
    </row>
    <row r="170" spans="1:12" x14ac:dyDescent="0.25">
      <c r="A170" t="s">
        <v>332</v>
      </c>
      <c r="B170" t="s">
        <v>331</v>
      </c>
      <c r="C170" s="1">
        <v>45744</v>
      </c>
      <c r="D170" t="s">
        <v>14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18</v>
      </c>
      <c r="K170">
        <v>58</v>
      </c>
      <c r="L170">
        <v>1</v>
      </c>
    </row>
    <row r="171" spans="1:12" x14ac:dyDescent="0.25">
      <c r="A171" t="s">
        <v>333</v>
      </c>
      <c r="B171" t="s">
        <v>334</v>
      </c>
      <c r="C171" s="1">
        <v>45517</v>
      </c>
      <c r="D171" t="s">
        <v>41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27</v>
      </c>
      <c r="K171">
        <v>0</v>
      </c>
      <c r="L171">
        <v>0</v>
      </c>
    </row>
    <row r="172" spans="1:12" x14ac:dyDescent="0.25">
      <c r="A172" t="s">
        <v>335</v>
      </c>
      <c r="B172" t="s">
        <v>336</v>
      </c>
      <c r="C172" s="1">
        <v>45377</v>
      </c>
      <c r="D172" t="s">
        <v>47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62</v>
      </c>
      <c r="K172">
        <v>0</v>
      </c>
      <c r="L172">
        <v>0</v>
      </c>
    </row>
    <row r="173" spans="1:12" x14ac:dyDescent="0.25">
      <c r="A173" t="s">
        <v>337</v>
      </c>
      <c r="B173" t="s">
        <v>338</v>
      </c>
      <c r="C173" s="1">
        <v>45349</v>
      </c>
      <c r="D173" t="s">
        <v>21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27</v>
      </c>
      <c r="K173">
        <v>0</v>
      </c>
      <c r="L173">
        <v>0</v>
      </c>
    </row>
    <row r="174" spans="1:12" x14ac:dyDescent="0.25">
      <c r="A174" t="s">
        <v>339</v>
      </c>
      <c r="B174" t="s">
        <v>340</v>
      </c>
      <c r="C174" s="1">
        <v>45748</v>
      </c>
      <c r="D174" t="s">
        <v>30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15</v>
      </c>
      <c r="K174">
        <v>0</v>
      </c>
      <c r="L174">
        <v>0</v>
      </c>
    </row>
    <row r="175" spans="1:12" x14ac:dyDescent="0.25">
      <c r="A175" t="s">
        <v>341</v>
      </c>
      <c r="B175" t="s">
        <v>340</v>
      </c>
      <c r="C175" s="1">
        <v>45726</v>
      </c>
      <c r="D175" t="s">
        <v>14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15</v>
      </c>
      <c r="K175">
        <v>0</v>
      </c>
      <c r="L175">
        <v>0</v>
      </c>
    </row>
    <row r="176" spans="1:12" x14ac:dyDescent="0.25">
      <c r="A176" t="s">
        <v>342</v>
      </c>
      <c r="B176" t="s">
        <v>343</v>
      </c>
      <c r="C176" s="1">
        <v>45359</v>
      </c>
      <c r="D176" t="s">
        <v>33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27</v>
      </c>
      <c r="K176">
        <v>0</v>
      </c>
      <c r="L176">
        <v>0</v>
      </c>
    </row>
    <row r="177" spans="1:12" x14ac:dyDescent="0.25">
      <c r="A177" t="s">
        <v>344</v>
      </c>
      <c r="B177" t="s">
        <v>345</v>
      </c>
      <c r="C177" s="1">
        <v>45432</v>
      </c>
      <c r="D177" t="s">
        <v>24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18</v>
      </c>
      <c r="K177">
        <v>127</v>
      </c>
      <c r="L177">
        <v>1</v>
      </c>
    </row>
    <row r="178" spans="1:12" x14ac:dyDescent="0.25">
      <c r="A178" t="s">
        <v>346</v>
      </c>
      <c r="B178" t="s">
        <v>347</v>
      </c>
      <c r="C178" s="1">
        <v>45766</v>
      </c>
      <c r="D178" t="s">
        <v>14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27</v>
      </c>
      <c r="K178">
        <v>0</v>
      </c>
      <c r="L178">
        <v>0</v>
      </c>
    </row>
    <row r="179" spans="1:12" x14ac:dyDescent="0.25">
      <c r="A179" t="s">
        <v>348</v>
      </c>
      <c r="B179" t="s">
        <v>349</v>
      </c>
      <c r="C179" s="1">
        <v>45795</v>
      </c>
      <c r="D179" t="s">
        <v>14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27</v>
      </c>
      <c r="K179">
        <v>0</v>
      </c>
      <c r="L179">
        <v>0</v>
      </c>
    </row>
    <row r="180" spans="1:12" x14ac:dyDescent="0.25">
      <c r="A180" t="s">
        <v>350</v>
      </c>
      <c r="B180" t="s">
        <v>351</v>
      </c>
      <c r="C180" s="1">
        <v>45738</v>
      </c>
      <c r="D180" t="s">
        <v>14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27</v>
      </c>
      <c r="K180">
        <v>0</v>
      </c>
      <c r="L180">
        <v>0</v>
      </c>
    </row>
    <row r="181" spans="1:12" x14ac:dyDescent="0.25">
      <c r="A181" t="s">
        <v>352</v>
      </c>
      <c r="B181" t="s">
        <v>353</v>
      </c>
      <c r="C181" s="1">
        <v>45458</v>
      </c>
      <c r="D181" t="s">
        <v>36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27</v>
      </c>
      <c r="K181">
        <v>0</v>
      </c>
      <c r="L181">
        <v>0</v>
      </c>
    </row>
    <row r="182" spans="1:12" x14ac:dyDescent="0.25">
      <c r="A182" t="s">
        <v>354</v>
      </c>
      <c r="B182" t="s">
        <v>355</v>
      </c>
      <c r="C182" s="1">
        <v>45656</v>
      </c>
      <c r="D182" t="s">
        <v>30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18</v>
      </c>
      <c r="K182">
        <v>104</v>
      </c>
      <c r="L182">
        <v>1</v>
      </c>
    </row>
    <row r="183" spans="1:12" x14ac:dyDescent="0.25">
      <c r="A183" t="s">
        <v>356</v>
      </c>
      <c r="B183" t="s">
        <v>357</v>
      </c>
      <c r="C183" s="1">
        <v>45463</v>
      </c>
      <c r="D183" t="s">
        <v>36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62</v>
      </c>
      <c r="K183">
        <v>15</v>
      </c>
      <c r="L183">
        <v>0</v>
      </c>
    </row>
    <row r="184" spans="1:12" x14ac:dyDescent="0.25">
      <c r="A184" t="s">
        <v>358</v>
      </c>
      <c r="B184" t="s">
        <v>359</v>
      </c>
      <c r="C184" s="1">
        <v>45652</v>
      </c>
      <c r="D184" t="s">
        <v>24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27</v>
      </c>
      <c r="K184">
        <v>0</v>
      </c>
      <c r="L184">
        <v>0</v>
      </c>
    </row>
    <row r="185" spans="1:12" x14ac:dyDescent="0.25">
      <c r="A185" t="s">
        <v>360</v>
      </c>
      <c r="B185" t="s">
        <v>361</v>
      </c>
      <c r="C185" s="1">
        <v>45450</v>
      </c>
      <c r="D185" t="s">
        <v>14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15</v>
      </c>
      <c r="K185">
        <v>0</v>
      </c>
      <c r="L185">
        <v>0</v>
      </c>
    </row>
    <row r="186" spans="1:12" x14ac:dyDescent="0.25">
      <c r="A186" t="s">
        <v>362</v>
      </c>
      <c r="B186" t="s">
        <v>363</v>
      </c>
      <c r="C186" s="1">
        <v>45370</v>
      </c>
      <c r="D186" t="s">
        <v>21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18</v>
      </c>
      <c r="K186">
        <v>63</v>
      </c>
      <c r="L186">
        <v>1</v>
      </c>
    </row>
    <row r="187" spans="1:12" x14ac:dyDescent="0.25">
      <c r="A187" t="s">
        <v>364</v>
      </c>
      <c r="B187" t="s">
        <v>365</v>
      </c>
      <c r="C187" s="1">
        <v>45827</v>
      </c>
      <c r="D187" t="s">
        <v>14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15</v>
      </c>
      <c r="K187">
        <v>0</v>
      </c>
      <c r="L187">
        <v>0</v>
      </c>
    </row>
    <row r="188" spans="1:12" x14ac:dyDescent="0.25">
      <c r="A188" t="s">
        <v>366</v>
      </c>
      <c r="B188" t="s">
        <v>365</v>
      </c>
      <c r="C188" s="1">
        <v>45437</v>
      </c>
      <c r="D188" t="s">
        <v>41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27</v>
      </c>
      <c r="K188">
        <v>0</v>
      </c>
      <c r="L188">
        <v>0</v>
      </c>
    </row>
    <row r="189" spans="1:12" x14ac:dyDescent="0.25">
      <c r="A189" t="s">
        <v>367</v>
      </c>
      <c r="B189" t="s">
        <v>368</v>
      </c>
      <c r="C189" s="1">
        <v>45787</v>
      </c>
      <c r="D189" t="s">
        <v>17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27</v>
      </c>
      <c r="K189">
        <v>0</v>
      </c>
      <c r="L189">
        <v>0</v>
      </c>
    </row>
    <row r="190" spans="1:12" x14ac:dyDescent="0.25">
      <c r="A190" t="s">
        <v>369</v>
      </c>
      <c r="B190" t="s">
        <v>368</v>
      </c>
      <c r="C190" s="1">
        <v>45600</v>
      </c>
      <c r="D190" t="s">
        <v>21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15</v>
      </c>
      <c r="K190">
        <v>0</v>
      </c>
      <c r="L190">
        <v>0</v>
      </c>
    </row>
    <row r="191" spans="1:12" x14ac:dyDescent="0.25">
      <c r="A191" t="s">
        <v>370</v>
      </c>
      <c r="B191" t="s">
        <v>371</v>
      </c>
      <c r="C191" s="1">
        <v>45441</v>
      </c>
      <c r="D191" t="s">
        <v>38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62</v>
      </c>
      <c r="K191">
        <v>15</v>
      </c>
      <c r="L191">
        <v>0</v>
      </c>
    </row>
    <row r="192" spans="1:12" x14ac:dyDescent="0.25">
      <c r="A192" t="s">
        <v>372</v>
      </c>
      <c r="B192" t="s">
        <v>371</v>
      </c>
      <c r="C192" s="1">
        <v>45361</v>
      </c>
      <c r="D192" t="s">
        <v>30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18</v>
      </c>
      <c r="K192">
        <v>178</v>
      </c>
      <c r="L192">
        <v>1</v>
      </c>
    </row>
    <row r="193" spans="1:12" x14ac:dyDescent="0.25">
      <c r="A193" t="s">
        <v>373</v>
      </c>
      <c r="B193" t="s">
        <v>374</v>
      </c>
      <c r="C193" s="1">
        <v>45296</v>
      </c>
      <c r="D193" t="s">
        <v>21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27</v>
      </c>
      <c r="K193">
        <v>0</v>
      </c>
      <c r="L193">
        <v>0</v>
      </c>
    </row>
    <row r="194" spans="1:12" x14ac:dyDescent="0.25">
      <c r="A194" t="s">
        <v>375</v>
      </c>
      <c r="B194" t="s">
        <v>376</v>
      </c>
      <c r="C194" s="1">
        <v>45401</v>
      </c>
      <c r="D194" t="s">
        <v>14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18</v>
      </c>
      <c r="K194">
        <v>120</v>
      </c>
      <c r="L194">
        <v>1</v>
      </c>
    </row>
    <row r="195" spans="1:12" x14ac:dyDescent="0.25">
      <c r="A195" t="s">
        <v>377</v>
      </c>
      <c r="B195" t="s">
        <v>378</v>
      </c>
      <c r="C195" s="1">
        <v>45613</v>
      </c>
      <c r="D195" t="s">
        <v>17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18</v>
      </c>
      <c r="K195">
        <v>58</v>
      </c>
      <c r="L195">
        <v>1</v>
      </c>
    </row>
    <row r="196" spans="1:12" x14ac:dyDescent="0.25">
      <c r="A196" t="s">
        <v>379</v>
      </c>
      <c r="B196" t="s">
        <v>378</v>
      </c>
      <c r="C196" s="1">
        <v>45333</v>
      </c>
      <c r="D196" t="s">
        <v>21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18</v>
      </c>
      <c r="K196">
        <v>156</v>
      </c>
      <c r="L196">
        <v>1</v>
      </c>
    </row>
    <row r="197" spans="1:12" x14ac:dyDescent="0.25">
      <c r="A197" t="s">
        <v>380</v>
      </c>
      <c r="B197" t="s">
        <v>381</v>
      </c>
      <c r="C197" s="1">
        <v>45709</v>
      </c>
      <c r="D197" t="s">
        <v>24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18</v>
      </c>
      <c r="K197">
        <v>139</v>
      </c>
      <c r="L197">
        <v>1</v>
      </c>
    </row>
    <row r="198" spans="1:12" x14ac:dyDescent="0.25">
      <c r="A198" t="s">
        <v>382</v>
      </c>
      <c r="B198" t="s">
        <v>383</v>
      </c>
      <c r="C198" s="1">
        <v>45795</v>
      </c>
      <c r="D198" t="s">
        <v>36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27</v>
      </c>
      <c r="K198">
        <v>0</v>
      </c>
      <c r="L198">
        <v>0</v>
      </c>
    </row>
    <row r="199" spans="1:12" x14ac:dyDescent="0.25">
      <c r="A199" t="s">
        <v>384</v>
      </c>
      <c r="B199" t="s">
        <v>385</v>
      </c>
      <c r="C199" s="1">
        <v>45464</v>
      </c>
      <c r="D199" t="s">
        <v>36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18</v>
      </c>
      <c r="K199">
        <v>80</v>
      </c>
      <c r="L199">
        <v>1</v>
      </c>
    </row>
    <row r="200" spans="1:12" x14ac:dyDescent="0.25">
      <c r="A200" t="s">
        <v>386</v>
      </c>
      <c r="B200" t="s">
        <v>387</v>
      </c>
      <c r="C200" s="1">
        <v>45803</v>
      </c>
      <c r="D200" t="s">
        <v>47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18</v>
      </c>
      <c r="K200">
        <v>178</v>
      </c>
      <c r="L200">
        <v>1</v>
      </c>
    </row>
    <row r="201" spans="1:12" x14ac:dyDescent="0.25">
      <c r="A201" t="s">
        <v>388</v>
      </c>
      <c r="B201" t="s">
        <v>389</v>
      </c>
      <c r="C201" s="1">
        <v>45815</v>
      </c>
      <c r="D201" t="s">
        <v>17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27</v>
      </c>
      <c r="K201">
        <v>0</v>
      </c>
      <c r="L201">
        <v>0</v>
      </c>
    </row>
    <row r="202" spans="1:12" x14ac:dyDescent="0.25">
      <c r="A202" t="s">
        <v>390</v>
      </c>
      <c r="B202" t="s">
        <v>391</v>
      </c>
      <c r="C202" s="1">
        <v>45346</v>
      </c>
      <c r="D202" t="s">
        <v>14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27</v>
      </c>
      <c r="K202">
        <v>0</v>
      </c>
      <c r="L202">
        <v>0</v>
      </c>
    </row>
    <row r="203" spans="1:12" x14ac:dyDescent="0.25">
      <c r="A203" t="s">
        <v>392</v>
      </c>
      <c r="B203" t="s">
        <v>393</v>
      </c>
      <c r="C203" s="1">
        <v>45370</v>
      </c>
      <c r="D203" t="s">
        <v>47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27</v>
      </c>
      <c r="K203">
        <v>0</v>
      </c>
      <c r="L203">
        <v>0</v>
      </c>
    </row>
    <row r="204" spans="1:12" x14ac:dyDescent="0.25">
      <c r="A204" t="s">
        <v>394</v>
      </c>
      <c r="B204" t="s">
        <v>395</v>
      </c>
      <c r="C204" s="1">
        <v>45310</v>
      </c>
      <c r="D204" t="s">
        <v>24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27</v>
      </c>
      <c r="K204">
        <v>0</v>
      </c>
      <c r="L204">
        <v>0</v>
      </c>
    </row>
    <row r="205" spans="1:12" x14ac:dyDescent="0.25">
      <c r="A205" t="s">
        <v>396</v>
      </c>
      <c r="B205" t="s">
        <v>397</v>
      </c>
      <c r="C205" s="1">
        <v>45325</v>
      </c>
      <c r="D205" t="s">
        <v>17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15</v>
      </c>
      <c r="K205">
        <v>0</v>
      </c>
      <c r="L205">
        <v>0</v>
      </c>
    </row>
    <row r="206" spans="1:12" x14ac:dyDescent="0.25">
      <c r="A206" t="s">
        <v>398</v>
      </c>
      <c r="B206" t="s">
        <v>397</v>
      </c>
      <c r="C206" s="1">
        <v>45404</v>
      </c>
      <c r="D206" t="s">
        <v>33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27</v>
      </c>
      <c r="K206">
        <v>0</v>
      </c>
      <c r="L206">
        <v>0</v>
      </c>
    </row>
    <row r="207" spans="1:12" x14ac:dyDescent="0.25">
      <c r="A207" t="s">
        <v>399</v>
      </c>
      <c r="B207" t="s">
        <v>400</v>
      </c>
      <c r="C207" s="1">
        <v>45561</v>
      </c>
      <c r="D207" t="s">
        <v>14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62</v>
      </c>
      <c r="K207">
        <v>30</v>
      </c>
      <c r="L207">
        <v>0</v>
      </c>
    </row>
    <row r="208" spans="1:12" x14ac:dyDescent="0.25">
      <c r="A208" t="s">
        <v>401</v>
      </c>
      <c r="B208" t="s">
        <v>402</v>
      </c>
      <c r="C208" s="1">
        <v>45667</v>
      </c>
      <c r="D208" t="s">
        <v>24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27</v>
      </c>
      <c r="K208">
        <v>0</v>
      </c>
      <c r="L208">
        <v>0</v>
      </c>
    </row>
    <row r="209" spans="1:12" x14ac:dyDescent="0.25">
      <c r="A209" t="s">
        <v>403</v>
      </c>
      <c r="B209" t="s">
        <v>404</v>
      </c>
      <c r="C209" s="1">
        <v>45349</v>
      </c>
      <c r="D209" t="s">
        <v>30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62</v>
      </c>
      <c r="K209">
        <v>0</v>
      </c>
      <c r="L209">
        <v>0</v>
      </c>
    </row>
    <row r="210" spans="1:12" x14ac:dyDescent="0.25">
      <c r="A210" t="s">
        <v>405</v>
      </c>
      <c r="B210" t="s">
        <v>404</v>
      </c>
      <c r="C210" s="1">
        <v>45465</v>
      </c>
      <c r="D210" t="s">
        <v>47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18</v>
      </c>
      <c r="K210">
        <v>113</v>
      </c>
      <c r="L210">
        <v>1</v>
      </c>
    </row>
    <row r="211" spans="1:12" x14ac:dyDescent="0.25">
      <c r="A211" t="s">
        <v>406</v>
      </c>
      <c r="B211" t="s">
        <v>407</v>
      </c>
      <c r="C211" s="1">
        <v>45772</v>
      </c>
      <c r="D211" t="s">
        <v>17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62</v>
      </c>
      <c r="K211">
        <v>30</v>
      </c>
      <c r="L211">
        <v>0</v>
      </c>
    </row>
    <row r="212" spans="1:12" x14ac:dyDescent="0.25">
      <c r="A212" t="s">
        <v>408</v>
      </c>
      <c r="B212" t="s">
        <v>409</v>
      </c>
      <c r="C212" s="1">
        <v>45806</v>
      </c>
      <c r="D212" t="s">
        <v>47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27</v>
      </c>
      <c r="K212">
        <v>0</v>
      </c>
      <c r="L212">
        <v>0</v>
      </c>
    </row>
    <row r="213" spans="1:12" x14ac:dyDescent="0.25">
      <c r="A213" t="s">
        <v>410</v>
      </c>
      <c r="B213" t="s">
        <v>411</v>
      </c>
      <c r="C213" s="1">
        <v>45511</v>
      </c>
      <c r="D213" t="s">
        <v>17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18</v>
      </c>
      <c r="K213">
        <v>42</v>
      </c>
      <c r="L213">
        <v>1</v>
      </c>
    </row>
    <row r="214" spans="1:12" x14ac:dyDescent="0.25">
      <c r="A214" t="s">
        <v>412</v>
      </c>
      <c r="B214" t="s">
        <v>413</v>
      </c>
      <c r="C214" s="1">
        <v>45389</v>
      </c>
      <c r="D214" t="s">
        <v>47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27</v>
      </c>
      <c r="K214">
        <v>0</v>
      </c>
      <c r="L214">
        <v>0</v>
      </c>
    </row>
    <row r="215" spans="1:12" x14ac:dyDescent="0.25">
      <c r="A215" t="s">
        <v>414</v>
      </c>
      <c r="B215" t="s">
        <v>415</v>
      </c>
      <c r="C215" s="1">
        <v>45599</v>
      </c>
      <c r="D215" t="s">
        <v>17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18</v>
      </c>
      <c r="K215">
        <v>168</v>
      </c>
      <c r="L215">
        <v>1</v>
      </c>
    </row>
    <row r="216" spans="1:12" x14ac:dyDescent="0.25">
      <c r="A216" t="s">
        <v>416</v>
      </c>
      <c r="B216" t="s">
        <v>417</v>
      </c>
      <c r="C216" s="1">
        <v>45476</v>
      </c>
      <c r="D216" t="s">
        <v>17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27</v>
      </c>
      <c r="K216">
        <v>0</v>
      </c>
      <c r="L216">
        <v>0</v>
      </c>
    </row>
    <row r="217" spans="1:12" x14ac:dyDescent="0.25">
      <c r="A217" t="s">
        <v>418</v>
      </c>
      <c r="B217" t="s">
        <v>419</v>
      </c>
      <c r="C217" s="1">
        <v>45837</v>
      </c>
      <c r="D217" t="s">
        <v>14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62</v>
      </c>
      <c r="K217">
        <v>15</v>
      </c>
      <c r="L217">
        <v>0</v>
      </c>
    </row>
    <row r="218" spans="1:12" x14ac:dyDescent="0.25">
      <c r="A218" t="s">
        <v>420</v>
      </c>
      <c r="B218" t="s">
        <v>421</v>
      </c>
      <c r="C218" s="1">
        <v>45599</v>
      </c>
      <c r="D218" t="s">
        <v>41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15</v>
      </c>
      <c r="K218">
        <v>0</v>
      </c>
      <c r="L218">
        <v>0</v>
      </c>
    </row>
    <row r="219" spans="1:12" x14ac:dyDescent="0.25">
      <c r="A219" t="s">
        <v>422</v>
      </c>
      <c r="B219" t="s">
        <v>421</v>
      </c>
      <c r="C219" s="1">
        <v>45456</v>
      </c>
      <c r="D219" t="s">
        <v>36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27</v>
      </c>
      <c r="K219">
        <v>0</v>
      </c>
      <c r="L219">
        <v>0</v>
      </c>
    </row>
    <row r="220" spans="1:12" x14ac:dyDescent="0.25">
      <c r="A220" t="s">
        <v>423</v>
      </c>
      <c r="B220" t="s">
        <v>424</v>
      </c>
      <c r="C220" s="1">
        <v>45738</v>
      </c>
      <c r="D220" t="s">
        <v>38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62</v>
      </c>
      <c r="K220">
        <v>15</v>
      </c>
      <c r="L220">
        <v>0</v>
      </c>
    </row>
    <row r="221" spans="1:12" x14ac:dyDescent="0.25">
      <c r="A221" t="s">
        <v>425</v>
      </c>
      <c r="B221" t="s">
        <v>426</v>
      </c>
      <c r="C221" s="1">
        <v>45335</v>
      </c>
      <c r="D221" t="s">
        <v>41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27</v>
      </c>
      <c r="K221">
        <v>0</v>
      </c>
      <c r="L221">
        <v>0</v>
      </c>
    </row>
    <row r="222" spans="1:12" x14ac:dyDescent="0.25">
      <c r="A222" t="s">
        <v>427</v>
      </c>
      <c r="B222" t="s">
        <v>428</v>
      </c>
      <c r="C222" s="1">
        <v>45708</v>
      </c>
      <c r="D222" t="s">
        <v>36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15</v>
      </c>
      <c r="K222">
        <v>0</v>
      </c>
      <c r="L222">
        <v>0</v>
      </c>
    </row>
    <row r="223" spans="1:12" x14ac:dyDescent="0.25">
      <c r="A223" t="s">
        <v>429</v>
      </c>
      <c r="B223" t="s">
        <v>428</v>
      </c>
      <c r="C223" s="1">
        <v>45804</v>
      </c>
      <c r="D223" t="s">
        <v>17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15</v>
      </c>
      <c r="K223">
        <v>0</v>
      </c>
      <c r="L223">
        <v>0</v>
      </c>
    </row>
    <row r="224" spans="1:12" x14ac:dyDescent="0.25">
      <c r="A224" t="s">
        <v>430</v>
      </c>
      <c r="B224" t="s">
        <v>431</v>
      </c>
      <c r="C224" s="1">
        <v>45612</v>
      </c>
      <c r="D224" t="s">
        <v>21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27</v>
      </c>
      <c r="K224">
        <v>0</v>
      </c>
      <c r="L224">
        <v>0</v>
      </c>
    </row>
    <row r="225" spans="1:12" x14ac:dyDescent="0.25">
      <c r="A225" t="s">
        <v>432</v>
      </c>
      <c r="B225" t="s">
        <v>431</v>
      </c>
      <c r="C225" s="1">
        <v>45573</v>
      </c>
      <c r="D225" t="s">
        <v>38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27</v>
      </c>
      <c r="K225">
        <v>0</v>
      </c>
      <c r="L225">
        <v>0</v>
      </c>
    </row>
    <row r="226" spans="1:12" x14ac:dyDescent="0.25">
      <c r="A226" t="s">
        <v>433</v>
      </c>
      <c r="B226" t="s">
        <v>434</v>
      </c>
      <c r="C226" s="1">
        <v>45544</v>
      </c>
      <c r="D226" t="s">
        <v>30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62</v>
      </c>
      <c r="K226">
        <v>15</v>
      </c>
      <c r="L226">
        <v>0</v>
      </c>
    </row>
    <row r="227" spans="1:12" x14ac:dyDescent="0.25">
      <c r="A227" t="s">
        <v>435</v>
      </c>
      <c r="B227" t="s">
        <v>436</v>
      </c>
      <c r="C227" s="1">
        <v>45347</v>
      </c>
      <c r="D227" t="s">
        <v>30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27</v>
      </c>
      <c r="K227">
        <v>0</v>
      </c>
      <c r="L227">
        <v>0</v>
      </c>
    </row>
    <row r="228" spans="1:12" x14ac:dyDescent="0.25">
      <c r="A228" t="s">
        <v>437</v>
      </c>
      <c r="B228" t="s">
        <v>438</v>
      </c>
      <c r="C228" s="1">
        <v>45534</v>
      </c>
      <c r="D228" t="s">
        <v>24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15</v>
      </c>
      <c r="K228">
        <v>0</v>
      </c>
      <c r="L228">
        <v>0</v>
      </c>
    </row>
    <row r="229" spans="1:12" x14ac:dyDescent="0.25">
      <c r="A229" t="s">
        <v>439</v>
      </c>
      <c r="B229" t="s">
        <v>440</v>
      </c>
      <c r="C229" s="1">
        <v>45456</v>
      </c>
      <c r="D229" t="s">
        <v>24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15</v>
      </c>
      <c r="K229">
        <v>0</v>
      </c>
      <c r="L229">
        <v>0</v>
      </c>
    </row>
    <row r="230" spans="1:12" x14ac:dyDescent="0.25">
      <c r="A230" t="s">
        <v>441</v>
      </c>
      <c r="B230" t="s">
        <v>442</v>
      </c>
      <c r="C230" s="1">
        <v>45795</v>
      </c>
      <c r="D230" t="s">
        <v>17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15</v>
      </c>
      <c r="K230">
        <v>0</v>
      </c>
      <c r="L230">
        <v>0</v>
      </c>
    </row>
    <row r="231" spans="1:12" x14ac:dyDescent="0.25">
      <c r="A231" t="s">
        <v>443</v>
      </c>
      <c r="B231" t="s">
        <v>444</v>
      </c>
      <c r="C231" s="1">
        <v>45722</v>
      </c>
      <c r="D231" t="s">
        <v>36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15</v>
      </c>
      <c r="K231">
        <v>0</v>
      </c>
      <c r="L231">
        <v>0</v>
      </c>
    </row>
    <row r="232" spans="1:12" x14ac:dyDescent="0.25">
      <c r="A232" t="s">
        <v>445</v>
      </c>
      <c r="B232" t="s">
        <v>446</v>
      </c>
      <c r="C232" s="1">
        <v>45431</v>
      </c>
      <c r="D232" t="s">
        <v>41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18</v>
      </c>
      <c r="K232">
        <v>81</v>
      </c>
      <c r="L232">
        <v>1</v>
      </c>
    </row>
    <row r="233" spans="1:12" x14ac:dyDescent="0.25">
      <c r="A233" t="s">
        <v>447</v>
      </c>
      <c r="B233" t="s">
        <v>448</v>
      </c>
      <c r="C233" s="1">
        <v>45425</v>
      </c>
      <c r="D233" t="s">
        <v>30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15</v>
      </c>
      <c r="K233">
        <v>0</v>
      </c>
      <c r="L233">
        <v>0</v>
      </c>
    </row>
    <row r="234" spans="1:12" x14ac:dyDescent="0.25">
      <c r="A234" t="s">
        <v>449</v>
      </c>
      <c r="B234" t="s">
        <v>450</v>
      </c>
      <c r="C234" s="1">
        <v>45627</v>
      </c>
      <c r="D234" t="s">
        <v>14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27</v>
      </c>
      <c r="K234">
        <v>0</v>
      </c>
      <c r="L234">
        <v>0</v>
      </c>
    </row>
    <row r="235" spans="1:12" x14ac:dyDescent="0.25">
      <c r="A235" t="s">
        <v>451</v>
      </c>
      <c r="B235" t="s">
        <v>452</v>
      </c>
      <c r="C235" s="1">
        <v>45315</v>
      </c>
      <c r="D235" t="s">
        <v>17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62</v>
      </c>
      <c r="K235">
        <v>0</v>
      </c>
      <c r="L235">
        <v>0</v>
      </c>
    </row>
    <row r="236" spans="1:12" x14ac:dyDescent="0.25">
      <c r="A236" t="s">
        <v>453</v>
      </c>
      <c r="B236" t="s">
        <v>454</v>
      </c>
      <c r="C236" s="1">
        <v>45731</v>
      </c>
      <c r="D236" t="s">
        <v>14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15</v>
      </c>
      <c r="K236">
        <v>0</v>
      </c>
      <c r="L236">
        <v>0</v>
      </c>
    </row>
    <row r="237" spans="1:12" x14ac:dyDescent="0.25">
      <c r="A237" t="s">
        <v>455</v>
      </c>
      <c r="B237" t="s">
        <v>454</v>
      </c>
      <c r="C237" s="1">
        <v>45756</v>
      </c>
      <c r="D237" t="s">
        <v>33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27</v>
      </c>
      <c r="K237">
        <v>0</v>
      </c>
      <c r="L237">
        <v>0</v>
      </c>
    </row>
    <row r="238" spans="1:12" x14ac:dyDescent="0.25">
      <c r="A238" t="s">
        <v>456</v>
      </c>
      <c r="B238" t="s">
        <v>457</v>
      </c>
      <c r="C238" s="1">
        <v>45503</v>
      </c>
      <c r="D238" t="s">
        <v>24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62</v>
      </c>
      <c r="K238">
        <v>30</v>
      </c>
      <c r="L238">
        <v>0</v>
      </c>
    </row>
    <row r="239" spans="1:12" x14ac:dyDescent="0.25">
      <c r="A239" t="s">
        <v>458</v>
      </c>
      <c r="B239" t="s">
        <v>459</v>
      </c>
      <c r="C239" s="1">
        <v>45560</v>
      </c>
      <c r="D239" t="s">
        <v>17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27</v>
      </c>
      <c r="K239">
        <v>0</v>
      </c>
      <c r="L239">
        <v>0</v>
      </c>
    </row>
    <row r="240" spans="1:12" x14ac:dyDescent="0.25">
      <c r="A240" t="s">
        <v>460</v>
      </c>
      <c r="B240" t="s">
        <v>461</v>
      </c>
      <c r="C240" s="1">
        <v>45699</v>
      </c>
      <c r="D240" t="s">
        <v>14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15</v>
      </c>
      <c r="K240">
        <v>0</v>
      </c>
      <c r="L240">
        <v>0</v>
      </c>
    </row>
    <row r="241" spans="1:12" x14ac:dyDescent="0.25">
      <c r="A241" t="s">
        <v>462</v>
      </c>
      <c r="B241" t="s">
        <v>463</v>
      </c>
      <c r="C241" s="1">
        <v>45532</v>
      </c>
      <c r="D241" t="s">
        <v>24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62</v>
      </c>
      <c r="K241">
        <v>0</v>
      </c>
      <c r="L241">
        <v>0</v>
      </c>
    </row>
    <row r="242" spans="1:12" x14ac:dyDescent="0.25">
      <c r="A242" t="s">
        <v>464</v>
      </c>
      <c r="B242" t="s">
        <v>465</v>
      </c>
      <c r="C242" s="1">
        <v>45682</v>
      </c>
      <c r="D242" t="s">
        <v>47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18</v>
      </c>
      <c r="K242">
        <v>131</v>
      </c>
      <c r="L242">
        <v>1</v>
      </c>
    </row>
    <row r="243" spans="1:12" x14ac:dyDescent="0.25">
      <c r="A243" t="s">
        <v>466</v>
      </c>
      <c r="B243" t="s">
        <v>467</v>
      </c>
      <c r="C243" s="1">
        <v>45465</v>
      </c>
      <c r="D243" t="s">
        <v>33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18</v>
      </c>
      <c r="K243">
        <v>116</v>
      </c>
      <c r="L243">
        <v>1</v>
      </c>
    </row>
    <row r="244" spans="1:12" x14ac:dyDescent="0.25">
      <c r="A244" t="s">
        <v>468</v>
      </c>
      <c r="B244" t="s">
        <v>469</v>
      </c>
      <c r="C244" s="1">
        <v>45411</v>
      </c>
      <c r="D244" t="s">
        <v>33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62</v>
      </c>
      <c r="K244">
        <v>30</v>
      </c>
      <c r="L244">
        <v>0</v>
      </c>
    </row>
    <row r="245" spans="1:12" x14ac:dyDescent="0.25">
      <c r="A245" t="s">
        <v>470</v>
      </c>
      <c r="B245" t="s">
        <v>469</v>
      </c>
      <c r="C245" s="1">
        <v>45561</v>
      </c>
      <c r="D245" t="s">
        <v>24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27</v>
      </c>
      <c r="K245">
        <v>0</v>
      </c>
      <c r="L245">
        <v>0</v>
      </c>
    </row>
    <row r="246" spans="1:12" x14ac:dyDescent="0.25">
      <c r="A246" t="s">
        <v>471</v>
      </c>
      <c r="B246" t="s">
        <v>472</v>
      </c>
      <c r="C246" s="1">
        <v>45742</v>
      </c>
      <c r="D246" t="s">
        <v>33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18</v>
      </c>
      <c r="K246">
        <v>68</v>
      </c>
      <c r="L246">
        <v>1</v>
      </c>
    </row>
    <row r="247" spans="1:12" x14ac:dyDescent="0.25">
      <c r="A247" t="s">
        <v>473</v>
      </c>
      <c r="B247" t="s">
        <v>474</v>
      </c>
      <c r="C247" s="1">
        <v>45798</v>
      </c>
      <c r="D247" t="s">
        <v>33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18</v>
      </c>
      <c r="K247">
        <v>121</v>
      </c>
      <c r="L247">
        <v>1</v>
      </c>
    </row>
    <row r="248" spans="1:12" x14ac:dyDescent="0.25">
      <c r="A248" t="s">
        <v>475</v>
      </c>
      <c r="B248" t="s">
        <v>476</v>
      </c>
      <c r="C248" s="1">
        <v>45387</v>
      </c>
      <c r="D248" t="s">
        <v>21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15</v>
      </c>
      <c r="K248">
        <v>0</v>
      </c>
      <c r="L248">
        <v>0</v>
      </c>
    </row>
    <row r="249" spans="1:12" x14ac:dyDescent="0.25">
      <c r="A249" t="s">
        <v>477</v>
      </c>
      <c r="B249" t="s">
        <v>476</v>
      </c>
      <c r="C249" s="1">
        <v>45296</v>
      </c>
      <c r="D249" t="s">
        <v>21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27</v>
      </c>
      <c r="K249">
        <v>0</v>
      </c>
      <c r="L249">
        <v>0</v>
      </c>
    </row>
    <row r="250" spans="1:12" x14ac:dyDescent="0.25">
      <c r="A250" t="s">
        <v>478</v>
      </c>
      <c r="B250" t="s">
        <v>479</v>
      </c>
      <c r="C250" s="1">
        <v>45416</v>
      </c>
      <c r="D250" t="s">
        <v>14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15</v>
      </c>
      <c r="K250">
        <v>0</v>
      </c>
      <c r="L250">
        <v>0</v>
      </c>
    </row>
    <row r="251" spans="1:12" x14ac:dyDescent="0.25">
      <c r="A251" t="s">
        <v>480</v>
      </c>
      <c r="B251" t="s">
        <v>481</v>
      </c>
      <c r="C251" s="1">
        <v>45567</v>
      </c>
      <c r="D251" t="s">
        <v>33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15</v>
      </c>
      <c r="K251">
        <v>0</v>
      </c>
      <c r="L251">
        <v>0</v>
      </c>
    </row>
    <row r="252" spans="1:12" x14ac:dyDescent="0.25">
      <c r="A252" t="s">
        <v>482</v>
      </c>
      <c r="B252" t="s">
        <v>481</v>
      </c>
      <c r="C252" s="1">
        <v>45341</v>
      </c>
      <c r="D252" t="s">
        <v>47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15</v>
      </c>
      <c r="K252">
        <v>0</v>
      </c>
      <c r="L252">
        <v>0</v>
      </c>
    </row>
    <row r="253" spans="1:12" x14ac:dyDescent="0.25">
      <c r="A253" t="s">
        <v>483</v>
      </c>
      <c r="B253" t="s">
        <v>484</v>
      </c>
      <c r="C253" s="1">
        <v>45537</v>
      </c>
      <c r="D253" t="s">
        <v>21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62</v>
      </c>
      <c r="K253">
        <v>15</v>
      </c>
      <c r="L253">
        <v>0</v>
      </c>
    </row>
    <row r="254" spans="1:12" x14ac:dyDescent="0.25">
      <c r="A254" t="s">
        <v>485</v>
      </c>
      <c r="B254" t="s">
        <v>486</v>
      </c>
      <c r="C254" s="1">
        <v>45794</v>
      </c>
      <c r="D254" t="s">
        <v>33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15</v>
      </c>
      <c r="K254">
        <v>0</v>
      </c>
      <c r="L254">
        <v>0</v>
      </c>
    </row>
    <row r="255" spans="1:12" x14ac:dyDescent="0.25">
      <c r="A255" t="s">
        <v>487</v>
      </c>
      <c r="B255" t="s">
        <v>486</v>
      </c>
      <c r="C255" s="1">
        <v>45793</v>
      </c>
      <c r="D255" t="s">
        <v>47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27</v>
      </c>
      <c r="K255">
        <v>0</v>
      </c>
      <c r="L255">
        <v>0</v>
      </c>
    </row>
    <row r="256" spans="1:12" x14ac:dyDescent="0.25">
      <c r="A256" t="s">
        <v>488</v>
      </c>
      <c r="B256" t="s">
        <v>489</v>
      </c>
      <c r="C256" s="1">
        <v>45728</v>
      </c>
      <c r="D256" t="s">
        <v>36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18</v>
      </c>
      <c r="K256">
        <v>161</v>
      </c>
      <c r="L256">
        <v>1</v>
      </c>
    </row>
    <row r="257" spans="1:12" x14ac:dyDescent="0.25">
      <c r="A257" t="s">
        <v>490</v>
      </c>
      <c r="B257" t="s">
        <v>491</v>
      </c>
      <c r="C257" s="1">
        <v>45831</v>
      </c>
      <c r="D257" t="s">
        <v>14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27</v>
      </c>
      <c r="K257">
        <v>0</v>
      </c>
      <c r="L257">
        <v>0</v>
      </c>
    </row>
    <row r="258" spans="1:12" x14ac:dyDescent="0.25">
      <c r="A258" t="s">
        <v>492</v>
      </c>
      <c r="B258" t="s">
        <v>493</v>
      </c>
      <c r="C258" s="1">
        <v>45827</v>
      </c>
      <c r="D258" t="s">
        <v>14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27</v>
      </c>
      <c r="K258">
        <v>0</v>
      </c>
      <c r="L258">
        <v>0</v>
      </c>
    </row>
    <row r="259" spans="1:12" x14ac:dyDescent="0.25">
      <c r="A259" t="s">
        <v>494</v>
      </c>
      <c r="B259" t="s">
        <v>495</v>
      </c>
      <c r="C259" s="1">
        <v>45551</v>
      </c>
      <c r="D259" t="s">
        <v>21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18</v>
      </c>
      <c r="K259">
        <v>179</v>
      </c>
      <c r="L259">
        <v>1</v>
      </c>
    </row>
    <row r="260" spans="1:12" x14ac:dyDescent="0.25">
      <c r="A260" t="s">
        <v>496</v>
      </c>
      <c r="B260" t="s">
        <v>495</v>
      </c>
      <c r="C260" s="1">
        <v>45478</v>
      </c>
      <c r="D260" t="s">
        <v>36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27</v>
      </c>
      <c r="K260">
        <v>0</v>
      </c>
      <c r="L260">
        <v>0</v>
      </c>
    </row>
    <row r="261" spans="1:12" x14ac:dyDescent="0.25">
      <c r="A261" t="s">
        <v>497</v>
      </c>
      <c r="B261" t="s">
        <v>498</v>
      </c>
      <c r="C261" s="1">
        <v>45563</v>
      </c>
      <c r="D261" t="s">
        <v>30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62</v>
      </c>
      <c r="K261">
        <v>15</v>
      </c>
      <c r="L261">
        <v>0</v>
      </c>
    </row>
    <row r="262" spans="1:12" x14ac:dyDescent="0.25">
      <c r="A262" t="s">
        <v>499</v>
      </c>
      <c r="B262" t="s">
        <v>500</v>
      </c>
      <c r="C262" s="1">
        <v>45310</v>
      </c>
      <c r="D262" t="s">
        <v>36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18</v>
      </c>
      <c r="K262">
        <v>59</v>
      </c>
      <c r="L262">
        <v>1</v>
      </c>
    </row>
    <row r="263" spans="1:12" x14ac:dyDescent="0.25">
      <c r="A263" t="s">
        <v>501</v>
      </c>
      <c r="B263" t="s">
        <v>502</v>
      </c>
      <c r="C263" s="1">
        <v>45602</v>
      </c>
      <c r="D263" t="s">
        <v>14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62</v>
      </c>
      <c r="K263">
        <v>30</v>
      </c>
      <c r="L263">
        <v>0</v>
      </c>
    </row>
    <row r="264" spans="1:12" x14ac:dyDescent="0.25">
      <c r="A264" t="s">
        <v>503</v>
      </c>
      <c r="B264" t="s">
        <v>504</v>
      </c>
      <c r="C264" s="1">
        <v>45406</v>
      </c>
      <c r="D264" t="s">
        <v>17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27</v>
      </c>
      <c r="K264">
        <v>0</v>
      </c>
      <c r="L264">
        <v>0</v>
      </c>
    </row>
    <row r="265" spans="1:12" x14ac:dyDescent="0.25">
      <c r="A265" t="s">
        <v>505</v>
      </c>
      <c r="B265" t="s">
        <v>506</v>
      </c>
      <c r="C265" s="1">
        <v>45487</v>
      </c>
      <c r="D265" t="s">
        <v>14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27</v>
      </c>
      <c r="K265">
        <v>0</v>
      </c>
      <c r="L265">
        <v>0</v>
      </c>
    </row>
    <row r="266" spans="1:12" x14ac:dyDescent="0.25">
      <c r="A266" t="s">
        <v>507</v>
      </c>
      <c r="B266" t="s">
        <v>508</v>
      </c>
      <c r="C266" s="1">
        <v>45774</v>
      </c>
      <c r="D266" t="s">
        <v>36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18</v>
      </c>
      <c r="K266">
        <v>145</v>
      </c>
      <c r="L266">
        <v>1</v>
      </c>
    </row>
    <row r="267" spans="1:12" x14ac:dyDescent="0.25">
      <c r="A267" t="s">
        <v>509</v>
      </c>
      <c r="B267" t="s">
        <v>510</v>
      </c>
      <c r="C267" s="1">
        <v>45300</v>
      </c>
      <c r="D267" t="s">
        <v>38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18</v>
      </c>
      <c r="K267">
        <v>140</v>
      </c>
      <c r="L267">
        <v>1</v>
      </c>
    </row>
    <row r="268" spans="1:12" x14ac:dyDescent="0.25">
      <c r="A268" t="s">
        <v>511</v>
      </c>
      <c r="B268" t="s">
        <v>512</v>
      </c>
      <c r="C268" s="1">
        <v>45329</v>
      </c>
      <c r="D268" t="s">
        <v>14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27</v>
      </c>
      <c r="K268">
        <v>0</v>
      </c>
      <c r="L268">
        <v>0</v>
      </c>
    </row>
    <row r="269" spans="1:12" x14ac:dyDescent="0.25">
      <c r="A269" t="s">
        <v>513</v>
      </c>
      <c r="B269" t="s">
        <v>512</v>
      </c>
      <c r="C269" s="1">
        <v>45354</v>
      </c>
      <c r="D269" t="s">
        <v>47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27</v>
      </c>
      <c r="K269">
        <v>0</v>
      </c>
      <c r="L269">
        <v>0</v>
      </c>
    </row>
    <row r="270" spans="1:12" x14ac:dyDescent="0.25">
      <c r="A270" t="s">
        <v>514</v>
      </c>
      <c r="B270" t="s">
        <v>515</v>
      </c>
      <c r="C270" s="1">
        <v>45647</v>
      </c>
      <c r="D270" t="s">
        <v>17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27</v>
      </c>
      <c r="K270">
        <v>0</v>
      </c>
      <c r="L270">
        <v>0</v>
      </c>
    </row>
    <row r="271" spans="1:12" x14ac:dyDescent="0.25">
      <c r="A271" t="s">
        <v>516</v>
      </c>
      <c r="B271" t="s">
        <v>517</v>
      </c>
      <c r="C271" s="1">
        <v>45639</v>
      </c>
      <c r="D271" t="s">
        <v>14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62</v>
      </c>
      <c r="K271">
        <v>15</v>
      </c>
      <c r="L271">
        <v>0</v>
      </c>
    </row>
    <row r="272" spans="1:12" x14ac:dyDescent="0.25">
      <c r="A272" t="s">
        <v>518</v>
      </c>
      <c r="B272" t="s">
        <v>519</v>
      </c>
      <c r="C272" s="1">
        <v>45660</v>
      </c>
      <c r="D272" t="s">
        <v>24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15</v>
      </c>
      <c r="K272">
        <v>0</v>
      </c>
      <c r="L272">
        <v>0</v>
      </c>
    </row>
    <row r="273" spans="1:12" x14ac:dyDescent="0.25">
      <c r="A273" t="s">
        <v>520</v>
      </c>
      <c r="B273" t="s">
        <v>521</v>
      </c>
      <c r="C273" s="1">
        <v>45496</v>
      </c>
      <c r="D273" t="s">
        <v>24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18</v>
      </c>
      <c r="K273">
        <v>155</v>
      </c>
      <c r="L273">
        <v>1</v>
      </c>
    </row>
    <row r="274" spans="1:12" x14ac:dyDescent="0.25">
      <c r="A274" t="s">
        <v>522</v>
      </c>
      <c r="B274" t="s">
        <v>523</v>
      </c>
      <c r="C274" s="1">
        <v>45340</v>
      </c>
      <c r="D274" t="s">
        <v>17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27</v>
      </c>
      <c r="K274">
        <v>0</v>
      </c>
      <c r="L274">
        <v>0</v>
      </c>
    </row>
    <row r="275" spans="1:12" x14ac:dyDescent="0.25">
      <c r="A275" t="s">
        <v>524</v>
      </c>
      <c r="B275" t="s">
        <v>525</v>
      </c>
      <c r="C275" s="1">
        <v>45637</v>
      </c>
      <c r="D275" t="s">
        <v>33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18</v>
      </c>
      <c r="K275">
        <v>88</v>
      </c>
      <c r="L275">
        <v>1</v>
      </c>
    </row>
    <row r="276" spans="1:12" x14ac:dyDescent="0.25">
      <c r="A276" t="s">
        <v>526</v>
      </c>
      <c r="B276" t="s">
        <v>527</v>
      </c>
      <c r="C276" s="1">
        <v>45565</v>
      </c>
      <c r="D276" t="s">
        <v>38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62</v>
      </c>
      <c r="K276">
        <v>15</v>
      </c>
      <c r="L276">
        <v>0</v>
      </c>
    </row>
    <row r="277" spans="1:12" x14ac:dyDescent="0.25">
      <c r="A277" t="s">
        <v>528</v>
      </c>
      <c r="B277" t="s">
        <v>529</v>
      </c>
      <c r="C277" s="1">
        <v>45405</v>
      </c>
      <c r="D277" t="s">
        <v>36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62</v>
      </c>
      <c r="K277">
        <v>0</v>
      </c>
      <c r="L277">
        <v>0</v>
      </c>
    </row>
    <row r="278" spans="1:12" x14ac:dyDescent="0.25">
      <c r="A278" t="s">
        <v>530</v>
      </c>
      <c r="B278" t="s">
        <v>531</v>
      </c>
      <c r="C278" s="1">
        <v>45412</v>
      </c>
      <c r="D278" t="s">
        <v>36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62</v>
      </c>
      <c r="K278">
        <v>15</v>
      </c>
      <c r="L278">
        <v>0</v>
      </c>
    </row>
    <row r="279" spans="1:12" x14ac:dyDescent="0.25">
      <c r="A279" t="s">
        <v>532</v>
      </c>
      <c r="B279" t="s">
        <v>531</v>
      </c>
      <c r="C279" s="1">
        <v>45393</v>
      </c>
      <c r="D279" t="s">
        <v>24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18</v>
      </c>
      <c r="K279">
        <v>123</v>
      </c>
      <c r="L279">
        <v>1</v>
      </c>
    </row>
    <row r="280" spans="1:12" x14ac:dyDescent="0.25">
      <c r="A280" t="s">
        <v>533</v>
      </c>
      <c r="B280" t="s">
        <v>534</v>
      </c>
      <c r="C280" s="1">
        <v>45298</v>
      </c>
      <c r="D280" t="s">
        <v>33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27</v>
      </c>
      <c r="K280">
        <v>0</v>
      </c>
      <c r="L280">
        <v>0</v>
      </c>
    </row>
    <row r="281" spans="1:12" x14ac:dyDescent="0.25">
      <c r="A281" t="s">
        <v>535</v>
      </c>
      <c r="B281" t="s">
        <v>536</v>
      </c>
      <c r="C281" s="1">
        <v>45543</v>
      </c>
      <c r="D281" t="s">
        <v>36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27</v>
      </c>
      <c r="K281">
        <v>0</v>
      </c>
      <c r="L281">
        <v>0</v>
      </c>
    </row>
    <row r="282" spans="1:12" x14ac:dyDescent="0.25">
      <c r="A282" t="s">
        <v>537</v>
      </c>
      <c r="B282" t="s">
        <v>538</v>
      </c>
      <c r="C282" s="1">
        <v>45820</v>
      </c>
      <c r="D282" t="s">
        <v>17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27</v>
      </c>
      <c r="K282">
        <v>0</v>
      </c>
      <c r="L282">
        <v>0</v>
      </c>
    </row>
    <row r="283" spans="1:12" x14ac:dyDescent="0.25">
      <c r="A283" t="s">
        <v>539</v>
      </c>
      <c r="B283" t="s">
        <v>540</v>
      </c>
      <c r="C283" s="1">
        <v>45614</v>
      </c>
      <c r="D283" t="s">
        <v>41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27</v>
      </c>
      <c r="K283">
        <v>0</v>
      </c>
      <c r="L283">
        <v>0</v>
      </c>
    </row>
    <row r="284" spans="1:12" x14ac:dyDescent="0.25">
      <c r="A284" t="s">
        <v>541</v>
      </c>
      <c r="B284" t="s">
        <v>542</v>
      </c>
      <c r="C284" s="1">
        <v>45824</v>
      </c>
      <c r="D284" t="s">
        <v>41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15</v>
      </c>
      <c r="K284">
        <v>0</v>
      </c>
      <c r="L284">
        <v>0</v>
      </c>
    </row>
    <row r="285" spans="1:12" x14ac:dyDescent="0.25">
      <c r="A285" t="s">
        <v>543</v>
      </c>
      <c r="B285" t="s">
        <v>544</v>
      </c>
      <c r="C285" s="1">
        <v>45578</v>
      </c>
      <c r="D285" t="s">
        <v>24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27</v>
      </c>
      <c r="K285">
        <v>0</v>
      </c>
      <c r="L285">
        <v>0</v>
      </c>
    </row>
    <row r="286" spans="1:12" x14ac:dyDescent="0.25">
      <c r="A286" t="s">
        <v>545</v>
      </c>
      <c r="B286" t="s">
        <v>546</v>
      </c>
      <c r="C286" s="1">
        <v>45645</v>
      </c>
      <c r="D286" t="s">
        <v>38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27</v>
      </c>
      <c r="K286">
        <v>0</v>
      </c>
      <c r="L286">
        <v>0</v>
      </c>
    </row>
    <row r="287" spans="1:12" x14ac:dyDescent="0.25">
      <c r="A287" t="s">
        <v>547</v>
      </c>
      <c r="B287" t="s">
        <v>548</v>
      </c>
      <c r="C287" s="1">
        <v>45421</v>
      </c>
      <c r="D287" t="s">
        <v>24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27</v>
      </c>
      <c r="K287">
        <v>0</v>
      </c>
      <c r="L287">
        <v>0</v>
      </c>
    </row>
    <row r="288" spans="1:12" x14ac:dyDescent="0.25">
      <c r="A288" t="s">
        <v>549</v>
      </c>
      <c r="B288" t="s">
        <v>550</v>
      </c>
      <c r="C288" s="1">
        <v>45556</v>
      </c>
      <c r="D288" t="s">
        <v>24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15</v>
      </c>
      <c r="K288">
        <v>0</v>
      </c>
      <c r="L288">
        <v>0</v>
      </c>
    </row>
    <row r="289" spans="1:12" x14ac:dyDescent="0.25">
      <c r="A289" t="s">
        <v>551</v>
      </c>
      <c r="B289" t="s">
        <v>552</v>
      </c>
      <c r="C289" s="1">
        <v>45654</v>
      </c>
      <c r="D289" t="s">
        <v>36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18</v>
      </c>
      <c r="K289">
        <v>61</v>
      </c>
      <c r="L289">
        <v>1</v>
      </c>
    </row>
    <row r="290" spans="1:12" x14ac:dyDescent="0.25">
      <c r="A290" t="s">
        <v>553</v>
      </c>
      <c r="B290" t="s">
        <v>552</v>
      </c>
      <c r="C290" s="1">
        <v>45533</v>
      </c>
      <c r="D290" t="s">
        <v>14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62</v>
      </c>
      <c r="K290">
        <v>30</v>
      </c>
      <c r="L290">
        <v>0</v>
      </c>
    </row>
    <row r="291" spans="1:12" x14ac:dyDescent="0.25">
      <c r="A291" t="s">
        <v>554</v>
      </c>
      <c r="B291" t="s">
        <v>555</v>
      </c>
      <c r="C291" s="1">
        <v>45435</v>
      </c>
      <c r="D291" t="s">
        <v>21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27</v>
      </c>
      <c r="K291">
        <v>0</v>
      </c>
      <c r="L291">
        <v>0</v>
      </c>
    </row>
    <row r="292" spans="1:12" x14ac:dyDescent="0.25">
      <c r="A292" t="s">
        <v>556</v>
      </c>
      <c r="B292" t="s">
        <v>555</v>
      </c>
      <c r="C292" s="1">
        <v>45442</v>
      </c>
      <c r="D292" t="s">
        <v>30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27</v>
      </c>
      <c r="K292">
        <v>0</v>
      </c>
      <c r="L292">
        <v>0</v>
      </c>
    </row>
    <row r="293" spans="1:12" x14ac:dyDescent="0.25">
      <c r="A293" t="s">
        <v>557</v>
      </c>
      <c r="B293" t="s">
        <v>558</v>
      </c>
      <c r="C293" s="1">
        <v>45704</v>
      </c>
      <c r="D293" t="s">
        <v>33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27</v>
      </c>
      <c r="K293">
        <v>0</v>
      </c>
      <c r="L293">
        <v>0</v>
      </c>
    </row>
    <row r="294" spans="1:12" x14ac:dyDescent="0.25">
      <c r="A294" t="s">
        <v>559</v>
      </c>
      <c r="B294" t="s">
        <v>560</v>
      </c>
      <c r="C294" s="1">
        <v>45718</v>
      </c>
      <c r="D294" t="s">
        <v>14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27</v>
      </c>
      <c r="K294">
        <v>0</v>
      </c>
      <c r="L294">
        <v>0</v>
      </c>
    </row>
    <row r="295" spans="1:12" x14ac:dyDescent="0.25">
      <c r="A295" t="s">
        <v>561</v>
      </c>
      <c r="B295" t="s">
        <v>562</v>
      </c>
      <c r="C295" s="1">
        <v>45509</v>
      </c>
      <c r="D295" t="s">
        <v>33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27</v>
      </c>
      <c r="K295">
        <v>0</v>
      </c>
      <c r="L295">
        <v>0</v>
      </c>
    </row>
    <row r="296" spans="1:12" x14ac:dyDescent="0.25">
      <c r="A296" t="s">
        <v>563</v>
      </c>
      <c r="B296" t="s">
        <v>564</v>
      </c>
      <c r="C296" s="1">
        <v>45588</v>
      </c>
      <c r="D296" t="s">
        <v>36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18</v>
      </c>
      <c r="K296">
        <v>69</v>
      </c>
      <c r="L296">
        <v>1</v>
      </c>
    </row>
    <row r="297" spans="1:12" x14ac:dyDescent="0.25">
      <c r="A297" t="s">
        <v>565</v>
      </c>
      <c r="B297" t="s">
        <v>566</v>
      </c>
      <c r="C297" s="1">
        <v>45438</v>
      </c>
      <c r="D297" t="s">
        <v>24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27</v>
      </c>
      <c r="K297">
        <v>0</v>
      </c>
      <c r="L297">
        <v>0</v>
      </c>
    </row>
    <row r="298" spans="1:12" x14ac:dyDescent="0.25">
      <c r="A298" t="s">
        <v>567</v>
      </c>
      <c r="B298" t="s">
        <v>568</v>
      </c>
      <c r="C298" s="1">
        <v>45649</v>
      </c>
      <c r="D298" t="s">
        <v>24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18</v>
      </c>
      <c r="K298">
        <v>41</v>
      </c>
      <c r="L298">
        <v>1</v>
      </c>
    </row>
    <row r="299" spans="1:12" x14ac:dyDescent="0.25">
      <c r="A299" t="s">
        <v>569</v>
      </c>
      <c r="B299" t="s">
        <v>568</v>
      </c>
      <c r="C299" s="1">
        <v>45678</v>
      </c>
      <c r="D299" t="s">
        <v>17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62</v>
      </c>
      <c r="K299">
        <v>0</v>
      </c>
      <c r="L299">
        <v>0</v>
      </c>
    </row>
    <row r="300" spans="1:12" x14ac:dyDescent="0.25">
      <c r="A300" t="s">
        <v>570</v>
      </c>
      <c r="B300" t="s">
        <v>571</v>
      </c>
      <c r="C300" s="1">
        <v>45625</v>
      </c>
      <c r="D300" t="s">
        <v>21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18</v>
      </c>
      <c r="K300">
        <v>134</v>
      </c>
      <c r="L300">
        <v>1</v>
      </c>
    </row>
    <row r="301" spans="1:12" x14ac:dyDescent="0.25">
      <c r="A301" t="s">
        <v>572</v>
      </c>
      <c r="B301" t="s">
        <v>573</v>
      </c>
      <c r="C301" s="1">
        <v>45382</v>
      </c>
      <c r="D301" t="s">
        <v>17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27</v>
      </c>
      <c r="K301">
        <v>0</v>
      </c>
      <c r="L301">
        <v>0</v>
      </c>
    </row>
    <row r="302" spans="1:12" x14ac:dyDescent="0.25">
      <c r="A302" t="s">
        <v>574</v>
      </c>
      <c r="B302" t="s">
        <v>575</v>
      </c>
      <c r="C302" s="1">
        <v>45346</v>
      </c>
      <c r="D302" t="s">
        <v>24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15</v>
      </c>
      <c r="K302">
        <v>0</v>
      </c>
      <c r="L302">
        <v>0</v>
      </c>
    </row>
    <row r="303" spans="1:12" x14ac:dyDescent="0.25">
      <c r="A303" t="s">
        <v>576</v>
      </c>
      <c r="B303" t="s">
        <v>577</v>
      </c>
      <c r="C303" s="1">
        <v>45573</v>
      </c>
      <c r="D303" t="s">
        <v>41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15</v>
      </c>
      <c r="K303">
        <v>0</v>
      </c>
      <c r="L303">
        <v>0</v>
      </c>
    </row>
    <row r="304" spans="1:12" x14ac:dyDescent="0.25">
      <c r="A304" t="s">
        <v>578</v>
      </c>
      <c r="B304" t="s">
        <v>579</v>
      </c>
      <c r="C304" s="1">
        <v>45338</v>
      </c>
      <c r="D304" t="s">
        <v>14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62</v>
      </c>
      <c r="K304">
        <v>15</v>
      </c>
      <c r="L304">
        <v>0</v>
      </c>
    </row>
    <row r="305" spans="1:12" x14ac:dyDescent="0.25">
      <c r="A305" t="s">
        <v>580</v>
      </c>
      <c r="B305" t="s">
        <v>579</v>
      </c>
      <c r="C305" s="1">
        <v>45385</v>
      </c>
      <c r="D305" t="s">
        <v>33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18</v>
      </c>
      <c r="K305">
        <v>55</v>
      </c>
      <c r="L305">
        <v>1</v>
      </c>
    </row>
    <row r="306" spans="1:12" x14ac:dyDescent="0.25">
      <c r="A306" t="s">
        <v>581</v>
      </c>
      <c r="B306" t="s">
        <v>582</v>
      </c>
      <c r="C306" s="1">
        <v>45709</v>
      </c>
      <c r="D306" t="s">
        <v>24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15</v>
      </c>
      <c r="K306">
        <v>0</v>
      </c>
      <c r="L306">
        <v>0</v>
      </c>
    </row>
    <row r="307" spans="1:12" x14ac:dyDescent="0.25">
      <c r="A307" t="s">
        <v>583</v>
      </c>
      <c r="B307" t="s">
        <v>584</v>
      </c>
      <c r="C307" s="1">
        <v>45623</v>
      </c>
      <c r="D307" t="s">
        <v>41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62</v>
      </c>
      <c r="K307">
        <v>15</v>
      </c>
      <c r="L307">
        <v>0</v>
      </c>
    </row>
    <row r="308" spans="1:12" x14ac:dyDescent="0.25">
      <c r="A308" t="s">
        <v>585</v>
      </c>
      <c r="B308" t="s">
        <v>586</v>
      </c>
      <c r="C308" s="1">
        <v>45808</v>
      </c>
      <c r="D308" t="s">
        <v>38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27</v>
      </c>
      <c r="K308">
        <v>0</v>
      </c>
      <c r="L308">
        <v>0</v>
      </c>
    </row>
    <row r="309" spans="1:12" x14ac:dyDescent="0.25">
      <c r="A309" t="s">
        <v>587</v>
      </c>
      <c r="B309" t="s">
        <v>588</v>
      </c>
      <c r="C309" s="1">
        <v>45311</v>
      </c>
      <c r="D309" t="s">
        <v>17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18</v>
      </c>
      <c r="K309">
        <v>180</v>
      </c>
      <c r="L309">
        <v>1</v>
      </c>
    </row>
    <row r="310" spans="1:12" x14ac:dyDescent="0.25">
      <c r="A310" t="s">
        <v>589</v>
      </c>
      <c r="B310" t="s">
        <v>590</v>
      </c>
      <c r="C310" s="1">
        <v>45708</v>
      </c>
      <c r="D310" t="s">
        <v>38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27</v>
      </c>
      <c r="K310">
        <v>0</v>
      </c>
      <c r="L310">
        <v>0</v>
      </c>
    </row>
    <row r="311" spans="1:12" x14ac:dyDescent="0.25">
      <c r="A311" t="s">
        <v>591</v>
      </c>
      <c r="B311" t="s">
        <v>592</v>
      </c>
      <c r="C311" s="1">
        <v>45725</v>
      </c>
      <c r="D311" t="s">
        <v>33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27</v>
      </c>
      <c r="K311">
        <v>0</v>
      </c>
      <c r="L311">
        <v>0</v>
      </c>
    </row>
    <row r="312" spans="1:12" x14ac:dyDescent="0.25">
      <c r="A312" t="s">
        <v>593</v>
      </c>
      <c r="B312" t="s">
        <v>594</v>
      </c>
      <c r="C312" s="1">
        <v>45785</v>
      </c>
      <c r="D312" t="s">
        <v>47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62</v>
      </c>
      <c r="K312">
        <v>0</v>
      </c>
      <c r="L312">
        <v>0</v>
      </c>
    </row>
    <row r="313" spans="1:12" x14ac:dyDescent="0.25">
      <c r="A313" t="s">
        <v>595</v>
      </c>
      <c r="B313" t="s">
        <v>594</v>
      </c>
      <c r="C313" s="1">
        <v>45457</v>
      </c>
      <c r="D313" t="s">
        <v>30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27</v>
      </c>
      <c r="K313">
        <v>0</v>
      </c>
      <c r="L313">
        <v>0</v>
      </c>
    </row>
    <row r="314" spans="1:12" x14ac:dyDescent="0.25">
      <c r="A314" t="s">
        <v>596</v>
      </c>
      <c r="B314" t="s">
        <v>597</v>
      </c>
      <c r="C314" s="1">
        <v>45507</v>
      </c>
      <c r="D314" t="s">
        <v>36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62</v>
      </c>
      <c r="K314">
        <v>30</v>
      </c>
      <c r="L314">
        <v>0</v>
      </c>
    </row>
    <row r="315" spans="1:12" x14ac:dyDescent="0.25">
      <c r="A315" t="s">
        <v>598</v>
      </c>
      <c r="B315" t="s">
        <v>599</v>
      </c>
      <c r="C315" s="1">
        <v>45621</v>
      </c>
      <c r="D315" t="s">
        <v>30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27</v>
      </c>
      <c r="K315">
        <v>0</v>
      </c>
      <c r="L315">
        <v>0</v>
      </c>
    </row>
    <row r="316" spans="1:12" x14ac:dyDescent="0.25">
      <c r="A316" t="s">
        <v>600</v>
      </c>
      <c r="B316" t="s">
        <v>601</v>
      </c>
      <c r="C316" s="1">
        <v>45301</v>
      </c>
      <c r="D316" t="s">
        <v>33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15</v>
      </c>
      <c r="K316">
        <v>0</v>
      </c>
      <c r="L316">
        <v>0</v>
      </c>
    </row>
    <row r="317" spans="1:12" x14ac:dyDescent="0.25">
      <c r="A317" t="s">
        <v>602</v>
      </c>
      <c r="B317" t="s">
        <v>603</v>
      </c>
      <c r="C317" s="1">
        <v>45747</v>
      </c>
      <c r="D317" t="s">
        <v>17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15</v>
      </c>
      <c r="K317">
        <v>0</v>
      </c>
      <c r="L317">
        <v>0</v>
      </c>
    </row>
    <row r="318" spans="1:12" x14ac:dyDescent="0.25">
      <c r="A318" t="s">
        <v>604</v>
      </c>
      <c r="B318" t="s">
        <v>605</v>
      </c>
      <c r="C318" s="1">
        <v>45671</v>
      </c>
      <c r="D318" t="s">
        <v>30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27</v>
      </c>
      <c r="K318">
        <v>0</v>
      </c>
      <c r="L318">
        <v>0</v>
      </c>
    </row>
    <row r="319" spans="1:12" x14ac:dyDescent="0.25">
      <c r="A319" t="s">
        <v>606</v>
      </c>
      <c r="B319" t="s">
        <v>605</v>
      </c>
      <c r="C319" s="1">
        <v>45602</v>
      </c>
      <c r="D319" t="s">
        <v>41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15</v>
      </c>
      <c r="K319">
        <v>0</v>
      </c>
      <c r="L319">
        <v>0</v>
      </c>
    </row>
    <row r="320" spans="1:12" x14ac:dyDescent="0.25">
      <c r="A320" t="s">
        <v>607</v>
      </c>
      <c r="B320" t="s">
        <v>608</v>
      </c>
      <c r="C320" s="1">
        <v>45492</v>
      </c>
      <c r="D320" t="s">
        <v>41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27</v>
      </c>
      <c r="K320">
        <v>0</v>
      </c>
      <c r="L320">
        <v>0</v>
      </c>
    </row>
    <row r="321" spans="1:12" x14ac:dyDescent="0.25">
      <c r="A321" t="s">
        <v>609</v>
      </c>
      <c r="B321" t="s">
        <v>608</v>
      </c>
      <c r="C321" s="1">
        <v>45471</v>
      </c>
      <c r="D321" t="s">
        <v>24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18</v>
      </c>
      <c r="K321">
        <v>62</v>
      </c>
      <c r="L321">
        <v>1</v>
      </c>
    </row>
    <row r="322" spans="1:12" x14ac:dyDescent="0.25">
      <c r="A322" t="s">
        <v>610</v>
      </c>
      <c r="B322" t="s">
        <v>611</v>
      </c>
      <c r="C322" s="1">
        <v>45572</v>
      </c>
      <c r="D322" t="s">
        <v>33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15</v>
      </c>
      <c r="K322">
        <v>0</v>
      </c>
      <c r="L322">
        <v>0</v>
      </c>
    </row>
    <row r="323" spans="1:12" x14ac:dyDescent="0.25">
      <c r="A323" t="s">
        <v>612</v>
      </c>
      <c r="B323" t="s">
        <v>613</v>
      </c>
      <c r="C323" s="1">
        <v>45729</v>
      </c>
      <c r="D323" t="s">
        <v>21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62</v>
      </c>
      <c r="K323">
        <v>15</v>
      </c>
      <c r="L323">
        <v>0</v>
      </c>
    </row>
    <row r="324" spans="1:12" x14ac:dyDescent="0.25">
      <c r="A324" t="s">
        <v>614</v>
      </c>
      <c r="B324" t="s">
        <v>615</v>
      </c>
      <c r="C324" s="1">
        <v>45769</v>
      </c>
      <c r="D324" t="s">
        <v>17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27</v>
      </c>
      <c r="K324">
        <v>0</v>
      </c>
      <c r="L324">
        <v>0</v>
      </c>
    </row>
    <row r="325" spans="1:12" x14ac:dyDescent="0.25">
      <c r="A325" t="s">
        <v>616</v>
      </c>
      <c r="B325" t="s">
        <v>615</v>
      </c>
      <c r="C325" s="1">
        <v>45297</v>
      </c>
      <c r="D325" t="s">
        <v>38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15</v>
      </c>
      <c r="K325">
        <v>0</v>
      </c>
      <c r="L325">
        <v>0</v>
      </c>
    </row>
    <row r="326" spans="1:12" x14ac:dyDescent="0.25">
      <c r="A326" t="s">
        <v>617</v>
      </c>
      <c r="B326" t="s">
        <v>618</v>
      </c>
      <c r="C326" s="1">
        <v>45493</v>
      </c>
      <c r="D326" t="s">
        <v>38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18</v>
      </c>
      <c r="K326">
        <v>109</v>
      </c>
      <c r="L326">
        <v>1</v>
      </c>
    </row>
    <row r="327" spans="1:12" x14ac:dyDescent="0.25">
      <c r="A327" t="s">
        <v>619</v>
      </c>
      <c r="B327" t="s">
        <v>618</v>
      </c>
      <c r="C327" s="1">
        <v>45316</v>
      </c>
      <c r="D327" t="s">
        <v>36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27</v>
      </c>
      <c r="K327">
        <v>0</v>
      </c>
      <c r="L327">
        <v>0</v>
      </c>
    </row>
    <row r="328" spans="1:12" x14ac:dyDescent="0.25">
      <c r="A328" t="s">
        <v>620</v>
      </c>
      <c r="B328" t="s">
        <v>621</v>
      </c>
      <c r="C328" s="1">
        <v>45824</v>
      </c>
      <c r="D328" t="s">
        <v>36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62</v>
      </c>
      <c r="K328">
        <v>15</v>
      </c>
      <c r="L328">
        <v>0</v>
      </c>
    </row>
    <row r="329" spans="1:12" x14ac:dyDescent="0.25">
      <c r="A329" t="s">
        <v>622</v>
      </c>
      <c r="B329" t="s">
        <v>623</v>
      </c>
      <c r="C329" s="1">
        <v>45326</v>
      </c>
      <c r="D329" t="s">
        <v>36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18</v>
      </c>
      <c r="K329">
        <v>46</v>
      </c>
      <c r="L329">
        <v>1</v>
      </c>
    </row>
    <row r="330" spans="1:12" x14ac:dyDescent="0.25">
      <c r="A330" t="s">
        <v>624</v>
      </c>
      <c r="B330" t="s">
        <v>625</v>
      </c>
      <c r="C330" s="1">
        <v>45734</v>
      </c>
      <c r="D330" t="s">
        <v>41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18</v>
      </c>
      <c r="K330">
        <v>44</v>
      </c>
      <c r="L330">
        <v>1</v>
      </c>
    </row>
    <row r="331" spans="1:12" x14ac:dyDescent="0.25">
      <c r="A331" t="s">
        <v>626</v>
      </c>
      <c r="B331" t="s">
        <v>627</v>
      </c>
      <c r="C331" s="1">
        <v>45530</v>
      </c>
      <c r="D331" t="s">
        <v>24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62</v>
      </c>
      <c r="K331">
        <v>0</v>
      </c>
      <c r="L331">
        <v>0</v>
      </c>
    </row>
    <row r="332" spans="1:12" x14ac:dyDescent="0.25">
      <c r="A332" t="s">
        <v>628</v>
      </c>
      <c r="B332" t="s">
        <v>629</v>
      </c>
      <c r="C332" s="1">
        <v>45318</v>
      </c>
      <c r="D332" t="s">
        <v>14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27</v>
      </c>
      <c r="K332">
        <v>0</v>
      </c>
      <c r="L332">
        <v>0</v>
      </c>
    </row>
    <row r="333" spans="1:12" x14ac:dyDescent="0.25">
      <c r="A333" t="s">
        <v>630</v>
      </c>
      <c r="B333" t="s">
        <v>631</v>
      </c>
      <c r="C333" s="1">
        <v>45421</v>
      </c>
      <c r="D333" t="s">
        <v>47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27</v>
      </c>
      <c r="K333">
        <v>0</v>
      </c>
      <c r="L333">
        <v>0</v>
      </c>
    </row>
    <row r="334" spans="1:12" x14ac:dyDescent="0.25">
      <c r="A334" t="s">
        <v>632</v>
      </c>
      <c r="B334" t="s">
        <v>633</v>
      </c>
      <c r="C334" s="1">
        <v>45611</v>
      </c>
      <c r="D334" t="s">
        <v>14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62</v>
      </c>
      <c r="K334">
        <v>0</v>
      </c>
      <c r="L334">
        <v>0</v>
      </c>
    </row>
    <row r="335" spans="1:12" x14ac:dyDescent="0.25">
      <c r="A335" t="s">
        <v>634</v>
      </c>
      <c r="B335" t="s">
        <v>635</v>
      </c>
      <c r="C335" s="1">
        <v>45643</v>
      </c>
      <c r="D335" t="s">
        <v>47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62</v>
      </c>
      <c r="K335">
        <v>30</v>
      </c>
      <c r="L335">
        <v>0</v>
      </c>
    </row>
    <row r="336" spans="1:12" x14ac:dyDescent="0.25">
      <c r="A336" t="s">
        <v>636</v>
      </c>
      <c r="B336" t="s">
        <v>637</v>
      </c>
      <c r="C336" s="1">
        <v>45724</v>
      </c>
      <c r="D336" t="s">
        <v>33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62</v>
      </c>
      <c r="K336">
        <v>30</v>
      </c>
      <c r="L336">
        <v>0</v>
      </c>
    </row>
    <row r="337" spans="1:12" x14ac:dyDescent="0.25">
      <c r="A337" t="s">
        <v>638</v>
      </c>
      <c r="B337" t="s">
        <v>639</v>
      </c>
      <c r="C337" s="1">
        <v>45631</v>
      </c>
      <c r="D337" t="s">
        <v>36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27</v>
      </c>
      <c r="K337">
        <v>0</v>
      </c>
      <c r="L337">
        <v>0</v>
      </c>
    </row>
    <row r="338" spans="1:12" x14ac:dyDescent="0.25">
      <c r="A338" t="s">
        <v>640</v>
      </c>
      <c r="B338" t="s">
        <v>641</v>
      </c>
      <c r="C338" s="1">
        <v>45295</v>
      </c>
      <c r="D338" t="s">
        <v>30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27</v>
      </c>
      <c r="K338">
        <v>0</v>
      </c>
      <c r="L338">
        <v>0</v>
      </c>
    </row>
    <row r="339" spans="1:12" x14ac:dyDescent="0.25">
      <c r="A339" t="s">
        <v>642</v>
      </c>
      <c r="B339" t="s">
        <v>643</v>
      </c>
      <c r="C339" s="1">
        <v>45676</v>
      </c>
      <c r="D339" t="s">
        <v>14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15</v>
      </c>
      <c r="K339">
        <v>0</v>
      </c>
      <c r="L339">
        <v>0</v>
      </c>
    </row>
    <row r="340" spans="1:12" x14ac:dyDescent="0.25">
      <c r="A340" t="s">
        <v>644</v>
      </c>
      <c r="B340" t="s">
        <v>645</v>
      </c>
      <c r="C340" s="1">
        <v>45491</v>
      </c>
      <c r="D340" t="s">
        <v>36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62</v>
      </c>
      <c r="K340">
        <v>15</v>
      </c>
      <c r="L340">
        <v>0</v>
      </c>
    </row>
    <row r="341" spans="1:12" x14ac:dyDescent="0.25">
      <c r="A341" t="s">
        <v>646</v>
      </c>
      <c r="B341" t="s">
        <v>647</v>
      </c>
      <c r="C341" s="1">
        <v>45639</v>
      </c>
      <c r="D341" t="s">
        <v>38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27</v>
      </c>
      <c r="K341">
        <v>0</v>
      </c>
      <c r="L341">
        <v>0</v>
      </c>
    </row>
    <row r="342" spans="1:12" x14ac:dyDescent="0.25">
      <c r="A342" t="s">
        <v>648</v>
      </c>
      <c r="B342" t="s">
        <v>647</v>
      </c>
      <c r="C342" s="1">
        <v>45432</v>
      </c>
      <c r="D342" t="s">
        <v>33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27</v>
      </c>
      <c r="K342">
        <v>0</v>
      </c>
      <c r="L342">
        <v>0</v>
      </c>
    </row>
    <row r="343" spans="1:12" x14ac:dyDescent="0.25">
      <c r="A343" t="s">
        <v>649</v>
      </c>
      <c r="B343" t="s">
        <v>650</v>
      </c>
      <c r="C343" s="1">
        <v>45831</v>
      </c>
      <c r="D343" t="s">
        <v>24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62</v>
      </c>
      <c r="K343">
        <v>30</v>
      </c>
      <c r="L343">
        <v>0</v>
      </c>
    </row>
    <row r="344" spans="1:12" x14ac:dyDescent="0.25">
      <c r="A344" t="s">
        <v>651</v>
      </c>
      <c r="B344" t="s">
        <v>650</v>
      </c>
      <c r="C344" s="1">
        <v>45488</v>
      </c>
      <c r="D344" t="s">
        <v>36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27</v>
      </c>
      <c r="K344">
        <v>0</v>
      </c>
      <c r="L344">
        <v>0</v>
      </c>
    </row>
    <row r="345" spans="1:12" x14ac:dyDescent="0.25">
      <c r="A345" t="s">
        <v>652</v>
      </c>
      <c r="B345" t="s">
        <v>653</v>
      </c>
      <c r="C345" s="1">
        <v>45593</v>
      </c>
      <c r="D345" t="s">
        <v>38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27</v>
      </c>
      <c r="K345">
        <v>0</v>
      </c>
      <c r="L345">
        <v>0</v>
      </c>
    </row>
    <row r="346" spans="1:12" x14ac:dyDescent="0.25">
      <c r="A346" t="s">
        <v>654</v>
      </c>
      <c r="B346" t="s">
        <v>655</v>
      </c>
      <c r="C346" s="1">
        <v>45375</v>
      </c>
      <c r="D346" t="s">
        <v>33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62</v>
      </c>
      <c r="K346">
        <v>0</v>
      </c>
      <c r="L346">
        <v>0</v>
      </c>
    </row>
    <row r="347" spans="1:12" x14ac:dyDescent="0.25">
      <c r="A347" t="s">
        <v>656</v>
      </c>
      <c r="B347" t="s">
        <v>657</v>
      </c>
      <c r="C347" s="1">
        <v>45823</v>
      </c>
      <c r="D347" t="s">
        <v>17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27</v>
      </c>
      <c r="K347">
        <v>0</v>
      </c>
      <c r="L347">
        <v>0</v>
      </c>
    </row>
    <row r="348" spans="1:12" x14ac:dyDescent="0.25">
      <c r="A348" t="s">
        <v>658</v>
      </c>
      <c r="B348" t="s">
        <v>659</v>
      </c>
      <c r="C348" s="1">
        <v>45504</v>
      </c>
      <c r="D348" t="s">
        <v>14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15</v>
      </c>
      <c r="K348">
        <v>0</v>
      </c>
      <c r="L348">
        <v>0</v>
      </c>
    </row>
    <row r="349" spans="1:12" x14ac:dyDescent="0.25">
      <c r="A349" t="s">
        <v>660</v>
      </c>
      <c r="B349" t="s">
        <v>661</v>
      </c>
      <c r="C349" s="1">
        <v>45675</v>
      </c>
      <c r="D349" t="s">
        <v>24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18</v>
      </c>
      <c r="K349">
        <v>51</v>
      </c>
      <c r="L349">
        <v>1</v>
      </c>
    </row>
    <row r="350" spans="1:12" x14ac:dyDescent="0.25">
      <c r="A350" t="s">
        <v>662</v>
      </c>
      <c r="B350" t="s">
        <v>663</v>
      </c>
      <c r="C350" s="1">
        <v>45768</v>
      </c>
      <c r="D350" t="s">
        <v>36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27</v>
      </c>
      <c r="K350">
        <v>0</v>
      </c>
      <c r="L350">
        <v>0</v>
      </c>
    </row>
    <row r="351" spans="1:12" x14ac:dyDescent="0.25">
      <c r="A351" t="s">
        <v>664</v>
      </c>
      <c r="B351" t="s">
        <v>665</v>
      </c>
      <c r="C351" s="1">
        <v>45744</v>
      </c>
      <c r="D351" t="s">
        <v>30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18</v>
      </c>
      <c r="K351">
        <v>49</v>
      </c>
      <c r="L351">
        <v>1</v>
      </c>
    </row>
    <row r="352" spans="1:12" x14ac:dyDescent="0.25">
      <c r="A352" t="s">
        <v>666</v>
      </c>
      <c r="B352" t="s">
        <v>667</v>
      </c>
      <c r="C352" s="1">
        <v>45575</v>
      </c>
      <c r="D352" t="s">
        <v>36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27</v>
      </c>
      <c r="K352">
        <v>0</v>
      </c>
      <c r="L352">
        <v>0</v>
      </c>
    </row>
    <row r="353" spans="1:12" x14ac:dyDescent="0.25">
      <c r="A353" t="s">
        <v>668</v>
      </c>
      <c r="B353" t="s">
        <v>669</v>
      </c>
      <c r="C353" s="1">
        <v>45573</v>
      </c>
      <c r="D353" t="s">
        <v>38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18</v>
      </c>
      <c r="K353">
        <v>65</v>
      </c>
      <c r="L353">
        <v>1</v>
      </c>
    </row>
    <row r="354" spans="1:12" x14ac:dyDescent="0.25">
      <c r="A354" t="s">
        <v>670</v>
      </c>
      <c r="B354" t="s">
        <v>671</v>
      </c>
      <c r="C354" s="1">
        <v>45646</v>
      </c>
      <c r="D354" t="s">
        <v>21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27</v>
      </c>
      <c r="K354">
        <v>0</v>
      </c>
      <c r="L354">
        <v>0</v>
      </c>
    </row>
    <row r="355" spans="1:12" x14ac:dyDescent="0.25">
      <c r="A355" t="s">
        <v>672</v>
      </c>
      <c r="B355" t="s">
        <v>671</v>
      </c>
      <c r="C355" s="1">
        <v>45444</v>
      </c>
      <c r="D355" t="s">
        <v>47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15</v>
      </c>
      <c r="K355">
        <v>0</v>
      </c>
      <c r="L355">
        <v>0</v>
      </c>
    </row>
    <row r="356" spans="1:12" x14ac:dyDescent="0.25">
      <c r="A356" t="s">
        <v>673</v>
      </c>
      <c r="B356" t="s">
        <v>674</v>
      </c>
      <c r="C356" s="1">
        <v>45764</v>
      </c>
      <c r="D356" t="s">
        <v>38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15</v>
      </c>
      <c r="K356">
        <v>0</v>
      </c>
      <c r="L356">
        <v>0</v>
      </c>
    </row>
    <row r="357" spans="1:12" x14ac:dyDescent="0.25">
      <c r="A357" t="s">
        <v>675</v>
      </c>
      <c r="B357" t="s">
        <v>676</v>
      </c>
      <c r="C357" s="1">
        <v>45434</v>
      </c>
      <c r="D357" t="s">
        <v>17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15</v>
      </c>
      <c r="K357">
        <v>0</v>
      </c>
      <c r="L357">
        <v>0</v>
      </c>
    </row>
    <row r="358" spans="1:12" x14ac:dyDescent="0.25">
      <c r="A358" t="s">
        <v>677</v>
      </c>
      <c r="B358" t="s">
        <v>678</v>
      </c>
      <c r="C358" s="1">
        <v>45598</v>
      </c>
      <c r="D358" t="s">
        <v>30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15</v>
      </c>
      <c r="K358">
        <v>0</v>
      </c>
      <c r="L358">
        <v>0</v>
      </c>
    </row>
    <row r="359" spans="1:12" x14ac:dyDescent="0.25">
      <c r="A359" t="s">
        <v>679</v>
      </c>
      <c r="B359" t="s">
        <v>680</v>
      </c>
      <c r="C359" s="1">
        <v>45692</v>
      </c>
      <c r="D359" t="s">
        <v>33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27</v>
      </c>
      <c r="K359">
        <v>0</v>
      </c>
      <c r="L359">
        <v>0</v>
      </c>
    </row>
    <row r="360" spans="1:12" x14ac:dyDescent="0.25">
      <c r="A360" t="s">
        <v>681</v>
      </c>
      <c r="B360" t="s">
        <v>680</v>
      </c>
      <c r="C360" s="1">
        <v>45754</v>
      </c>
      <c r="D360" t="s">
        <v>21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27</v>
      </c>
      <c r="K360">
        <v>0</v>
      </c>
      <c r="L360">
        <v>0</v>
      </c>
    </row>
    <row r="361" spans="1:12" x14ac:dyDescent="0.25">
      <c r="A361" t="s">
        <v>682</v>
      </c>
      <c r="B361" t="s">
        <v>683</v>
      </c>
      <c r="C361" s="1">
        <v>45495</v>
      </c>
      <c r="D361" t="s">
        <v>33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18</v>
      </c>
      <c r="K361">
        <v>128</v>
      </c>
      <c r="L361">
        <v>1</v>
      </c>
    </row>
    <row r="362" spans="1:12" x14ac:dyDescent="0.25">
      <c r="A362" t="s">
        <v>684</v>
      </c>
      <c r="B362" t="s">
        <v>685</v>
      </c>
      <c r="C362" s="1">
        <v>45822</v>
      </c>
      <c r="D362" t="s">
        <v>38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18</v>
      </c>
      <c r="K362">
        <v>113</v>
      </c>
      <c r="L362">
        <v>1</v>
      </c>
    </row>
    <row r="363" spans="1:12" x14ac:dyDescent="0.25">
      <c r="A363" t="s">
        <v>686</v>
      </c>
      <c r="B363" t="s">
        <v>687</v>
      </c>
      <c r="C363" s="1">
        <v>45781</v>
      </c>
      <c r="D363" t="s">
        <v>17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15</v>
      </c>
      <c r="K363">
        <v>0</v>
      </c>
      <c r="L363">
        <v>0</v>
      </c>
    </row>
    <row r="364" spans="1:12" x14ac:dyDescent="0.25">
      <c r="A364" t="s">
        <v>688</v>
      </c>
      <c r="B364" t="s">
        <v>687</v>
      </c>
      <c r="C364" s="1">
        <v>45778</v>
      </c>
      <c r="D364" t="s">
        <v>38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18</v>
      </c>
      <c r="K364">
        <v>177</v>
      </c>
      <c r="L364">
        <v>1</v>
      </c>
    </row>
    <row r="365" spans="1:12" x14ac:dyDescent="0.25">
      <c r="A365" t="s">
        <v>689</v>
      </c>
      <c r="B365" t="s">
        <v>690</v>
      </c>
      <c r="C365" s="1">
        <v>45299</v>
      </c>
      <c r="D365" t="s">
        <v>47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15</v>
      </c>
      <c r="K365">
        <v>0</v>
      </c>
      <c r="L365">
        <v>0</v>
      </c>
    </row>
    <row r="366" spans="1:12" x14ac:dyDescent="0.25">
      <c r="A366" t="s">
        <v>691</v>
      </c>
      <c r="B366" t="s">
        <v>690</v>
      </c>
      <c r="C366" s="1">
        <v>45763</v>
      </c>
      <c r="D366" t="s">
        <v>47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27</v>
      </c>
      <c r="K366">
        <v>0</v>
      </c>
      <c r="L366">
        <v>0</v>
      </c>
    </row>
    <row r="367" spans="1:12" x14ac:dyDescent="0.25">
      <c r="A367" t="s">
        <v>692</v>
      </c>
      <c r="B367" t="s">
        <v>693</v>
      </c>
      <c r="C367" s="1">
        <v>45471</v>
      </c>
      <c r="D367" t="s">
        <v>14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18</v>
      </c>
      <c r="K367">
        <v>75</v>
      </c>
      <c r="L367">
        <v>1</v>
      </c>
    </row>
    <row r="368" spans="1:12" x14ac:dyDescent="0.25">
      <c r="A368" t="s">
        <v>694</v>
      </c>
      <c r="B368" t="s">
        <v>695</v>
      </c>
      <c r="C368" s="1">
        <v>45389</v>
      </c>
      <c r="D368" t="s">
        <v>17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62</v>
      </c>
      <c r="K368">
        <v>15</v>
      </c>
      <c r="L368">
        <v>0</v>
      </c>
    </row>
    <row r="369" spans="1:12" x14ac:dyDescent="0.25">
      <c r="A369" t="s">
        <v>696</v>
      </c>
      <c r="B369" t="s">
        <v>695</v>
      </c>
      <c r="C369" s="1">
        <v>45360</v>
      </c>
      <c r="D369" t="s">
        <v>33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27</v>
      </c>
      <c r="K369">
        <v>0</v>
      </c>
      <c r="L369">
        <v>0</v>
      </c>
    </row>
    <row r="370" spans="1:12" x14ac:dyDescent="0.25">
      <c r="A370" t="s">
        <v>697</v>
      </c>
      <c r="B370" t="s">
        <v>698</v>
      </c>
      <c r="C370" s="1">
        <v>45625</v>
      </c>
      <c r="D370" t="s">
        <v>21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27</v>
      </c>
      <c r="K370">
        <v>0</v>
      </c>
      <c r="L370">
        <v>0</v>
      </c>
    </row>
    <row r="371" spans="1:12" x14ac:dyDescent="0.25">
      <c r="A371" t="s">
        <v>699</v>
      </c>
      <c r="B371" t="s">
        <v>700</v>
      </c>
      <c r="C371" s="1">
        <v>45700</v>
      </c>
      <c r="D371" t="s">
        <v>41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27</v>
      </c>
      <c r="K371">
        <v>0</v>
      </c>
      <c r="L371">
        <v>0</v>
      </c>
    </row>
    <row r="372" spans="1:12" x14ac:dyDescent="0.25">
      <c r="A372" t="s">
        <v>701</v>
      </c>
      <c r="B372" t="s">
        <v>702</v>
      </c>
      <c r="C372" s="1">
        <v>45376</v>
      </c>
      <c r="D372" t="s">
        <v>33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15</v>
      </c>
      <c r="K372">
        <v>0</v>
      </c>
      <c r="L372">
        <v>0</v>
      </c>
    </row>
    <row r="373" spans="1:12" x14ac:dyDescent="0.25">
      <c r="A373" t="s">
        <v>703</v>
      </c>
      <c r="B373" t="s">
        <v>704</v>
      </c>
      <c r="C373" s="1">
        <v>45473</v>
      </c>
      <c r="D373" t="s">
        <v>24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18</v>
      </c>
      <c r="K373">
        <v>166</v>
      </c>
      <c r="L373">
        <v>1</v>
      </c>
    </row>
    <row r="374" spans="1:12" x14ac:dyDescent="0.25">
      <c r="A374" t="s">
        <v>705</v>
      </c>
      <c r="B374" t="s">
        <v>706</v>
      </c>
      <c r="C374" s="1">
        <v>45658</v>
      </c>
      <c r="D374" t="s">
        <v>33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15</v>
      </c>
      <c r="K374">
        <v>0</v>
      </c>
      <c r="L374">
        <v>0</v>
      </c>
    </row>
    <row r="375" spans="1:12" x14ac:dyDescent="0.25">
      <c r="A375" t="s">
        <v>707</v>
      </c>
      <c r="B375" t="s">
        <v>708</v>
      </c>
      <c r="C375" s="1">
        <v>45397</v>
      </c>
      <c r="D375" t="s">
        <v>14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18</v>
      </c>
      <c r="K375">
        <v>108</v>
      </c>
      <c r="L375">
        <v>1</v>
      </c>
    </row>
    <row r="376" spans="1:12" x14ac:dyDescent="0.25">
      <c r="A376" t="s">
        <v>709</v>
      </c>
      <c r="B376" t="s">
        <v>710</v>
      </c>
      <c r="C376" s="1">
        <v>45675</v>
      </c>
      <c r="D376" t="s">
        <v>47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27</v>
      </c>
      <c r="K376">
        <v>0</v>
      </c>
      <c r="L376">
        <v>0</v>
      </c>
    </row>
    <row r="377" spans="1:12" x14ac:dyDescent="0.25">
      <c r="A377" t="s">
        <v>711</v>
      </c>
      <c r="B377" t="s">
        <v>712</v>
      </c>
      <c r="C377" s="1">
        <v>45390</v>
      </c>
      <c r="D377" t="s">
        <v>41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27</v>
      </c>
      <c r="K377">
        <v>0</v>
      </c>
      <c r="L377">
        <v>0</v>
      </c>
    </row>
    <row r="378" spans="1:12" x14ac:dyDescent="0.25">
      <c r="A378" t="s">
        <v>713</v>
      </c>
      <c r="B378" t="s">
        <v>714</v>
      </c>
      <c r="C378" s="1">
        <v>45486</v>
      </c>
      <c r="D378" t="s">
        <v>17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62</v>
      </c>
      <c r="K378">
        <v>15</v>
      </c>
      <c r="L378">
        <v>0</v>
      </c>
    </row>
    <row r="379" spans="1:12" x14ac:dyDescent="0.25">
      <c r="A379" t="s">
        <v>715</v>
      </c>
      <c r="B379" t="s">
        <v>716</v>
      </c>
      <c r="C379" s="1">
        <v>45615</v>
      </c>
      <c r="D379" t="s">
        <v>38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18</v>
      </c>
      <c r="K379">
        <v>84</v>
      </c>
      <c r="L379">
        <v>1</v>
      </c>
    </row>
    <row r="380" spans="1:12" x14ac:dyDescent="0.25">
      <c r="A380" t="s">
        <v>717</v>
      </c>
      <c r="B380" t="s">
        <v>718</v>
      </c>
      <c r="C380" s="1">
        <v>45360</v>
      </c>
      <c r="D380" t="s">
        <v>36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15</v>
      </c>
      <c r="K380">
        <v>0</v>
      </c>
      <c r="L380">
        <v>0</v>
      </c>
    </row>
    <row r="381" spans="1:12" x14ac:dyDescent="0.25">
      <c r="A381" t="s">
        <v>719</v>
      </c>
      <c r="B381" t="s">
        <v>720</v>
      </c>
      <c r="C381" s="1">
        <v>45389</v>
      </c>
      <c r="D381" t="s">
        <v>36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62</v>
      </c>
      <c r="K381">
        <v>30</v>
      </c>
      <c r="L381">
        <v>0</v>
      </c>
    </row>
    <row r="382" spans="1:12" x14ac:dyDescent="0.25">
      <c r="A382" t="s">
        <v>721</v>
      </c>
      <c r="B382" t="s">
        <v>722</v>
      </c>
      <c r="C382" s="1">
        <v>45785</v>
      </c>
      <c r="D382" t="s">
        <v>33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18</v>
      </c>
      <c r="K382">
        <v>34</v>
      </c>
      <c r="L382">
        <v>1</v>
      </c>
    </row>
    <row r="383" spans="1:12" x14ac:dyDescent="0.25">
      <c r="A383" t="s">
        <v>723</v>
      </c>
      <c r="B383" t="s">
        <v>724</v>
      </c>
      <c r="C383" s="1">
        <v>45305</v>
      </c>
      <c r="D383" t="s">
        <v>47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18</v>
      </c>
      <c r="K383">
        <v>61</v>
      </c>
      <c r="L383">
        <v>1</v>
      </c>
    </row>
    <row r="384" spans="1:12" x14ac:dyDescent="0.25">
      <c r="A384" t="s">
        <v>725</v>
      </c>
      <c r="B384" t="s">
        <v>726</v>
      </c>
      <c r="C384" s="1">
        <v>45802</v>
      </c>
      <c r="D384" t="s">
        <v>17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27</v>
      </c>
      <c r="K384">
        <v>0</v>
      </c>
      <c r="L384">
        <v>0</v>
      </c>
    </row>
    <row r="385" spans="1:12" x14ac:dyDescent="0.25">
      <c r="A385" t="s">
        <v>727</v>
      </c>
      <c r="B385" t="s">
        <v>728</v>
      </c>
      <c r="C385" s="1">
        <v>45617</v>
      </c>
      <c r="D385" t="s">
        <v>47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27</v>
      </c>
      <c r="K385">
        <v>0</v>
      </c>
      <c r="L385">
        <v>0</v>
      </c>
    </row>
    <row r="386" spans="1:12" x14ac:dyDescent="0.25">
      <c r="A386" t="s">
        <v>729</v>
      </c>
      <c r="B386" t="s">
        <v>730</v>
      </c>
      <c r="C386" s="1">
        <v>45502</v>
      </c>
      <c r="D386" t="s">
        <v>24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62</v>
      </c>
      <c r="K386">
        <v>15</v>
      </c>
      <c r="L386">
        <v>0</v>
      </c>
    </row>
    <row r="387" spans="1:12" x14ac:dyDescent="0.25">
      <c r="A387" t="s">
        <v>731</v>
      </c>
      <c r="B387" t="s">
        <v>730</v>
      </c>
      <c r="C387" s="1">
        <v>45682</v>
      </c>
      <c r="D387" t="s">
        <v>38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62</v>
      </c>
      <c r="K387">
        <v>0</v>
      </c>
      <c r="L387">
        <v>0</v>
      </c>
    </row>
    <row r="388" spans="1:12" x14ac:dyDescent="0.25">
      <c r="A388" t="s">
        <v>732</v>
      </c>
      <c r="B388" t="s">
        <v>733</v>
      </c>
      <c r="C388" s="1">
        <v>45420</v>
      </c>
      <c r="D388" t="s">
        <v>14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18</v>
      </c>
      <c r="K388">
        <v>170</v>
      </c>
      <c r="L388">
        <v>1</v>
      </c>
    </row>
    <row r="389" spans="1:12" x14ac:dyDescent="0.25">
      <c r="A389" t="s">
        <v>734</v>
      </c>
      <c r="B389" t="s">
        <v>735</v>
      </c>
      <c r="C389" s="1">
        <v>45494</v>
      </c>
      <c r="D389" t="s">
        <v>38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18</v>
      </c>
      <c r="K389">
        <v>75</v>
      </c>
      <c r="L389">
        <v>1</v>
      </c>
    </row>
    <row r="390" spans="1:12" x14ac:dyDescent="0.25">
      <c r="A390" t="s">
        <v>736</v>
      </c>
      <c r="B390" t="s">
        <v>735</v>
      </c>
      <c r="C390" s="1">
        <v>45498</v>
      </c>
      <c r="D390" t="s">
        <v>47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18</v>
      </c>
      <c r="K390">
        <v>153</v>
      </c>
      <c r="L390">
        <v>1</v>
      </c>
    </row>
    <row r="391" spans="1:12" x14ac:dyDescent="0.25">
      <c r="A391" t="s">
        <v>737</v>
      </c>
      <c r="B391" t="s">
        <v>738</v>
      </c>
      <c r="C391" s="1">
        <v>45735</v>
      </c>
      <c r="D391" t="s">
        <v>30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15</v>
      </c>
      <c r="K391">
        <v>0</v>
      </c>
      <c r="L391">
        <v>0</v>
      </c>
    </row>
    <row r="392" spans="1:12" x14ac:dyDescent="0.25">
      <c r="A392" t="s">
        <v>739</v>
      </c>
      <c r="B392" t="s">
        <v>740</v>
      </c>
      <c r="C392" s="1">
        <v>45448</v>
      </c>
      <c r="D392" t="s">
        <v>17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27</v>
      </c>
      <c r="K392">
        <v>0</v>
      </c>
      <c r="L392">
        <v>0</v>
      </c>
    </row>
    <row r="393" spans="1:12" x14ac:dyDescent="0.25">
      <c r="A393" t="s">
        <v>741</v>
      </c>
      <c r="B393" t="s">
        <v>742</v>
      </c>
      <c r="C393" s="1">
        <v>45772</v>
      </c>
      <c r="D393" t="s">
        <v>24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18</v>
      </c>
      <c r="K393">
        <v>78</v>
      </c>
      <c r="L393">
        <v>1</v>
      </c>
    </row>
    <row r="394" spans="1:12" x14ac:dyDescent="0.25">
      <c r="A394" t="s">
        <v>743</v>
      </c>
      <c r="B394" t="s">
        <v>744</v>
      </c>
      <c r="C394" s="1">
        <v>45696</v>
      </c>
      <c r="D394" t="s">
        <v>21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27</v>
      </c>
      <c r="K394">
        <v>0</v>
      </c>
      <c r="L394">
        <v>0</v>
      </c>
    </row>
    <row r="395" spans="1:12" x14ac:dyDescent="0.25">
      <c r="A395" t="s">
        <v>745</v>
      </c>
      <c r="B395" t="s">
        <v>746</v>
      </c>
      <c r="C395" s="1">
        <v>45458</v>
      </c>
      <c r="D395" t="s">
        <v>47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18</v>
      </c>
      <c r="K395">
        <v>141</v>
      </c>
      <c r="L395">
        <v>1</v>
      </c>
    </row>
    <row r="396" spans="1:12" x14ac:dyDescent="0.25">
      <c r="A396" t="s">
        <v>747</v>
      </c>
      <c r="B396" t="s">
        <v>748</v>
      </c>
      <c r="C396" s="1">
        <v>45686</v>
      </c>
      <c r="D396" t="s">
        <v>30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27</v>
      </c>
      <c r="K396">
        <v>0</v>
      </c>
      <c r="L396">
        <v>0</v>
      </c>
    </row>
    <row r="397" spans="1:12" x14ac:dyDescent="0.25">
      <c r="A397" t="s">
        <v>749</v>
      </c>
      <c r="B397" t="s">
        <v>748</v>
      </c>
      <c r="C397" s="1">
        <v>45443</v>
      </c>
      <c r="D397" t="s">
        <v>41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62</v>
      </c>
      <c r="K397">
        <v>0</v>
      </c>
      <c r="L397">
        <v>0</v>
      </c>
    </row>
    <row r="398" spans="1:12" x14ac:dyDescent="0.25">
      <c r="A398" t="s">
        <v>750</v>
      </c>
      <c r="B398" t="s">
        <v>751</v>
      </c>
      <c r="C398" s="1">
        <v>45386</v>
      </c>
      <c r="D398" t="s">
        <v>47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62</v>
      </c>
      <c r="K398">
        <v>15</v>
      </c>
      <c r="L398">
        <v>0</v>
      </c>
    </row>
    <row r="399" spans="1:12" x14ac:dyDescent="0.25">
      <c r="A399" t="s">
        <v>752</v>
      </c>
      <c r="B399" t="s">
        <v>753</v>
      </c>
      <c r="C399" s="1">
        <v>45729</v>
      </c>
      <c r="D399" t="s">
        <v>36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18</v>
      </c>
      <c r="K399">
        <v>107</v>
      </c>
      <c r="L399">
        <v>1</v>
      </c>
    </row>
    <row r="400" spans="1:12" x14ac:dyDescent="0.25">
      <c r="A400" t="s">
        <v>754</v>
      </c>
      <c r="B400" t="s">
        <v>755</v>
      </c>
      <c r="C400" s="1">
        <v>45383</v>
      </c>
      <c r="D400" t="s">
        <v>21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18</v>
      </c>
      <c r="K400">
        <v>176</v>
      </c>
      <c r="L400">
        <v>1</v>
      </c>
    </row>
    <row r="401" spans="1:12" x14ac:dyDescent="0.25">
      <c r="A401" t="s">
        <v>756</v>
      </c>
      <c r="B401" t="s">
        <v>757</v>
      </c>
      <c r="C401" s="1">
        <v>45699</v>
      </c>
      <c r="D401" t="s">
        <v>30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27</v>
      </c>
      <c r="K401">
        <v>0</v>
      </c>
      <c r="L401">
        <v>0</v>
      </c>
    </row>
    <row r="402" spans="1:12" x14ac:dyDescent="0.25">
      <c r="A402" t="s">
        <v>758</v>
      </c>
      <c r="B402" t="s">
        <v>759</v>
      </c>
      <c r="C402" s="1">
        <v>45587</v>
      </c>
      <c r="D402" t="s">
        <v>36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27</v>
      </c>
      <c r="K402">
        <v>0</v>
      </c>
      <c r="L402">
        <v>0</v>
      </c>
    </row>
    <row r="403" spans="1:12" x14ac:dyDescent="0.25">
      <c r="A403" t="s">
        <v>760</v>
      </c>
      <c r="B403" t="s">
        <v>761</v>
      </c>
      <c r="C403" s="1">
        <v>45509</v>
      </c>
      <c r="D403" t="s">
        <v>38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18</v>
      </c>
      <c r="K403">
        <v>45</v>
      </c>
      <c r="L403">
        <v>1</v>
      </c>
    </row>
    <row r="404" spans="1:12" x14ac:dyDescent="0.25">
      <c r="A404" t="s">
        <v>762</v>
      </c>
      <c r="B404" t="s">
        <v>763</v>
      </c>
      <c r="C404" s="1">
        <v>45403</v>
      </c>
      <c r="D404" t="s">
        <v>38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27</v>
      </c>
      <c r="K404">
        <v>0</v>
      </c>
      <c r="L404">
        <v>0</v>
      </c>
    </row>
    <row r="405" spans="1:12" x14ac:dyDescent="0.25">
      <c r="A405" t="s">
        <v>764</v>
      </c>
      <c r="B405" t="s">
        <v>765</v>
      </c>
      <c r="C405" s="1">
        <v>45395</v>
      </c>
      <c r="D405" t="s">
        <v>24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18</v>
      </c>
      <c r="K405">
        <v>98</v>
      </c>
      <c r="L405">
        <v>1</v>
      </c>
    </row>
    <row r="406" spans="1:12" x14ac:dyDescent="0.25">
      <c r="A406" t="s">
        <v>766</v>
      </c>
      <c r="B406" t="s">
        <v>767</v>
      </c>
      <c r="C406" s="1">
        <v>45826</v>
      </c>
      <c r="D406" t="s">
        <v>41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27</v>
      </c>
      <c r="K406">
        <v>0</v>
      </c>
      <c r="L406">
        <v>0</v>
      </c>
    </row>
    <row r="407" spans="1:12" x14ac:dyDescent="0.25">
      <c r="A407" t="s">
        <v>768</v>
      </c>
      <c r="B407" t="s">
        <v>769</v>
      </c>
      <c r="C407" s="1">
        <v>45636</v>
      </c>
      <c r="D407" t="s">
        <v>24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62</v>
      </c>
      <c r="K407">
        <v>15</v>
      </c>
      <c r="L407">
        <v>0</v>
      </c>
    </row>
    <row r="408" spans="1:12" x14ac:dyDescent="0.25">
      <c r="A408" t="s">
        <v>770</v>
      </c>
      <c r="B408" t="s">
        <v>769</v>
      </c>
      <c r="C408" s="1">
        <v>45656</v>
      </c>
      <c r="D408" t="s">
        <v>38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27</v>
      </c>
      <c r="K408">
        <v>0</v>
      </c>
      <c r="L408">
        <v>0</v>
      </c>
    </row>
    <row r="409" spans="1:12" x14ac:dyDescent="0.25">
      <c r="A409" t="s">
        <v>771</v>
      </c>
      <c r="B409" t="s">
        <v>772</v>
      </c>
      <c r="C409" s="1">
        <v>45417</v>
      </c>
      <c r="D409" t="s">
        <v>17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62</v>
      </c>
      <c r="K409">
        <v>0</v>
      </c>
      <c r="L409">
        <v>0</v>
      </c>
    </row>
    <row r="410" spans="1:12" x14ac:dyDescent="0.25">
      <c r="A410" t="s">
        <v>773</v>
      </c>
      <c r="B410" t="s">
        <v>772</v>
      </c>
      <c r="C410" s="1">
        <v>45484</v>
      </c>
      <c r="D410" t="s">
        <v>38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18</v>
      </c>
      <c r="K410">
        <v>112</v>
      </c>
      <c r="L410">
        <v>1</v>
      </c>
    </row>
    <row r="411" spans="1:12" x14ac:dyDescent="0.25">
      <c r="A411" t="s">
        <v>774</v>
      </c>
      <c r="B411" t="s">
        <v>775</v>
      </c>
      <c r="C411" s="1">
        <v>45531</v>
      </c>
      <c r="D411" t="s">
        <v>30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62</v>
      </c>
      <c r="K411">
        <v>0</v>
      </c>
      <c r="L411">
        <v>0</v>
      </c>
    </row>
    <row r="412" spans="1:12" x14ac:dyDescent="0.25">
      <c r="A412" t="s">
        <v>776</v>
      </c>
      <c r="B412" t="s">
        <v>777</v>
      </c>
      <c r="C412" s="1">
        <v>45394</v>
      </c>
      <c r="D412" t="s">
        <v>17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27</v>
      </c>
      <c r="K412">
        <v>0</v>
      </c>
      <c r="L412">
        <v>0</v>
      </c>
    </row>
    <row r="413" spans="1:12" x14ac:dyDescent="0.25">
      <c r="A413" t="s">
        <v>778</v>
      </c>
      <c r="B413" t="s">
        <v>779</v>
      </c>
      <c r="C413" s="1">
        <v>45801</v>
      </c>
      <c r="D413" t="s">
        <v>21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62</v>
      </c>
      <c r="K413">
        <v>0</v>
      </c>
      <c r="L413">
        <v>0</v>
      </c>
    </row>
    <row r="414" spans="1:12" x14ac:dyDescent="0.25">
      <c r="A414" t="s">
        <v>780</v>
      </c>
      <c r="B414" t="s">
        <v>781</v>
      </c>
      <c r="C414" s="1">
        <v>45538</v>
      </c>
      <c r="D414" t="s">
        <v>14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15</v>
      </c>
      <c r="K414">
        <v>0</v>
      </c>
      <c r="L414">
        <v>0</v>
      </c>
    </row>
    <row r="415" spans="1:12" x14ac:dyDescent="0.25">
      <c r="A415" t="s">
        <v>782</v>
      </c>
      <c r="B415" t="s">
        <v>783</v>
      </c>
      <c r="C415" s="1">
        <v>45626</v>
      </c>
      <c r="D415" t="s">
        <v>36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27</v>
      </c>
      <c r="K415">
        <v>0</v>
      </c>
      <c r="L415">
        <v>0</v>
      </c>
    </row>
    <row r="416" spans="1:12" x14ac:dyDescent="0.25">
      <c r="A416" t="s">
        <v>784</v>
      </c>
      <c r="B416" t="s">
        <v>785</v>
      </c>
      <c r="C416" s="1">
        <v>45795</v>
      </c>
      <c r="D416" t="s">
        <v>14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18</v>
      </c>
      <c r="K416">
        <v>115</v>
      </c>
      <c r="L416">
        <v>1</v>
      </c>
    </row>
    <row r="417" spans="1:12" x14ac:dyDescent="0.25">
      <c r="A417" t="s">
        <v>786</v>
      </c>
      <c r="B417" t="s">
        <v>787</v>
      </c>
      <c r="C417" s="1">
        <v>45682</v>
      </c>
      <c r="D417" t="s">
        <v>47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15</v>
      </c>
      <c r="K417">
        <v>0</v>
      </c>
      <c r="L417">
        <v>0</v>
      </c>
    </row>
    <row r="418" spans="1:12" x14ac:dyDescent="0.25">
      <c r="A418" t="s">
        <v>788</v>
      </c>
      <c r="B418" t="s">
        <v>787</v>
      </c>
      <c r="C418" s="1">
        <v>45406</v>
      </c>
      <c r="D418" t="s">
        <v>17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18</v>
      </c>
      <c r="K418">
        <v>78</v>
      </c>
      <c r="L418">
        <v>1</v>
      </c>
    </row>
    <row r="419" spans="1:12" x14ac:dyDescent="0.25">
      <c r="A419" t="s">
        <v>789</v>
      </c>
      <c r="B419" t="s">
        <v>790</v>
      </c>
      <c r="C419" s="1">
        <v>45293</v>
      </c>
      <c r="D419" t="s">
        <v>36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27</v>
      </c>
      <c r="K419">
        <v>0</v>
      </c>
      <c r="L419">
        <v>0</v>
      </c>
    </row>
    <row r="420" spans="1:12" x14ac:dyDescent="0.25">
      <c r="A420" t="s">
        <v>791</v>
      </c>
      <c r="B420" t="s">
        <v>792</v>
      </c>
      <c r="C420" s="1">
        <v>45519</v>
      </c>
      <c r="D420" t="s">
        <v>17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18</v>
      </c>
      <c r="K420">
        <v>32</v>
      </c>
      <c r="L420">
        <v>1</v>
      </c>
    </row>
    <row r="421" spans="1:12" x14ac:dyDescent="0.25">
      <c r="A421" t="s">
        <v>793</v>
      </c>
      <c r="B421" t="s">
        <v>794</v>
      </c>
      <c r="C421" s="1">
        <v>45803</v>
      </c>
      <c r="D421" t="s">
        <v>14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27</v>
      </c>
      <c r="K421">
        <v>0</v>
      </c>
      <c r="L421">
        <v>0</v>
      </c>
    </row>
    <row r="422" spans="1:12" x14ac:dyDescent="0.25">
      <c r="A422" t="s">
        <v>795</v>
      </c>
      <c r="B422" t="s">
        <v>796</v>
      </c>
      <c r="C422" s="1">
        <v>45781</v>
      </c>
      <c r="D422" t="s">
        <v>41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27</v>
      </c>
      <c r="K422">
        <v>0</v>
      </c>
      <c r="L422">
        <v>0</v>
      </c>
    </row>
    <row r="423" spans="1:12" x14ac:dyDescent="0.25">
      <c r="A423" t="s">
        <v>797</v>
      </c>
      <c r="B423" t="s">
        <v>798</v>
      </c>
      <c r="C423" s="1">
        <v>45522</v>
      </c>
      <c r="D423" t="s">
        <v>41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15</v>
      </c>
      <c r="K423">
        <v>0</v>
      </c>
      <c r="L423">
        <v>0</v>
      </c>
    </row>
    <row r="424" spans="1:12" x14ac:dyDescent="0.25">
      <c r="A424" t="s">
        <v>799</v>
      </c>
      <c r="B424" t="s">
        <v>798</v>
      </c>
      <c r="C424" s="1">
        <v>45455</v>
      </c>
      <c r="D424" t="s">
        <v>33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27</v>
      </c>
      <c r="K424">
        <v>0</v>
      </c>
      <c r="L424">
        <v>0</v>
      </c>
    </row>
    <row r="425" spans="1:12" x14ac:dyDescent="0.25">
      <c r="A425" t="s">
        <v>800</v>
      </c>
      <c r="B425" t="s">
        <v>801</v>
      </c>
      <c r="C425" s="1">
        <v>45581</v>
      </c>
      <c r="D425" t="s">
        <v>30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15</v>
      </c>
      <c r="K425">
        <v>0</v>
      </c>
      <c r="L425">
        <v>0</v>
      </c>
    </row>
    <row r="426" spans="1:12" x14ac:dyDescent="0.25">
      <c r="A426" t="s">
        <v>802</v>
      </c>
      <c r="B426" t="s">
        <v>803</v>
      </c>
      <c r="C426" s="1">
        <v>45603</v>
      </c>
      <c r="D426" t="s">
        <v>33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27</v>
      </c>
      <c r="K426">
        <v>0</v>
      </c>
      <c r="L426">
        <v>0</v>
      </c>
    </row>
    <row r="427" spans="1:12" x14ac:dyDescent="0.25">
      <c r="A427" t="s">
        <v>804</v>
      </c>
      <c r="B427" t="s">
        <v>805</v>
      </c>
      <c r="C427" s="1">
        <v>45301</v>
      </c>
      <c r="D427" t="s">
        <v>24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62</v>
      </c>
      <c r="K427">
        <v>15</v>
      </c>
      <c r="L427">
        <v>0</v>
      </c>
    </row>
    <row r="428" spans="1:12" x14ac:dyDescent="0.25">
      <c r="A428" t="s">
        <v>806</v>
      </c>
      <c r="B428" t="s">
        <v>807</v>
      </c>
      <c r="C428" s="1">
        <v>45390</v>
      </c>
      <c r="D428" t="s">
        <v>33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18</v>
      </c>
      <c r="K428">
        <v>151</v>
      </c>
      <c r="L428">
        <v>1</v>
      </c>
    </row>
    <row r="429" spans="1:12" x14ac:dyDescent="0.25">
      <c r="A429" t="s">
        <v>808</v>
      </c>
      <c r="B429" t="s">
        <v>809</v>
      </c>
      <c r="C429" s="1">
        <v>45444</v>
      </c>
      <c r="D429" t="s">
        <v>41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27</v>
      </c>
      <c r="K429">
        <v>0</v>
      </c>
      <c r="L429">
        <v>0</v>
      </c>
    </row>
    <row r="430" spans="1:12" x14ac:dyDescent="0.25">
      <c r="A430" t="s">
        <v>810</v>
      </c>
      <c r="B430" t="s">
        <v>811</v>
      </c>
      <c r="C430" s="1">
        <v>45676</v>
      </c>
      <c r="D430" t="s">
        <v>14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62</v>
      </c>
      <c r="K430">
        <v>30</v>
      </c>
      <c r="L430">
        <v>0</v>
      </c>
    </row>
    <row r="431" spans="1:12" x14ac:dyDescent="0.25">
      <c r="A431" t="s">
        <v>812</v>
      </c>
      <c r="B431" t="s">
        <v>813</v>
      </c>
      <c r="C431" s="1">
        <v>45747</v>
      </c>
      <c r="D431" t="s">
        <v>14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27</v>
      </c>
      <c r="K431">
        <v>0</v>
      </c>
      <c r="L431">
        <v>0</v>
      </c>
    </row>
    <row r="432" spans="1:12" x14ac:dyDescent="0.25">
      <c r="A432" t="s">
        <v>814</v>
      </c>
      <c r="B432" t="s">
        <v>815</v>
      </c>
      <c r="C432" s="1">
        <v>45388</v>
      </c>
      <c r="D432" t="s">
        <v>21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27</v>
      </c>
      <c r="K432">
        <v>0</v>
      </c>
      <c r="L432">
        <v>0</v>
      </c>
    </row>
    <row r="433" spans="1:12" x14ac:dyDescent="0.25">
      <c r="A433" t="s">
        <v>816</v>
      </c>
      <c r="B433" t="s">
        <v>817</v>
      </c>
      <c r="C433" s="1">
        <v>45481</v>
      </c>
      <c r="D433" t="s">
        <v>17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27</v>
      </c>
      <c r="K433">
        <v>0</v>
      </c>
      <c r="L433">
        <v>0</v>
      </c>
    </row>
    <row r="434" spans="1:12" x14ac:dyDescent="0.25">
      <c r="A434" t="s">
        <v>818</v>
      </c>
      <c r="B434" t="s">
        <v>819</v>
      </c>
      <c r="C434" s="1">
        <v>45419</v>
      </c>
      <c r="D434" t="s">
        <v>21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62</v>
      </c>
      <c r="K434">
        <v>0</v>
      </c>
      <c r="L434">
        <v>0</v>
      </c>
    </row>
    <row r="435" spans="1:12" x14ac:dyDescent="0.25">
      <c r="A435" t="s">
        <v>820</v>
      </c>
      <c r="B435" t="s">
        <v>819</v>
      </c>
      <c r="C435" s="1">
        <v>45749</v>
      </c>
      <c r="D435" t="s">
        <v>36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27</v>
      </c>
      <c r="K435">
        <v>0</v>
      </c>
      <c r="L435">
        <v>0</v>
      </c>
    </row>
    <row r="436" spans="1:12" x14ac:dyDescent="0.25">
      <c r="A436" t="s">
        <v>821</v>
      </c>
      <c r="B436" t="s">
        <v>822</v>
      </c>
      <c r="C436" s="1">
        <v>45419</v>
      </c>
      <c r="D436" t="s">
        <v>33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27</v>
      </c>
      <c r="K436">
        <v>0</v>
      </c>
      <c r="L436">
        <v>0</v>
      </c>
    </row>
    <row r="437" spans="1:12" x14ac:dyDescent="0.25">
      <c r="A437" t="s">
        <v>823</v>
      </c>
      <c r="B437" t="s">
        <v>824</v>
      </c>
      <c r="C437" s="1">
        <v>45592</v>
      </c>
      <c r="D437" t="s">
        <v>41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27</v>
      </c>
      <c r="K437">
        <v>0</v>
      </c>
      <c r="L437">
        <v>0</v>
      </c>
    </row>
    <row r="438" spans="1:12" x14ac:dyDescent="0.25">
      <c r="A438" t="s">
        <v>825</v>
      </c>
      <c r="B438" t="s">
        <v>826</v>
      </c>
      <c r="C438" s="1">
        <v>45506</v>
      </c>
      <c r="D438" t="s">
        <v>21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27</v>
      </c>
      <c r="K438">
        <v>0</v>
      </c>
      <c r="L438">
        <v>0</v>
      </c>
    </row>
    <row r="439" spans="1:12" x14ac:dyDescent="0.25">
      <c r="A439" t="s">
        <v>827</v>
      </c>
      <c r="B439" t="s">
        <v>828</v>
      </c>
      <c r="C439" s="1">
        <v>45513</v>
      </c>
      <c r="D439" t="s">
        <v>33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15</v>
      </c>
      <c r="K439">
        <v>0</v>
      </c>
      <c r="L439">
        <v>0</v>
      </c>
    </row>
    <row r="440" spans="1:12" x14ac:dyDescent="0.25">
      <c r="A440" t="s">
        <v>829</v>
      </c>
      <c r="B440" t="s">
        <v>830</v>
      </c>
      <c r="C440" s="1">
        <v>45377</v>
      </c>
      <c r="D440" t="s">
        <v>21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15</v>
      </c>
      <c r="K440">
        <v>0</v>
      </c>
      <c r="L440">
        <v>0</v>
      </c>
    </row>
    <row r="441" spans="1:12" x14ac:dyDescent="0.25">
      <c r="A441" t="s">
        <v>831</v>
      </c>
      <c r="B441" t="s">
        <v>832</v>
      </c>
      <c r="C441" s="1">
        <v>45815</v>
      </c>
      <c r="D441" t="s">
        <v>38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27</v>
      </c>
      <c r="K441">
        <v>0</v>
      </c>
      <c r="L441">
        <v>0</v>
      </c>
    </row>
    <row r="442" spans="1:12" x14ac:dyDescent="0.25">
      <c r="A442" t="s">
        <v>833</v>
      </c>
      <c r="B442" t="s">
        <v>834</v>
      </c>
      <c r="C442" s="1">
        <v>45419</v>
      </c>
      <c r="D442" t="s">
        <v>17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27</v>
      </c>
      <c r="K442">
        <v>0</v>
      </c>
      <c r="L442">
        <v>0</v>
      </c>
    </row>
    <row r="443" spans="1:12" x14ac:dyDescent="0.25">
      <c r="A443" t="s">
        <v>835</v>
      </c>
      <c r="B443" t="s">
        <v>834</v>
      </c>
      <c r="C443" s="1">
        <v>45441</v>
      </c>
      <c r="D443" t="s">
        <v>30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27</v>
      </c>
      <c r="K443">
        <v>0</v>
      </c>
      <c r="L443">
        <v>0</v>
      </c>
    </row>
    <row r="444" spans="1:12" x14ac:dyDescent="0.25">
      <c r="A444" t="s">
        <v>836</v>
      </c>
      <c r="B444" t="s">
        <v>837</v>
      </c>
      <c r="C444" s="1">
        <v>45605</v>
      </c>
      <c r="D444" t="s">
        <v>38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27</v>
      </c>
      <c r="K444">
        <v>0</v>
      </c>
      <c r="L444">
        <v>0</v>
      </c>
    </row>
    <row r="445" spans="1:12" x14ac:dyDescent="0.25">
      <c r="A445" t="s">
        <v>838</v>
      </c>
      <c r="B445" t="s">
        <v>839</v>
      </c>
      <c r="C445" s="1">
        <v>45341</v>
      </c>
      <c r="D445" t="s">
        <v>47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18</v>
      </c>
      <c r="K445">
        <v>129</v>
      </c>
      <c r="L445">
        <v>1</v>
      </c>
    </row>
    <row r="446" spans="1:12" x14ac:dyDescent="0.25">
      <c r="A446" t="s">
        <v>840</v>
      </c>
      <c r="B446" t="s">
        <v>841</v>
      </c>
      <c r="C446" s="1">
        <v>45422</v>
      </c>
      <c r="D446" t="s">
        <v>21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18</v>
      </c>
      <c r="K446">
        <v>161</v>
      </c>
      <c r="L446">
        <v>1</v>
      </c>
    </row>
    <row r="447" spans="1:12" x14ac:dyDescent="0.25">
      <c r="A447" t="s">
        <v>842</v>
      </c>
      <c r="B447" t="s">
        <v>843</v>
      </c>
      <c r="C447" s="1">
        <v>45671</v>
      </c>
      <c r="D447" t="s">
        <v>33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62</v>
      </c>
      <c r="K447">
        <v>0</v>
      </c>
      <c r="L447">
        <v>0</v>
      </c>
    </row>
    <row r="448" spans="1:12" x14ac:dyDescent="0.25">
      <c r="A448" t="s">
        <v>844</v>
      </c>
      <c r="B448" t="s">
        <v>845</v>
      </c>
      <c r="C448" s="1">
        <v>45574</v>
      </c>
      <c r="D448" t="s">
        <v>33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15</v>
      </c>
      <c r="K448">
        <v>0</v>
      </c>
      <c r="L448">
        <v>0</v>
      </c>
    </row>
    <row r="449" spans="1:12" x14ac:dyDescent="0.25">
      <c r="A449" t="s">
        <v>846</v>
      </c>
      <c r="B449" t="s">
        <v>847</v>
      </c>
      <c r="C449" s="1">
        <v>45612</v>
      </c>
      <c r="D449" t="s">
        <v>38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27</v>
      </c>
      <c r="K449">
        <v>0</v>
      </c>
      <c r="L449">
        <v>0</v>
      </c>
    </row>
    <row r="450" spans="1:12" x14ac:dyDescent="0.25">
      <c r="A450" t="s">
        <v>848</v>
      </c>
      <c r="B450" t="s">
        <v>847</v>
      </c>
      <c r="C450" s="1">
        <v>45584</v>
      </c>
      <c r="D450" t="s">
        <v>38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15</v>
      </c>
      <c r="K450">
        <v>0</v>
      </c>
      <c r="L450">
        <v>0</v>
      </c>
    </row>
    <row r="451" spans="1:12" x14ac:dyDescent="0.25">
      <c r="A451" t="s">
        <v>849</v>
      </c>
      <c r="B451" t="s">
        <v>850</v>
      </c>
      <c r="C451" s="1">
        <v>45819</v>
      </c>
      <c r="D451" t="s">
        <v>17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27</v>
      </c>
      <c r="K451">
        <v>0</v>
      </c>
      <c r="L451">
        <v>0</v>
      </c>
    </row>
    <row r="452" spans="1:12" x14ac:dyDescent="0.25">
      <c r="A452" t="s">
        <v>851</v>
      </c>
      <c r="B452" t="s">
        <v>850</v>
      </c>
      <c r="C452" s="1">
        <v>45645</v>
      </c>
      <c r="D452" t="s">
        <v>36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15</v>
      </c>
      <c r="K452">
        <v>0</v>
      </c>
      <c r="L452">
        <v>0</v>
      </c>
    </row>
    <row r="453" spans="1:12" x14ac:dyDescent="0.25">
      <c r="A453" t="s">
        <v>852</v>
      </c>
      <c r="B453" t="s">
        <v>853</v>
      </c>
      <c r="C453" s="1">
        <v>45828</v>
      </c>
      <c r="D453" t="s">
        <v>21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27</v>
      </c>
      <c r="K453">
        <v>0</v>
      </c>
      <c r="L453">
        <v>0</v>
      </c>
    </row>
    <row r="454" spans="1:12" x14ac:dyDescent="0.25">
      <c r="A454" t="s">
        <v>854</v>
      </c>
      <c r="B454" t="s">
        <v>853</v>
      </c>
      <c r="C454" s="1">
        <v>45466</v>
      </c>
      <c r="D454" t="s">
        <v>33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18</v>
      </c>
      <c r="K454">
        <v>58</v>
      </c>
      <c r="L454">
        <v>1</v>
      </c>
    </row>
    <row r="455" spans="1:12" x14ac:dyDescent="0.25">
      <c r="A455" t="s">
        <v>855</v>
      </c>
      <c r="B455" t="s">
        <v>856</v>
      </c>
      <c r="C455" s="1">
        <v>45786</v>
      </c>
      <c r="D455" t="s">
        <v>38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15</v>
      </c>
      <c r="K455">
        <v>0</v>
      </c>
      <c r="L455">
        <v>0</v>
      </c>
    </row>
    <row r="456" spans="1:12" x14ac:dyDescent="0.25">
      <c r="A456" t="s">
        <v>857</v>
      </c>
      <c r="B456" t="s">
        <v>858</v>
      </c>
      <c r="C456" s="1">
        <v>45328</v>
      </c>
      <c r="D456" t="s">
        <v>38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62</v>
      </c>
      <c r="K456">
        <v>15</v>
      </c>
      <c r="L456">
        <v>0</v>
      </c>
    </row>
    <row r="457" spans="1:12" x14ac:dyDescent="0.25">
      <c r="A457" t="s">
        <v>859</v>
      </c>
      <c r="B457" t="s">
        <v>860</v>
      </c>
      <c r="C457" s="1">
        <v>45650</v>
      </c>
      <c r="D457" t="s">
        <v>41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27</v>
      </c>
      <c r="K457">
        <v>0</v>
      </c>
      <c r="L457">
        <v>0</v>
      </c>
    </row>
    <row r="458" spans="1:12" x14ac:dyDescent="0.25">
      <c r="A458" t="s">
        <v>861</v>
      </c>
      <c r="B458" t="s">
        <v>862</v>
      </c>
      <c r="C458" s="1">
        <v>45791</v>
      </c>
      <c r="D458" t="s">
        <v>14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18</v>
      </c>
      <c r="K458">
        <v>94</v>
      </c>
      <c r="L458">
        <v>1</v>
      </c>
    </row>
    <row r="459" spans="1:12" x14ac:dyDescent="0.25">
      <c r="A459" t="s">
        <v>863</v>
      </c>
      <c r="B459" t="s">
        <v>864</v>
      </c>
      <c r="C459" s="1">
        <v>45567</v>
      </c>
      <c r="D459" t="s">
        <v>17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18</v>
      </c>
      <c r="K459">
        <v>142</v>
      </c>
      <c r="L459">
        <v>1</v>
      </c>
    </row>
    <row r="460" spans="1:12" x14ac:dyDescent="0.25">
      <c r="A460" t="s">
        <v>865</v>
      </c>
      <c r="B460" t="s">
        <v>866</v>
      </c>
      <c r="C460" s="1">
        <v>45495</v>
      </c>
      <c r="D460" t="s">
        <v>14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27</v>
      </c>
      <c r="K460">
        <v>0</v>
      </c>
      <c r="L460">
        <v>0</v>
      </c>
    </row>
    <row r="461" spans="1:12" x14ac:dyDescent="0.25">
      <c r="A461" t="s">
        <v>867</v>
      </c>
      <c r="B461" t="s">
        <v>868</v>
      </c>
      <c r="C461" s="1">
        <v>45564</v>
      </c>
      <c r="D461" t="s">
        <v>30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27</v>
      </c>
      <c r="K461">
        <v>0</v>
      </c>
      <c r="L461">
        <v>0</v>
      </c>
    </row>
    <row r="462" spans="1:12" x14ac:dyDescent="0.25">
      <c r="A462" t="s">
        <v>869</v>
      </c>
      <c r="B462" t="s">
        <v>870</v>
      </c>
      <c r="C462" s="1">
        <v>45690</v>
      </c>
      <c r="D462" t="s">
        <v>33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62</v>
      </c>
      <c r="K462">
        <v>30</v>
      </c>
      <c r="L462">
        <v>0</v>
      </c>
    </row>
    <row r="463" spans="1:12" x14ac:dyDescent="0.25">
      <c r="A463" t="s">
        <v>871</v>
      </c>
      <c r="B463" t="s">
        <v>872</v>
      </c>
      <c r="C463" s="1">
        <v>45642</v>
      </c>
      <c r="D463" t="s">
        <v>30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18</v>
      </c>
      <c r="K463">
        <v>32</v>
      </c>
      <c r="L463">
        <v>1</v>
      </c>
    </row>
    <row r="464" spans="1:12" x14ac:dyDescent="0.25">
      <c r="A464" t="s">
        <v>873</v>
      </c>
      <c r="B464" t="s">
        <v>874</v>
      </c>
      <c r="C464" s="1">
        <v>45448</v>
      </c>
      <c r="D464" t="s">
        <v>24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27</v>
      </c>
      <c r="K464">
        <v>0</v>
      </c>
      <c r="L464">
        <v>0</v>
      </c>
    </row>
    <row r="465" spans="1:12" x14ac:dyDescent="0.25">
      <c r="A465" t="s">
        <v>875</v>
      </c>
      <c r="B465" t="s">
        <v>876</v>
      </c>
      <c r="C465" s="1">
        <v>45397</v>
      </c>
      <c r="D465" t="s">
        <v>24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27</v>
      </c>
      <c r="K465">
        <v>0</v>
      </c>
      <c r="L465">
        <v>0</v>
      </c>
    </row>
    <row r="466" spans="1:12" x14ac:dyDescent="0.25">
      <c r="A466" t="s">
        <v>877</v>
      </c>
      <c r="B466" t="s">
        <v>878</v>
      </c>
      <c r="C466" s="1">
        <v>45331</v>
      </c>
      <c r="D466" t="s">
        <v>47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18</v>
      </c>
      <c r="K466">
        <v>79</v>
      </c>
      <c r="L466">
        <v>1</v>
      </c>
    </row>
    <row r="467" spans="1:12" x14ac:dyDescent="0.25">
      <c r="A467" t="s">
        <v>879</v>
      </c>
      <c r="B467" t="s">
        <v>878</v>
      </c>
      <c r="C467" s="1">
        <v>45681</v>
      </c>
      <c r="D467" t="s">
        <v>33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18</v>
      </c>
      <c r="K467">
        <v>108</v>
      </c>
      <c r="L467">
        <v>1</v>
      </c>
    </row>
    <row r="468" spans="1:12" x14ac:dyDescent="0.25">
      <c r="A468" t="s">
        <v>880</v>
      </c>
      <c r="B468" t="s">
        <v>881</v>
      </c>
      <c r="C468" s="1">
        <v>45344</v>
      </c>
      <c r="D468" t="s">
        <v>38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27</v>
      </c>
      <c r="K468">
        <v>0</v>
      </c>
      <c r="L468">
        <v>0</v>
      </c>
    </row>
    <row r="469" spans="1:12" x14ac:dyDescent="0.25">
      <c r="A469" t="s">
        <v>882</v>
      </c>
      <c r="B469" t="s">
        <v>883</v>
      </c>
      <c r="C469" s="1">
        <v>45345</v>
      </c>
      <c r="D469" t="s">
        <v>17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27</v>
      </c>
      <c r="K469">
        <v>0</v>
      </c>
      <c r="L469">
        <v>0</v>
      </c>
    </row>
    <row r="470" spans="1:12" x14ac:dyDescent="0.25">
      <c r="A470" t="s">
        <v>884</v>
      </c>
      <c r="B470" t="s">
        <v>885</v>
      </c>
      <c r="C470" s="1">
        <v>45603</v>
      </c>
      <c r="D470" t="s">
        <v>47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18</v>
      </c>
      <c r="K470">
        <v>33</v>
      </c>
      <c r="L470">
        <v>1</v>
      </c>
    </row>
    <row r="471" spans="1:12" x14ac:dyDescent="0.25">
      <c r="A471" t="s">
        <v>886</v>
      </c>
      <c r="B471" t="s">
        <v>887</v>
      </c>
      <c r="C471" s="1">
        <v>45833</v>
      </c>
      <c r="D471" t="s">
        <v>33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27</v>
      </c>
      <c r="K471">
        <v>0</v>
      </c>
      <c r="L471">
        <v>0</v>
      </c>
    </row>
    <row r="472" spans="1:12" x14ac:dyDescent="0.25">
      <c r="A472" t="s">
        <v>888</v>
      </c>
      <c r="B472" t="s">
        <v>889</v>
      </c>
      <c r="C472" s="1">
        <v>45487</v>
      </c>
      <c r="D472" t="s">
        <v>36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18</v>
      </c>
      <c r="K472">
        <v>144</v>
      </c>
      <c r="L472">
        <v>1</v>
      </c>
    </row>
    <row r="473" spans="1:12" x14ac:dyDescent="0.25">
      <c r="A473" t="s">
        <v>890</v>
      </c>
      <c r="B473" t="s">
        <v>891</v>
      </c>
      <c r="C473" s="1">
        <v>45498</v>
      </c>
      <c r="D473" t="s">
        <v>36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27</v>
      </c>
      <c r="K473">
        <v>0</v>
      </c>
      <c r="L473">
        <v>0</v>
      </c>
    </row>
    <row r="474" spans="1:12" x14ac:dyDescent="0.25">
      <c r="A474" t="s">
        <v>892</v>
      </c>
      <c r="B474" t="s">
        <v>891</v>
      </c>
      <c r="C474" s="1">
        <v>45666</v>
      </c>
      <c r="D474" t="s">
        <v>17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15</v>
      </c>
      <c r="K474">
        <v>0</v>
      </c>
      <c r="L474">
        <v>0</v>
      </c>
    </row>
    <row r="475" spans="1:12" x14ac:dyDescent="0.25">
      <c r="A475" t="s">
        <v>893</v>
      </c>
      <c r="B475" t="s">
        <v>894</v>
      </c>
      <c r="C475" s="1">
        <v>45572</v>
      </c>
      <c r="D475" t="s">
        <v>17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27</v>
      </c>
      <c r="K475">
        <v>0</v>
      </c>
      <c r="L475">
        <v>0</v>
      </c>
    </row>
    <row r="476" spans="1:12" x14ac:dyDescent="0.25">
      <c r="A476" t="s">
        <v>895</v>
      </c>
      <c r="B476" t="s">
        <v>896</v>
      </c>
      <c r="C476" s="1">
        <v>45368</v>
      </c>
      <c r="D476" t="s">
        <v>38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27</v>
      </c>
      <c r="K476">
        <v>0</v>
      </c>
      <c r="L476">
        <v>0</v>
      </c>
    </row>
    <row r="477" spans="1:12" x14ac:dyDescent="0.25">
      <c r="A477" t="s">
        <v>897</v>
      </c>
      <c r="B477" t="s">
        <v>898</v>
      </c>
      <c r="C477" s="1">
        <v>45515</v>
      </c>
      <c r="D477" t="s">
        <v>17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15</v>
      </c>
      <c r="K477">
        <v>0</v>
      </c>
      <c r="L477">
        <v>0</v>
      </c>
    </row>
    <row r="478" spans="1:12" x14ac:dyDescent="0.25">
      <c r="A478" t="s">
        <v>899</v>
      </c>
      <c r="B478" t="s">
        <v>900</v>
      </c>
      <c r="C478" s="1">
        <v>45595</v>
      </c>
      <c r="D478" t="s">
        <v>21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27</v>
      </c>
      <c r="K478">
        <v>0</v>
      </c>
      <c r="L478">
        <v>0</v>
      </c>
    </row>
    <row r="479" spans="1:12" x14ac:dyDescent="0.25">
      <c r="A479" t="s">
        <v>901</v>
      </c>
      <c r="B479" t="s">
        <v>902</v>
      </c>
      <c r="C479" s="1">
        <v>45568</v>
      </c>
      <c r="D479" t="s">
        <v>38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15</v>
      </c>
      <c r="K479">
        <v>0</v>
      </c>
      <c r="L479">
        <v>0</v>
      </c>
    </row>
    <row r="480" spans="1:12" x14ac:dyDescent="0.25">
      <c r="A480" t="s">
        <v>903</v>
      </c>
      <c r="B480" t="s">
        <v>904</v>
      </c>
      <c r="C480" s="1">
        <v>45669</v>
      </c>
      <c r="D480" t="s">
        <v>38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62</v>
      </c>
      <c r="K480">
        <v>15</v>
      </c>
      <c r="L480">
        <v>0</v>
      </c>
    </row>
    <row r="481" spans="1:12" x14ac:dyDescent="0.25">
      <c r="A481" t="s">
        <v>905</v>
      </c>
      <c r="B481" t="s">
        <v>904</v>
      </c>
      <c r="C481" s="1">
        <v>45350</v>
      </c>
      <c r="D481" t="s">
        <v>24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27</v>
      </c>
      <c r="K481">
        <v>0</v>
      </c>
      <c r="L481">
        <v>0</v>
      </c>
    </row>
    <row r="482" spans="1:12" x14ac:dyDescent="0.25">
      <c r="A482" t="s">
        <v>906</v>
      </c>
      <c r="B482" t="s">
        <v>907</v>
      </c>
      <c r="C482" s="1">
        <v>45400</v>
      </c>
      <c r="D482" t="s">
        <v>24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15</v>
      </c>
      <c r="K482">
        <v>0</v>
      </c>
      <c r="L482">
        <v>0</v>
      </c>
    </row>
    <row r="483" spans="1:12" x14ac:dyDescent="0.25">
      <c r="A483" t="s">
        <v>908</v>
      </c>
      <c r="B483" t="s">
        <v>909</v>
      </c>
      <c r="C483" s="1">
        <v>45500</v>
      </c>
      <c r="D483" t="s">
        <v>47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15</v>
      </c>
      <c r="K483">
        <v>0</v>
      </c>
      <c r="L483">
        <v>0</v>
      </c>
    </row>
    <row r="484" spans="1:12" x14ac:dyDescent="0.25">
      <c r="A484" t="s">
        <v>910</v>
      </c>
      <c r="B484" t="s">
        <v>911</v>
      </c>
      <c r="C484" s="1">
        <v>45387</v>
      </c>
      <c r="D484" t="s">
        <v>38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18</v>
      </c>
      <c r="K484">
        <v>147</v>
      </c>
      <c r="L484">
        <v>1</v>
      </c>
    </row>
    <row r="485" spans="1:12" x14ac:dyDescent="0.25">
      <c r="A485" t="s">
        <v>912</v>
      </c>
      <c r="B485" t="s">
        <v>913</v>
      </c>
      <c r="C485" s="1">
        <v>45313</v>
      </c>
      <c r="D485" t="s">
        <v>33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62</v>
      </c>
      <c r="K485">
        <v>15</v>
      </c>
      <c r="L485">
        <v>0</v>
      </c>
    </row>
    <row r="486" spans="1:12" x14ac:dyDescent="0.25">
      <c r="A486" t="s">
        <v>914</v>
      </c>
      <c r="B486" t="s">
        <v>915</v>
      </c>
      <c r="C486" s="1">
        <v>45704</v>
      </c>
      <c r="D486" t="s">
        <v>38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15</v>
      </c>
      <c r="K486">
        <v>0</v>
      </c>
      <c r="L486">
        <v>0</v>
      </c>
    </row>
    <row r="487" spans="1:12" x14ac:dyDescent="0.25">
      <c r="A487" t="s">
        <v>916</v>
      </c>
      <c r="B487" t="s">
        <v>917</v>
      </c>
      <c r="C487" s="1">
        <v>45336</v>
      </c>
      <c r="D487" t="s">
        <v>47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18</v>
      </c>
      <c r="K487">
        <v>51</v>
      </c>
      <c r="L487">
        <v>1</v>
      </c>
    </row>
    <row r="488" spans="1:12" x14ac:dyDescent="0.25">
      <c r="A488" t="s">
        <v>918</v>
      </c>
      <c r="B488" t="s">
        <v>917</v>
      </c>
      <c r="C488" s="1">
        <v>45301</v>
      </c>
      <c r="D488" t="s">
        <v>24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15</v>
      </c>
      <c r="K488">
        <v>0</v>
      </c>
      <c r="L488">
        <v>0</v>
      </c>
    </row>
    <row r="489" spans="1:12" x14ac:dyDescent="0.25">
      <c r="A489" t="s">
        <v>919</v>
      </c>
      <c r="B489" t="s">
        <v>920</v>
      </c>
      <c r="C489" s="1">
        <v>45459</v>
      </c>
      <c r="D489" t="s">
        <v>36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18</v>
      </c>
      <c r="K489">
        <v>152</v>
      </c>
      <c r="L489">
        <v>1</v>
      </c>
    </row>
    <row r="490" spans="1:12" x14ac:dyDescent="0.25">
      <c r="A490" t="s">
        <v>921</v>
      </c>
      <c r="B490" t="s">
        <v>922</v>
      </c>
      <c r="C490" s="1">
        <v>45337</v>
      </c>
      <c r="D490" t="s">
        <v>41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18</v>
      </c>
      <c r="K490">
        <v>105</v>
      </c>
      <c r="L490">
        <v>1</v>
      </c>
    </row>
    <row r="491" spans="1:12" x14ac:dyDescent="0.25">
      <c r="A491" t="s">
        <v>923</v>
      </c>
      <c r="B491" t="s">
        <v>924</v>
      </c>
      <c r="C491" s="1">
        <v>45686</v>
      </c>
      <c r="D491" t="s">
        <v>17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18</v>
      </c>
      <c r="K491">
        <v>103</v>
      </c>
      <c r="L491">
        <v>1</v>
      </c>
    </row>
    <row r="492" spans="1:12" x14ac:dyDescent="0.25">
      <c r="A492" t="s">
        <v>925</v>
      </c>
      <c r="B492" t="s">
        <v>926</v>
      </c>
      <c r="C492" s="1">
        <v>45404</v>
      </c>
      <c r="D492" t="s">
        <v>17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18</v>
      </c>
      <c r="K492">
        <v>102</v>
      </c>
      <c r="L492">
        <v>1</v>
      </c>
    </row>
    <row r="493" spans="1:12" x14ac:dyDescent="0.25">
      <c r="A493" t="s">
        <v>927</v>
      </c>
      <c r="B493" t="s">
        <v>928</v>
      </c>
      <c r="C493" s="1">
        <v>45446</v>
      </c>
      <c r="D493" t="s">
        <v>47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18</v>
      </c>
      <c r="K493">
        <v>165</v>
      </c>
      <c r="L493">
        <v>1</v>
      </c>
    </row>
    <row r="494" spans="1:12" x14ac:dyDescent="0.25">
      <c r="A494" t="s">
        <v>929</v>
      </c>
      <c r="B494" t="s">
        <v>930</v>
      </c>
      <c r="C494" s="1">
        <v>45585</v>
      </c>
      <c r="D494" t="s">
        <v>33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15</v>
      </c>
      <c r="K494">
        <v>0</v>
      </c>
      <c r="L494">
        <v>0</v>
      </c>
    </row>
    <row r="495" spans="1:12" x14ac:dyDescent="0.25">
      <c r="A495" t="s">
        <v>931</v>
      </c>
      <c r="B495" t="s">
        <v>932</v>
      </c>
      <c r="C495" s="1">
        <v>45444</v>
      </c>
      <c r="D495" t="s">
        <v>24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27</v>
      </c>
      <c r="K495">
        <v>0</v>
      </c>
      <c r="L495">
        <v>0</v>
      </c>
    </row>
    <row r="496" spans="1:12" x14ac:dyDescent="0.25">
      <c r="A496" t="s">
        <v>933</v>
      </c>
      <c r="B496" t="s">
        <v>934</v>
      </c>
      <c r="C496" s="1">
        <v>45577</v>
      </c>
      <c r="D496" t="s">
        <v>14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18</v>
      </c>
      <c r="K496">
        <v>112</v>
      </c>
      <c r="L496">
        <v>1</v>
      </c>
    </row>
    <row r="497" spans="1:12" x14ac:dyDescent="0.25">
      <c r="A497" t="s">
        <v>935</v>
      </c>
      <c r="B497" t="s">
        <v>936</v>
      </c>
      <c r="C497" s="1">
        <v>45715</v>
      </c>
      <c r="D497" t="s">
        <v>33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27</v>
      </c>
      <c r="K497">
        <v>0</v>
      </c>
      <c r="L497">
        <v>0</v>
      </c>
    </row>
    <row r="498" spans="1:12" x14ac:dyDescent="0.25">
      <c r="A498" t="s">
        <v>937</v>
      </c>
      <c r="B498" t="s">
        <v>936</v>
      </c>
      <c r="C498" s="1">
        <v>45837</v>
      </c>
      <c r="D498" t="s">
        <v>38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27</v>
      </c>
      <c r="K498">
        <v>0</v>
      </c>
      <c r="L498">
        <v>0</v>
      </c>
    </row>
    <row r="499" spans="1:12" x14ac:dyDescent="0.25">
      <c r="A499" t="s">
        <v>938</v>
      </c>
      <c r="B499" t="s">
        <v>939</v>
      </c>
      <c r="C499" s="1">
        <v>45532</v>
      </c>
      <c r="D499" t="s">
        <v>21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15</v>
      </c>
      <c r="K499">
        <v>0</v>
      </c>
      <c r="L499">
        <v>0</v>
      </c>
    </row>
    <row r="500" spans="1:12" x14ac:dyDescent="0.25">
      <c r="A500" t="s">
        <v>940</v>
      </c>
      <c r="B500" t="s">
        <v>941</v>
      </c>
      <c r="C500" s="1">
        <v>45661</v>
      </c>
      <c r="D500" t="s">
        <v>14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62</v>
      </c>
      <c r="K500">
        <v>15</v>
      </c>
      <c r="L500">
        <v>0</v>
      </c>
    </row>
    <row r="501" spans="1:12" x14ac:dyDescent="0.25">
      <c r="A501" t="s">
        <v>942</v>
      </c>
      <c r="B501" t="s">
        <v>943</v>
      </c>
      <c r="C501" s="1">
        <v>45521</v>
      </c>
      <c r="D501" t="s">
        <v>33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18</v>
      </c>
      <c r="K501">
        <v>65</v>
      </c>
      <c r="L501">
        <v>1</v>
      </c>
    </row>
    <row r="502" spans="1:12" x14ac:dyDescent="0.25">
      <c r="A502" t="s">
        <v>944</v>
      </c>
      <c r="B502" t="s">
        <v>945</v>
      </c>
      <c r="C502" s="1">
        <v>45400</v>
      </c>
      <c r="D502" t="s">
        <v>33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15</v>
      </c>
      <c r="K502">
        <v>0</v>
      </c>
      <c r="L502">
        <v>0</v>
      </c>
    </row>
    <row r="503" spans="1:12" x14ac:dyDescent="0.25">
      <c r="A503" t="s">
        <v>946</v>
      </c>
      <c r="B503" t="s">
        <v>947</v>
      </c>
      <c r="C503" s="1">
        <v>45718</v>
      </c>
      <c r="D503" t="s">
        <v>41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15</v>
      </c>
      <c r="K503">
        <v>0</v>
      </c>
      <c r="L503">
        <v>0</v>
      </c>
    </row>
    <row r="504" spans="1:12" x14ac:dyDescent="0.25">
      <c r="A504" t="s">
        <v>948</v>
      </c>
      <c r="B504" t="s">
        <v>947</v>
      </c>
      <c r="C504" s="1">
        <v>45746</v>
      </c>
      <c r="D504" t="s">
        <v>21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27</v>
      </c>
      <c r="K504">
        <v>0</v>
      </c>
      <c r="L504">
        <v>0</v>
      </c>
    </row>
    <row r="505" spans="1:12" x14ac:dyDescent="0.25">
      <c r="A505" t="s">
        <v>949</v>
      </c>
      <c r="B505" t="s">
        <v>950</v>
      </c>
      <c r="C505" s="1">
        <v>45725</v>
      </c>
      <c r="D505" t="s">
        <v>41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62</v>
      </c>
      <c r="K505">
        <v>15</v>
      </c>
      <c r="L505">
        <v>0</v>
      </c>
    </row>
    <row r="506" spans="1:12" x14ac:dyDescent="0.25">
      <c r="A506" t="s">
        <v>951</v>
      </c>
      <c r="B506" t="s">
        <v>952</v>
      </c>
      <c r="C506" s="1">
        <v>45570</v>
      </c>
      <c r="D506" t="s">
        <v>47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15</v>
      </c>
      <c r="K506">
        <v>0</v>
      </c>
      <c r="L506">
        <v>0</v>
      </c>
    </row>
    <row r="507" spans="1:12" x14ac:dyDescent="0.25">
      <c r="A507" t="s">
        <v>953</v>
      </c>
      <c r="B507" t="s">
        <v>952</v>
      </c>
      <c r="C507" s="1">
        <v>45480</v>
      </c>
      <c r="D507" t="s">
        <v>33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62</v>
      </c>
      <c r="K507">
        <v>30</v>
      </c>
      <c r="L507">
        <v>0</v>
      </c>
    </row>
    <row r="508" spans="1:12" x14ac:dyDescent="0.25">
      <c r="A508" t="s">
        <v>954</v>
      </c>
      <c r="B508" t="s">
        <v>955</v>
      </c>
      <c r="C508" s="1">
        <v>45460</v>
      </c>
      <c r="D508" t="s">
        <v>14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18</v>
      </c>
      <c r="K508">
        <v>125</v>
      </c>
      <c r="L508">
        <v>1</v>
      </c>
    </row>
    <row r="509" spans="1:12" x14ac:dyDescent="0.25">
      <c r="A509" t="s">
        <v>956</v>
      </c>
      <c r="B509" t="s">
        <v>957</v>
      </c>
      <c r="C509" s="1">
        <v>45635</v>
      </c>
      <c r="D509" t="s">
        <v>38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18</v>
      </c>
      <c r="K509">
        <v>102</v>
      </c>
      <c r="L509">
        <v>1</v>
      </c>
    </row>
    <row r="510" spans="1:12" x14ac:dyDescent="0.25">
      <c r="A510" t="s">
        <v>958</v>
      </c>
      <c r="B510" t="s">
        <v>959</v>
      </c>
      <c r="C510" s="1">
        <v>45498</v>
      </c>
      <c r="D510" t="s">
        <v>36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27</v>
      </c>
      <c r="K510">
        <v>0</v>
      </c>
      <c r="L510">
        <v>0</v>
      </c>
    </row>
    <row r="511" spans="1:12" x14ac:dyDescent="0.25">
      <c r="A511" t="s">
        <v>960</v>
      </c>
      <c r="B511" t="s">
        <v>961</v>
      </c>
      <c r="C511" s="1">
        <v>45614</v>
      </c>
      <c r="D511" t="s">
        <v>47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18</v>
      </c>
      <c r="K511">
        <v>109</v>
      </c>
      <c r="L511">
        <v>1</v>
      </c>
    </row>
    <row r="512" spans="1:12" x14ac:dyDescent="0.25">
      <c r="A512" t="s">
        <v>962</v>
      </c>
      <c r="B512" t="s">
        <v>961</v>
      </c>
      <c r="C512" s="1">
        <v>45614</v>
      </c>
      <c r="D512" t="s">
        <v>41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15</v>
      </c>
      <c r="K512">
        <v>0</v>
      </c>
      <c r="L512">
        <v>0</v>
      </c>
    </row>
    <row r="513" spans="1:12" x14ac:dyDescent="0.25">
      <c r="A513" t="s">
        <v>963</v>
      </c>
      <c r="B513" t="s">
        <v>964</v>
      </c>
      <c r="C513" s="1">
        <v>45445</v>
      </c>
      <c r="D513" t="s">
        <v>36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18</v>
      </c>
      <c r="K513">
        <v>127</v>
      </c>
      <c r="L513">
        <v>1</v>
      </c>
    </row>
    <row r="514" spans="1:12" x14ac:dyDescent="0.25">
      <c r="A514" t="s">
        <v>965</v>
      </c>
      <c r="B514" t="s">
        <v>966</v>
      </c>
      <c r="C514" s="1">
        <v>45387</v>
      </c>
      <c r="D514" t="s">
        <v>41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27</v>
      </c>
      <c r="K514">
        <v>0</v>
      </c>
      <c r="L514">
        <v>0</v>
      </c>
    </row>
    <row r="515" spans="1:12" x14ac:dyDescent="0.25">
      <c r="A515" t="s">
        <v>967</v>
      </c>
      <c r="B515" t="s">
        <v>968</v>
      </c>
      <c r="C515" s="1">
        <v>45827</v>
      </c>
      <c r="D515" t="s">
        <v>33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15</v>
      </c>
      <c r="K515">
        <v>0</v>
      </c>
      <c r="L515">
        <v>0</v>
      </c>
    </row>
    <row r="516" spans="1:12" x14ac:dyDescent="0.25">
      <c r="A516" t="s">
        <v>969</v>
      </c>
      <c r="B516" t="s">
        <v>970</v>
      </c>
      <c r="C516" s="1">
        <v>45688</v>
      </c>
      <c r="D516" t="s">
        <v>30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18</v>
      </c>
      <c r="K516">
        <v>49</v>
      </c>
      <c r="L516">
        <v>1</v>
      </c>
    </row>
    <row r="517" spans="1:12" x14ac:dyDescent="0.25">
      <c r="A517" t="s">
        <v>971</v>
      </c>
      <c r="B517" t="s">
        <v>972</v>
      </c>
      <c r="C517" s="1">
        <v>45608</v>
      </c>
      <c r="D517" t="s">
        <v>47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62</v>
      </c>
      <c r="K517">
        <v>30</v>
      </c>
      <c r="L517">
        <v>0</v>
      </c>
    </row>
    <row r="518" spans="1:12" x14ac:dyDescent="0.25">
      <c r="A518" t="s">
        <v>973</v>
      </c>
      <c r="B518" t="s">
        <v>972</v>
      </c>
      <c r="C518" s="1">
        <v>45457</v>
      </c>
      <c r="D518" t="s">
        <v>36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18</v>
      </c>
      <c r="K518">
        <v>177</v>
      </c>
      <c r="L518">
        <v>1</v>
      </c>
    </row>
    <row r="519" spans="1:12" x14ac:dyDescent="0.25">
      <c r="A519" t="s">
        <v>974</v>
      </c>
      <c r="B519" t="s">
        <v>975</v>
      </c>
      <c r="C519" s="1">
        <v>45776</v>
      </c>
      <c r="D519" t="s">
        <v>36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27</v>
      </c>
      <c r="K519">
        <v>0</v>
      </c>
      <c r="L519">
        <v>0</v>
      </c>
    </row>
    <row r="520" spans="1:12" x14ac:dyDescent="0.25">
      <c r="A520" t="s">
        <v>976</v>
      </c>
      <c r="B520" t="s">
        <v>977</v>
      </c>
      <c r="C520" s="1">
        <v>45702</v>
      </c>
      <c r="D520" t="s">
        <v>36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62</v>
      </c>
      <c r="K520">
        <v>0</v>
      </c>
      <c r="L520">
        <v>0</v>
      </c>
    </row>
    <row r="521" spans="1:12" x14ac:dyDescent="0.25">
      <c r="A521" t="s">
        <v>978</v>
      </c>
      <c r="B521" t="s">
        <v>977</v>
      </c>
      <c r="C521" s="1">
        <v>45715</v>
      </c>
      <c r="D521" t="s">
        <v>14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15</v>
      </c>
      <c r="K521">
        <v>0</v>
      </c>
      <c r="L521">
        <v>0</v>
      </c>
    </row>
    <row r="522" spans="1:12" x14ac:dyDescent="0.25">
      <c r="A522" t="s">
        <v>979</v>
      </c>
      <c r="B522" t="s">
        <v>980</v>
      </c>
      <c r="C522" s="1">
        <v>45300</v>
      </c>
      <c r="D522" t="s">
        <v>47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27</v>
      </c>
      <c r="K522">
        <v>0</v>
      </c>
      <c r="L522">
        <v>0</v>
      </c>
    </row>
    <row r="523" spans="1:12" x14ac:dyDescent="0.25">
      <c r="A523" t="s">
        <v>981</v>
      </c>
      <c r="B523" t="s">
        <v>982</v>
      </c>
      <c r="C523" s="1">
        <v>45771</v>
      </c>
      <c r="D523" t="s">
        <v>36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62</v>
      </c>
      <c r="K523">
        <v>15</v>
      </c>
      <c r="L523">
        <v>0</v>
      </c>
    </row>
    <row r="524" spans="1:12" x14ac:dyDescent="0.25">
      <c r="A524" t="s">
        <v>983</v>
      </c>
      <c r="B524" t="s">
        <v>984</v>
      </c>
      <c r="C524" s="1">
        <v>45628</v>
      </c>
      <c r="D524" t="s">
        <v>36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62</v>
      </c>
      <c r="K524">
        <v>0</v>
      </c>
      <c r="L524">
        <v>0</v>
      </c>
    </row>
    <row r="525" spans="1:12" x14ac:dyDescent="0.25">
      <c r="A525" t="s">
        <v>985</v>
      </c>
      <c r="B525" t="s">
        <v>986</v>
      </c>
      <c r="C525" s="1">
        <v>45773</v>
      </c>
      <c r="D525" t="s">
        <v>14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18</v>
      </c>
      <c r="K525">
        <v>84</v>
      </c>
      <c r="L525">
        <v>1</v>
      </c>
    </row>
    <row r="526" spans="1:12" x14ac:dyDescent="0.25">
      <c r="A526" t="s">
        <v>987</v>
      </c>
      <c r="B526" t="s">
        <v>988</v>
      </c>
      <c r="C526" s="1">
        <v>45662</v>
      </c>
      <c r="D526" t="s">
        <v>41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62</v>
      </c>
      <c r="K526">
        <v>30</v>
      </c>
      <c r="L526">
        <v>0</v>
      </c>
    </row>
    <row r="527" spans="1:12" x14ac:dyDescent="0.25">
      <c r="A527" t="s">
        <v>989</v>
      </c>
      <c r="B527" t="s">
        <v>990</v>
      </c>
      <c r="C527" s="1">
        <v>45472</v>
      </c>
      <c r="D527" t="s">
        <v>41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18</v>
      </c>
      <c r="K527">
        <v>47</v>
      </c>
      <c r="L527">
        <v>1</v>
      </c>
    </row>
    <row r="528" spans="1:12" x14ac:dyDescent="0.25">
      <c r="A528" t="s">
        <v>991</v>
      </c>
      <c r="B528" t="s">
        <v>992</v>
      </c>
      <c r="C528" s="1">
        <v>45557</v>
      </c>
      <c r="D528" t="s">
        <v>36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15</v>
      </c>
      <c r="K528">
        <v>0</v>
      </c>
      <c r="L528">
        <v>0</v>
      </c>
    </row>
    <row r="529" spans="1:12" x14ac:dyDescent="0.25">
      <c r="A529" t="s">
        <v>993</v>
      </c>
      <c r="B529" t="s">
        <v>994</v>
      </c>
      <c r="C529" s="1">
        <v>45456</v>
      </c>
      <c r="D529" t="s">
        <v>24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15</v>
      </c>
      <c r="K529">
        <v>0</v>
      </c>
      <c r="L529">
        <v>0</v>
      </c>
    </row>
    <row r="530" spans="1:12" x14ac:dyDescent="0.25">
      <c r="A530" t="s">
        <v>995</v>
      </c>
      <c r="B530" t="s">
        <v>996</v>
      </c>
      <c r="C530" s="1">
        <v>45440</v>
      </c>
      <c r="D530" t="s">
        <v>41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62</v>
      </c>
      <c r="K530">
        <v>30</v>
      </c>
      <c r="L530">
        <v>0</v>
      </c>
    </row>
    <row r="531" spans="1:12" x14ac:dyDescent="0.25">
      <c r="A531" t="s">
        <v>997</v>
      </c>
      <c r="B531" t="s">
        <v>998</v>
      </c>
      <c r="C531" s="1">
        <v>45616</v>
      </c>
      <c r="D531" t="s">
        <v>30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18</v>
      </c>
      <c r="K531">
        <v>134</v>
      </c>
      <c r="L531">
        <v>1</v>
      </c>
    </row>
    <row r="532" spans="1:12" x14ac:dyDescent="0.25">
      <c r="A532" t="s">
        <v>999</v>
      </c>
      <c r="B532" t="s">
        <v>1000</v>
      </c>
      <c r="C532" s="1">
        <v>45391</v>
      </c>
      <c r="D532" t="s">
        <v>41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18</v>
      </c>
      <c r="K532">
        <v>78</v>
      </c>
      <c r="L532">
        <v>1</v>
      </c>
    </row>
    <row r="533" spans="1:12" x14ac:dyDescent="0.25">
      <c r="A533" t="s">
        <v>1001</v>
      </c>
      <c r="B533" t="s">
        <v>1002</v>
      </c>
      <c r="C533" s="1">
        <v>45487</v>
      </c>
      <c r="D533" t="s">
        <v>21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27</v>
      </c>
      <c r="K533">
        <v>0</v>
      </c>
      <c r="L533">
        <v>0</v>
      </c>
    </row>
    <row r="534" spans="1:12" x14ac:dyDescent="0.25">
      <c r="A534" t="s">
        <v>1003</v>
      </c>
      <c r="B534" t="s">
        <v>1004</v>
      </c>
      <c r="C534" s="1">
        <v>45758</v>
      </c>
      <c r="D534" t="s">
        <v>41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15</v>
      </c>
      <c r="K534">
        <v>0</v>
      </c>
      <c r="L534">
        <v>0</v>
      </c>
    </row>
    <row r="535" spans="1:12" x14ac:dyDescent="0.25">
      <c r="A535" t="s">
        <v>1005</v>
      </c>
      <c r="B535" t="s">
        <v>1004</v>
      </c>
      <c r="C535" s="1">
        <v>45761</v>
      </c>
      <c r="D535" t="s">
        <v>17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27</v>
      </c>
      <c r="K535">
        <v>0</v>
      </c>
      <c r="L535">
        <v>0</v>
      </c>
    </row>
    <row r="536" spans="1:12" x14ac:dyDescent="0.25">
      <c r="A536" t="s">
        <v>1006</v>
      </c>
      <c r="B536" t="s">
        <v>1007</v>
      </c>
      <c r="C536" s="1">
        <v>45393</v>
      </c>
      <c r="D536" t="s">
        <v>17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27</v>
      </c>
      <c r="K536">
        <v>0</v>
      </c>
      <c r="L536">
        <v>0</v>
      </c>
    </row>
    <row r="537" spans="1:12" x14ac:dyDescent="0.25">
      <c r="A537" t="s">
        <v>1008</v>
      </c>
      <c r="B537" t="s">
        <v>1009</v>
      </c>
      <c r="C537" s="1">
        <v>45394</v>
      </c>
      <c r="D537" t="s">
        <v>47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15</v>
      </c>
      <c r="K537">
        <v>0</v>
      </c>
      <c r="L537">
        <v>0</v>
      </c>
    </row>
    <row r="538" spans="1:12" x14ac:dyDescent="0.25">
      <c r="A538" t="s">
        <v>1010</v>
      </c>
      <c r="B538" t="s">
        <v>1011</v>
      </c>
      <c r="C538" s="1">
        <v>45492</v>
      </c>
      <c r="D538" t="s">
        <v>17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62</v>
      </c>
      <c r="K538">
        <v>30</v>
      </c>
      <c r="L538">
        <v>0</v>
      </c>
    </row>
    <row r="539" spans="1:12" x14ac:dyDescent="0.25">
      <c r="A539" t="s">
        <v>1012</v>
      </c>
      <c r="B539" t="s">
        <v>1013</v>
      </c>
      <c r="C539" s="1">
        <v>45675</v>
      </c>
      <c r="D539" t="s">
        <v>14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27</v>
      </c>
      <c r="K539">
        <v>0</v>
      </c>
      <c r="L539">
        <v>0</v>
      </c>
    </row>
    <row r="540" spans="1:12" x14ac:dyDescent="0.25">
      <c r="A540" t="s">
        <v>1014</v>
      </c>
      <c r="B540" t="s">
        <v>1015</v>
      </c>
      <c r="C540" s="1">
        <v>45296</v>
      </c>
      <c r="D540" t="s">
        <v>24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27</v>
      </c>
      <c r="K540">
        <v>0</v>
      </c>
      <c r="L540">
        <v>0</v>
      </c>
    </row>
    <row r="541" spans="1:12" x14ac:dyDescent="0.25">
      <c r="A541" t="s">
        <v>1016</v>
      </c>
      <c r="B541" t="s">
        <v>1017</v>
      </c>
      <c r="C541" s="1">
        <v>45466</v>
      </c>
      <c r="D541" t="s">
        <v>30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62</v>
      </c>
      <c r="K541">
        <v>30</v>
      </c>
      <c r="L541">
        <v>0</v>
      </c>
    </row>
    <row r="542" spans="1:12" x14ac:dyDescent="0.25">
      <c r="A542" t="s">
        <v>1018</v>
      </c>
      <c r="B542" t="s">
        <v>1019</v>
      </c>
      <c r="C542" s="1">
        <v>45731</v>
      </c>
      <c r="D542" t="s">
        <v>38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18</v>
      </c>
      <c r="K542">
        <v>129</v>
      </c>
      <c r="L542">
        <v>1</v>
      </c>
    </row>
    <row r="543" spans="1:12" x14ac:dyDescent="0.25">
      <c r="A543" t="s">
        <v>1020</v>
      </c>
      <c r="B543" t="s">
        <v>1019</v>
      </c>
      <c r="C543" s="1">
        <v>45393</v>
      </c>
      <c r="D543" t="s">
        <v>33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27</v>
      </c>
      <c r="K543">
        <v>0</v>
      </c>
      <c r="L543">
        <v>0</v>
      </c>
    </row>
    <row r="544" spans="1:12" x14ac:dyDescent="0.25">
      <c r="A544" t="s">
        <v>1021</v>
      </c>
      <c r="B544" t="s">
        <v>1022</v>
      </c>
      <c r="C544" s="1">
        <v>45454</v>
      </c>
      <c r="D544" t="s">
        <v>17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27</v>
      </c>
      <c r="K544">
        <v>0</v>
      </c>
      <c r="L544">
        <v>0</v>
      </c>
    </row>
    <row r="545" spans="1:12" x14ac:dyDescent="0.25">
      <c r="A545" t="s">
        <v>1023</v>
      </c>
      <c r="B545" t="s">
        <v>1024</v>
      </c>
      <c r="C545" s="1">
        <v>45372</v>
      </c>
      <c r="D545" t="s">
        <v>47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15</v>
      </c>
      <c r="K545">
        <v>0</v>
      </c>
      <c r="L545">
        <v>0</v>
      </c>
    </row>
    <row r="546" spans="1:12" x14ac:dyDescent="0.25">
      <c r="A546" t="s">
        <v>1025</v>
      </c>
      <c r="B546" t="s">
        <v>1026</v>
      </c>
      <c r="C546" s="1">
        <v>45543</v>
      </c>
      <c r="D546" t="s">
        <v>30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27</v>
      </c>
      <c r="K546">
        <v>0</v>
      </c>
      <c r="L546">
        <v>0</v>
      </c>
    </row>
    <row r="547" spans="1:12" x14ac:dyDescent="0.25">
      <c r="A547" t="s">
        <v>1027</v>
      </c>
      <c r="B547" t="s">
        <v>1026</v>
      </c>
      <c r="C547" s="1">
        <v>45397</v>
      </c>
      <c r="D547" t="s">
        <v>24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62</v>
      </c>
      <c r="K547">
        <v>15</v>
      </c>
      <c r="L547">
        <v>0</v>
      </c>
    </row>
    <row r="548" spans="1:12" x14ac:dyDescent="0.25">
      <c r="A548" t="s">
        <v>1028</v>
      </c>
      <c r="B548" t="s">
        <v>1029</v>
      </c>
      <c r="C548" s="1">
        <v>45504</v>
      </c>
      <c r="D548" t="s">
        <v>24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27</v>
      </c>
      <c r="K548">
        <v>0</v>
      </c>
      <c r="L548">
        <v>0</v>
      </c>
    </row>
    <row r="549" spans="1:12" x14ac:dyDescent="0.25">
      <c r="A549" t="s">
        <v>1030</v>
      </c>
      <c r="B549" t="s">
        <v>1031</v>
      </c>
      <c r="C549" s="1">
        <v>45753</v>
      </c>
      <c r="D549" t="s">
        <v>36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27</v>
      </c>
      <c r="K549">
        <v>0</v>
      </c>
      <c r="L549">
        <v>0</v>
      </c>
    </row>
    <row r="550" spans="1:12" x14ac:dyDescent="0.25">
      <c r="A550" t="s">
        <v>1032</v>
      </c>
      <c r="B550" t="s">
        <v>1033</v>
      </c>
      <c r="C550" s="1">
        <v>45647</v>
      </c>
      <c r="D550" t="s">
        <v>47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27</v>
      </c>
      <c r="K550">
        <v>0</v>
      </c>
      <c r="L550">
        <v>0</v>
      </c>
    </row>
    <row r="551" spans="1:12" x14ac:dyDescent="0.25">
      <c r="A551" t="s">
        <v>1034</v>
      </c>
      <c r="B551" t="s">
        <v>1035</v>
      </c>
      <c r="C551" s="1">
        <v>45822</v>
      </c>
      <c r="D551" t="s">
        <v>24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15</v>
      </c>
      <c r="K551">
        <v>0</v>
      </c>
      <c r="L551">
        <v>0</v>
      </c>
    </row>
    <row r="552" spans="1:12" x14ac:dyDescent="0.25">
      <c r="A552" t="s">
        <v>1036</v>
      </c>
      <c r="B552" t="s">
        <v>1037</v>
      </c>
      <c r="C552" s="1">
        <v>45421</v>
      </c>
      <c r="D552" t="s">
        <v>38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15</v>
      </c>
      <c r="K552">
        <v>0</v>
      </c>
      <c r="L552">
        <v>0</v>
      </c>
    </row>
    <row r="553" spans="1:12" x14ac:dyDescent="0.25">
      <c r="A553" t="s">
        <v>1038</v>
      </c>
      <c r="B553" t="s">
        <v>1039</v>
      </c>
      <c r="C553" s="1">
        <v>45701</v>
      </c>
      <c r="D553" t="s">
        <v>21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27</v>
      </c>
      <c r="K553">
        <v>0</v>
      </c>
      <c r="L553">
        <v>0</v>
      </c>
    </row>
    <row r="554" spans="1:12" x14ac:dyDescent="0.25">
      <c r="A554" t="s">
        <v>1040</v>
      </c>
      <c r="B554" t="s">
        <v>1041</v>
      </c>
      <c r="C554" s="1">
        <v>45502</v>
      </c>
      <c r="D554" t="s">
        <v>24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15</v>
      </c>
      <c r="K554">
        <v>0</v>
      </c>
      <c r="L554">
        <v>0</v>
      </c>
    </row>
    <row r="555" spans="1:12" x14ac:dyDescent="0.25">
      <c r="A555" t="s">
        <v>1042</v>
      </c>
      <c r="B555" t="s">
        <v>1041</v>
      </c>
      <c r="C555" s="1">
        <v>45684</v>
      </c>
      <c r="D555" t="s">
        <v>17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27</v>
      </c>
      <c r="K555">
        <v>0</v>
      </c>
      <c r="L555">
        <v>0</v>
      </c>
    </row>
    <row r="556" spans="1:12" x14ac:dyDescent="0.25">
      <c r="A556" t="s">
        <v>1043</v>
      </c>
      <c r="B556" t="s">
        <v>1044</v>
      </c>
      <c r="C556" s="1">
        <v>45711</v>
      </c>
      <c r="D556" t="s">
        <v>36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62</v>
      </c>
      <c r="K556">
        <v>0</v>
      </c>
      <c r="L556">
        <v>0</v>
      </c>
    </row>
    <row r="557" spans="1:12" x14ac:dyDescent="0.25">
      <c r="A557" t="s">
        <v>1045</v>
      </c>
      <c r="B557" t="s">
        <v>1046</v>
      </c>
      <c r="C557" s="1">
        <v>45482</v>
      </c>
      <c r="D557" t="s">
        <v>30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62</v>
      </c>
      <c r="K557">
        <v>0</v>
      </c>
      <c r="L557">
        <v>0</v>
      </c>
    </row>
    <row r="558" spans="1:12" x14ac:dyDescent="0.25">
      <c r="A558" t="s">
        <v>1047</v>
      </c>
      <c r="B558" t="s">
        <v>1046</v>
      </c>
      <c r="C558" s="1">
        <v>45303</v>
      </c>
      <c r="D558" t="s">
        <v>30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27</v>
      </c>
      <c r="K558">
        <v>0</v>
      </c>
      <c r="L558">
        <v>0</v>
      </c>
    </row>
    <row r="559" spans="1:12" x14ac:dyDescent="0.25">
      <c r="A559" t="s">
        <v>1048</v>
      </c>
      <c r="B559" t="s">
        <v>1049</v>
      </c>
      <c r="C559" s="1">
        <v>45514</v>
      </c>
      <c r="D559" t="s">
        <v>38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18</v>
      </c>
      <c r="K559">
        <v>101</v>
      </c>
      <c r="L559">
        <v>1</v>
      </c>
    </row>
    <row r="560" spans="1:12" x14ac:dyDescent="0.25">
      <c r="A560" t="s">
        <v>1050</v>
      </c>
      <c r="B560" t="s">
        <v>1051</v>
      </c>
      <c r="C560" s="1">
        <v>45619</v>
      </c>
      <c r="D560" t="s">
        <v>36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18</v>
      </c>
      <c r="K560">
        <v>42</v>
      </c>
      <c r="L560">
        <v>1</v>
      </c>
    </row>
    <row r="561" spans="1:12" x14ac:dyDescent="0.25">
      <c r="A561" t="s">
        <v>1052</v>
      </c>
      <c r="B561" t="s">
        <v>1053</v>
      </c>
      <c r="C561" s="1">
        <v>45467</v>
      </c>
      <c r="D561" t="s">
        <v>14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27</v>
      </c>
      <c r="K561">
        <v>0</v>
      </c>
      <c r="L561">
        <v>0</v>
      </c>
    </row>
    <row r="562" spans="1:12" x14ac:dyDescent="0.25">
      <c r="A562" t="s">
        <v>1054</v>
      </c>
      <c r="B562" t="s">
        <v>1053</v>
      </c>
      <c r="C562" s="1">
        <v>45764</v>
      </c>
      <c r="D562" t="s">
        <v>41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27</v>
      </c>
      <c r="K562">
        <v>0</v>
      </c>
      <c r="L562">
        <v>0</v>
      </c>
    </row>
    <row r="563" spans="1:12" x14ac:dyDescent="0.25">
      <c r="A563" t="s">
        <v>1055</v>
      </c>
      <c r="B563" t="s">
        <v>1056</v>
      </c>
      <c r="C563" s="1">
        <v>45717</v>
      </c>
      <c r="D563" t="s">
        <v>21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15</v>
      </c>
      <c r="K563">
        <v>0</v>
      </c>
      <c r="L563">
        <v>0</v>
      </c>
    </row>
    <row r="564" spans="1:12" x14ac:dyDescent="0.25">
      <c r="A564" t="s">
        <v>1057</v>
      </c>
      <c r="B564" t="s">
        <v>1056</v>
      </c>
      <c r="C564" s="1">
        <v>45694</v>
      </c>
      <c r="D564" t="s">
        <v>17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18</v>
      </c>
      <c r="K564">
        <v>146</v>
      </c>
      <c r="L564">
        <v>1</v>
      </c>
    </row>
    <row r="565" spans="1:12" x14ac:dyDescent="0.25">
      <c r="A565" t="s">
        <v>1058</v>
      </c>
      <c r="B565" t="s">
        <v>1059</v>
      </c>
      <c r="C565" s="1">
        <v>45340</v>
      </c>
      <c r="D565" t="s">
        <v>36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15</v>
      </c>
      <c r="K565">
        <v>0</v>
      </c>
      <c r="L565">
        <v>0</v>
      </c>
    </row>
    <row r="566" spans="1:12" x14ac:dyDescent="0.25">
      <c r="A566" t="s">
        <v>1060</v>
      </c>
      <c r="B566" t="s">
        <v>1061</v>
      </c>
      <c r="C566" s="1">
        <v>45297</v>
      </c>
      <c r="D566" t="s">
        <v>17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62</v>
      </c>
      <c r="K566">
        <v>15</v>
      </c>
      <c r="L566">
        <v>0</v>
      </c>
    </row>
    <row r="567" spans="1:12" x14ac:dyDescent="0.25">
      <c r="A567" t="s">
        <v>1062</v>
      </c>
      <c r="B567" t="s">
        <v>1061</v>
      </c>
      <c r="C567" s="1">
        <v>45680</v>
      </c>
      <c r="D567" t="s">
        <v>41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18</v>
      </c>
      <c r="K567">
        <v>73</v>
      </c>
      <c r="L567">
        <v>1</v>
      </c>
    </row>
    <row r="568" spans="1:12" x14ac:dyDescent="0.25">
      <c r="A568" t="s">
        <v>1063</v>
      </c>
      <c r="B568" t="s">
        <v>1064</v>
      </c>
      <c r="C568" s="1">
        <v>45715</v>
      </c>
      <c r="D568" t="s">
        <v>47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27</v>
      </c>
      <c r="K568">
        <v>0</v>
      </c>
      <c r="L568">
        <v>0</v>
      </c>
    </row>
    <row r="569" spans="1:12" x14ac:dyDescent="0.25">
      <c r="A569" t="s">
        <v>1065</v>
      </c>
      <c r="B569" t="s">
        <v>1064</v>
      </c>
      <c r="C569" s="1">
        <v>45786</v>
      </c>
      <c r="D569" t="s">
        <v>38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27</v>
      </c>
      <c r="K569">
        <v>0</v>
      </c>
      <c r="L569">
        <v>0</v>
      </c>
    </row>
    <row r="570" spans="1:12" x14ac:dyDescent="0.25">
      <c r="A570" t="s">
        <v>1066</v>
      </c>
      <c r="B570" t="s">
        <v>1067</v>
      </c>
      <c r="C570" s="1">
        <v>45368</v>
      </c>
      <c r="D570" t="s">
        <v>21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27</v>
      </c>
      <c r="K570">
        <v>0</v>
      </c>
      <c r="L570">
        <v>0</v>
      </c>
    </row>
    <row r="571" spans="1:12" x14ac:dyDescent="0.25">
      <c r="A571" t="s">
        <v>1068</v>
      </c>
      <c r="B571" t="s">
        <v>1069</v>
      </c>
      <c r="C571" s="1">
        <v>45832</v>
      </c>
      <c r="D571" t="s">
        <v>17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15</v>
      </c>
      <c r="K571">
        <v>0</v>
      </c>
      <c r="L571">
        <v>0</v>
      </c>
    </row>
    <row r="572" spans="1:12" x14ac:dyDescent="0.25">
      <c r="A572" t="s">
        <v>1070</v>
      </c>
      <c r="B572" t="s">
        <v>1071</v>
      </c>
      <c r="C572" s="1">
        <v>45664</v>
      </c>
      <c r="D572" t="s">
        <v>33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62</v>
      </c>
      <c r="K572">
        <v>0</v>
      </c>
      <c r="L572">
        <v>0</v>
      </c>
    </row>
    <row r="573" spans="1:12" x14ac:dyDescent="0.25">
      <c r="A573" t="s">
        <v>1072</v>
      </c>
      <c r="B573" t="s">
        <v>1073</v>
      </c>
      <c r="C573" s="1">
        <v>45396</v>
      </c>
      <c r="D573" t="s">
        <v>17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62</v>
      </c>
      <c r="K573">
        <v>15</v>
      </c>
      <c r="L573">
        <v>0</v>
      </c>
    </row>
    <row r="574" spans="1:12" x14ac:dyDescent="0.25">
      <c r="A574" t="s">
        <v>1074</v>
      </c>
      <c r="B574" t="s">
        <v>1075</v>
      </c>
      <c r="C574" s="1">
        <v>45563</v>
      </c>
      <c r="D574" t="s">
        <v>14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27</v>
      </c>
      <c r="K574">
        <v>0</v>
      </c>
      <c r="L574">
        <v>0</v>
      </c>
    </row>
    <row r="575" spans="1:12" x14ac:dyDescent="0.25">
      <c r="A575" t="s">
        <v>1076</v>
      </c>
      <c r="B575" t="s">
        <v>1077</v>
      </c>
      <c r="C575" s="1">
        <v>45670</v>
      </c>
      <c r="D575" t="s">
        <v>17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15</v>
      </c>
      <c r="K575">
        <v>0</v>
      </c>
      <c r="L575">
        <v>0</v>
      </c>
    </row>
    <row r="576" spans="1:12" x14ac:dyDescent="0.25">
      <c r="A576" t="s">
        <v>1078</v>
      </c>
      <c r="B576" t="s">
        <v>1079</v>
      </c>
      <c r="C576" s="1">
        <v>45797</v>
      </c>
      <c r="D576" t="s">
        <v>24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27</v>
      </c>
      <c r="K576">
        <v>0</v>
      </c>
      <c r="L576">
        <v>0</v>
      </c>
    </row>
    <row r="577" spans="1:12" x14ac:dyDescent="0.25">
      <c r="A577" t="s">
        <v>1080</v>
      </c>
      <c r="B577" t="s">
        <v>1081</v>
      </c>
      <c r="C577" s="1">
        <v>45536</v>
      </c>
      <c r="D577" t="s">
        <v>36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18</v>
      </c>
      <c r="K577">
        <v>55</v>
      </c>
      <c r="L577">
        <v>1</v>
      </c>
    </row>
    <row r="578" spans="1:12" x14ac:dyDescent="0.25">
      <c r="A578" t="s">
        <v>1082</v>
      </c>
      <c r="B578" t="s">
        <v>1083</v>
      </c>
      <c r="C578" s="1">
        <v>45566</v>
      </c>
      <c r="D578" t="s">
        <v>47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27</v>
      </c>
      <c r="K578">
        <v>0</v>
      </c>
      <c r="L578">
        <v>0</v>
      </c>
    </row>
    <row r="579" spans="1:12" x14ac:dyDescent="0.25">
      <c r="A579" t="s">
        <v>1084</v>
      </c>
      <c r="B579" t="s">
        <v>1085</v>
      </c>
      <c r="C579" s="1">
        <v>45780</v>
      </c>
      <c r="D579" t="s">
        <v>47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62</v>
      </c>
      <c r="K579">
        <v>15</v>
      </c>
      <c r="L579">
        <v>0</v>
      </c>
    </row>
    <row r="580" spans="1:12" x14ac:dyDescent="0.25">
      <c r="A580" t="s">
        <v>1086</v>
      </c>
      <c r="B580" t="s">
        <v>1087</v>
      </c>
      <c r="C580" s="1">
        <v>45305</v>
      </c>
      <c r="D580" t="s">
        <v>36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27</v>
      </c>
      <c r="K580">
        <v>0</v>
      </c>
      <c r="L580">
        <v>0</v>
      </c>
    </row>
    <row r="581" spans="1:12" x14ac:dyDescent="0.25">
      <c r="A581" t="s">
        <v>1088</v>
      </c>
      <c r="B581" t="s">
        <v>1089</v>
      </c>
      <c r="C581" s="1">
        <v>45777</v>
      </c>
      <c r="D581" t="s">
        <v>36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27</v>
      </c>
      <c r="K581">
        <v>0</v>
      </c>
      <c r="L581">
        <v>0</v>
      </c>
    </row>
    <row r="582" spans="1:12" x14ac:dyDescent="0.25">
      <c r="A582" t="s">
        <v>1090</v>
      </c>
      <c r="B582" t="s">
        <v>1089</v>
      </c>
      <c r="C582" s="1">
        <v>45829</v>
      </c>
      <c r="D582" t="s">
        <v>36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15</v>
      </c>
      <c r="K582">
        <v>0</v>
      </c>
      <c r="L582">
        <v>0</v>
      </c>
    </row>
    <row r="583" spans="1:12" x14ac:dyDescent="0.25">
      <c r="A583" t="s">
        <v>1091</v>
      </c>
      <c r="B583" t="s">
        <v>1092</v>
      </c>
      <c r="C583" s="1">
        <v>45790</v>
      </c>
      <c r="D583" t="s">
        <v>30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15</v>
      </c>
      <c r="K583">
        <v>0</v>
      </c>
      <c r="L583">
        <v>0</v>
      </c>
    </row>
    <row r="584" spans="1:12" x14ac:dyDescent="0.25">
      <c r="A584" t="s">
        <v>1093</v>
      </c>
      <c r="B584" t="s">
        <v>1094</v>
      </c>
      <c r="C584" s="1">
        <v>45568</v>
      </c>
      <c r="D584" t="s">
        <v>30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27</v>
      </c>
      <c r="K584">
        <v>0</v>
      </c>
      <c r="L584">
        <v>0</v>
      </c>
    </row>
    <row r="585" spans="1:12" x14ac:dyDescent="0.25">
      <c r="A585" t="s">
        <v>1095</v>
      </c>
      <c r="B585" t="s">
        <v>1096</v>
      </c>
      <c r="C585" s="1">
        <v>45733</v>
      </c>
      <c r="D585" t="s">
        <v>38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27</v>
      </c>
      <c r="K585">
        <v>0</v>
      </c>
      <c r="L585">
        <v>0</v>
      </c>
    </row>
    <row r="586" spans="1:12" x14ac:dyDescent="0.25">
      <c r="A586" t="s">
        <v>1097</v>
      </c>
      <c r="B586" t="s">
        <v>1096</v>
      </c>
      <c r="C586" s="1">
        <v>45752</v>
      </c>
      <c r="D586" t="s">
        <v>17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62</v>
      </c>
      <c r="K586">
        <v>15</v>
      </c>
      <c r="L586">
        <v>0</v>
      </c>
    </row>
    <row r="587" spans="1:12" x14ac:dyDescent="0.25">
      <c r="A587" t="s">
        <v>1098</v>
      </c>
      <c r="B587" t="s">
        <v>1099</v>
      </c>
      <c r="C587" s="1">
        <v>45574</v>
      </c>
      <c r="D587" t="s">
        <v>30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27</v>
      </c>
      <c r="K587">
        <v>0</v>
      </c>
      <c r="L587">
        <v>0</v>
      </c>
    </row>
    <row r="588" spans="1:12" x14ac:dyDescent="0.25">
      <c r="A588" t="s">
        <v>1100</v>
      </c>
      <c r="B588" t="s">
        <v>1099</v>
      </c>
      <c r="C588" s="1">
        <v>45647</v>
      </c>
      <c r="D588" t="s">
        <v>30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62</v>
      </c>
      <c r="K588">
        <v>30</v>
      </c>
      <c r="L588">
        <v>0</v>
      </c>
    </row>
    <row r="589" spans="1:12" x14ac:dyDescent="0.25">
      <c r="A589" t="s">
        <v>1101</v>
      </c>
      <c r="B589" t="s">
        <v>1102</v>
      </c>
      <c r="C589" s="1">
        <v>45458</v>
      </c>
      <c r="D589" t="s">
        <v>14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15</v>
      </c>
      <c r="K589">
        <v>0</v>
      </c>
      <c r="L589">
        <v>0</v>
      </c>
    </row>
    <row r="590" spans="1:12" x14ac:dyDescent="0.25">
      <c r="A590" t="s">
        <v>1103</v>
      </c>
      <c r="B590" t="s">
        <v>1104</v>
      </c>
      <c r="C590" s="1">
        <v>45605</v>
      </c>
      <c r="D590" t="s">
        <v>41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18</v>
      </c>
      <c r="K590">
        <v>120</v>
      </c>
      <c r="L590">
        <v>1</v>
      </c>
    </row>
    <row r="591" spans="1:12" x14ac:dyDescent="0.25">
      <c r="A591" t="s">
        <v>1105</v>
      </c>
      <c r="B591" t="s">
        <v>1106</v>
      </c>
      <c r="C591" s="1">
        <v>45806</v>
      </c>
      <c r="D591" t="s">
        <v>41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27</v>
      </c>
      <c r="K591">
        <v>0</v>
      </c>
      <c r="L591">
        <v>0</v>
      </c>
    </row>
    <row r="592" spans="1:12" x14ac:dyDescent="0.25">
      <c r="A592" t="s">
        <v>1107</v>
      </c>
      <c r="B592" t="s">
        <v>1108</v>
      </c>
      <c r="C592" s="1">
        <v>45374</v>
      </c>
      <c r="D592" t="s">
        <v>24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18</v>
      </c>
      <c r="K592">
        <v>38</v>
      </c>
      <c r="L592">
        <v>1</v>
      </c>
    </row>
    <row r="593" spans="1:12" x14ac:dyDescent="0.25">
      <c r="A593" t="s">
        <v>1109</v>
      </c>
      <c r="B593" t="s">
        <v>1110</v>
      </c>
      <c r="C593" s="1">
        <v>45392</v>
      </c>
      <c r="D593" t="s">
        <v>30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62</v>
      </c>
      <c r="K593">
        <v>15</v>
      </c>
      <c r="L593">
        <v>0</v>
      </c>
    </row>
    <row r="594" spans="1:12" x14ac:dyDescent="0.25">
      <c r="A594" t="s">
        <v>1111</v>
      </c>
      <c r="B594" t="s">
        <v>1112</v>
      </c>
      <c r="C594" s="1">
        <v>45496</v>
      </c>
      <c r="D594" t="s">
        <v>17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27</v>
      </c>
      <c r="K594">
        <v>0</v>
      </c>
      <c r="L594">
        <v>0</v>
      </c>
    </row>
    <row r="595" spans="1:12" x14ac:dyDescent="0.25">
      <c r="A595" t="s">
        <v>1113</v>
      </c>
      <c r="B595" t="s">
        <v>1114</v>
      </c>
      <c r="C595" s="1">
        <v>45739</v>
      </c>
      <c r="D595" t="s">
        <v>24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18</v>
      </c>
      <c r="K595">
        <v>164</v>
      </c>
      <c r="L595">
        <v>1</v>
      </c>
    </row>
    <row r="596" spans="1:12" x14ac:dyDescent="0.25">
      <c r="A596" t="s">
        <v>1115</v>
      </c>
      <c r="B596" t="s">
        <v>1116</v>
      </c>
      <c r="C596" s="1">
        <v>45729</v>
      </c>
      <c r="D596" t="s">
        <v>30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62</v>
      </c>
      <c r="K596">
        <v>30</v>
      </c>
      <c r="L596">
        <v>0</v>
      </c>
    </row>
    <row r="597" spans="1:12" x14ac:dyDescent="0.25">
      <c r="A597" t="s">
        <v>1117</v>
      </c>
      <c r="B597" t="s">
        <v>1118</v>
      </c>
      <c r="C597" s="1">
        <v>45601</v>
      </c>
      <c r="D597" t="s">
        <v>41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27</v>
      </c>
      <c r="K597">
        <v>0</v>
      </c>
      <c r="L597">
        <v>0</v>
      </c>
    </row>
    <row r="598" spans="1:12" x14ac:dyDescent="0.25">
      <c r="A598" t="s">
        <v>1119</v>
      </c>
      <c r="B598" t="s">
        <v>1118</v>
      </c>
      <c r="C598" s="1">
        <v>45694</v>
      </c>
      <c r="D598" t="s">
        <v>47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18</v>
      </c>
      <c r="K598">
        <v>31</v>
      </c>
      <c r="L598">
        <v>1</v>
      </c>
    </row>
    <row r="599" spans="1:12" x14ac:dyDescent="0.25">
      <c r="A599" t="s">
        <v>1120</v>
      </c>
      <c r="B599" t="s">
        <v>1121</v>
      </c>
      <c r="C599" s="1">
        <v>45401</v>
      </c>
      <c r="D599" t="s">
        <v>21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27</v>
      </c>
      <c r="K599">
        <v>0</v>
      </c>
      <c r="L599">
        <v>0</v>
      </c>
    </row>
    <row r="600" spans="1:12" x14ac:dyDescent="0.25">
      <c r="A600" t="s">
        <v>1122</v>
      </c>
      <c r="B600" t="s">
        <v>1123</v>
      </c>
      <c r="C600" s="1">
        <v>45346</v>
      </c>
      <c r="D600" t="s">
        <v>30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27</v>
      </c>
      <c r="K600">
        <v>0</v>
      </c>
      <c r="L600">
        <v>0</v>
      </c>
    </row>
    <row r="601" spans="1:12" x14ac:dyDescent="0.25">
      <c r="A601" t="s">
        <v>1124</v>
      </c>
      <c r="B601" t="s">
        <v>1125</v>
      </c>
      <c r="C601" s="1">
        <v>45610</v>
      </c>
      <c r="D601" t="s">
        <v>33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62</v>
      </c>
      <c r="K601">
        <v>15</v>
      </c>
      <c r="L601">
        <v>0</v>
      </c>
    </row>
    <row r="602" spans="1:12" x14ac:dyDescent="0.25">
      <c r="A602" t="s">
        <v>1126</v>
      </c>
      <c r="B602" t="s">
        <v>1125</v>
      </c>
      <c r="C602" s="1">
        <v>45415</v>
      </c>
      <c r="D602" t="s">
        <v>47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27</v>
      </c>
      <c r="K602">
        <v>0</v>
      </c>
      <c r="L60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4ADD-145C-4EF5-B0DA-06A93B0E57FD}">
  <dimension ref="A1:V602"/>
  <sheetViews>
    <sheetView topLeftCell="E1" workbookViewId="0">
      <selection activeCell="U5" sqref="Q5:U5"/>
    </sheetView>
  </sheetViews>
  <sheetFormatPr defaultRowHeight="15" x14ac:dyDescent="0.25"/>
  <cols>
    <col min="2" max="2" width="11.5703125" bestFit="1" customWidth="1"/>
    <col min="3" max="3" width="16" bestFit="1" customWidth="1"/>
    <col min="4" max="4" width="18.42578125" bestFit="1" customWidth="1"/>
    <col min="5" max="5" width="12.7109375" bestFit="1" customWidth="1"/>
    <col min="6" max="6" width="12.5703125" bestFit="1" customWidth="1"/>
    <col min="7" max="7" width="9.42578125" customWidth="1"/>
    <col min="8" max="8" width="16.7109375" bestFit="1" customWidth="1"/>
    <col min="9" max="9" width="8.28515625" bestFit="1" customWidth="1"/>
    <col min="10" max="10" width="11.28515625" bestFit="1" customWidth="1"/>
    <col min="11" max="11" width="15.5703125" bestFit="1" customWidth="1"/>
    <col min="12" max="12" width="9.28515625" bestFit="1" customWidth="1"/>
    <col min="13" max="13" width="11.7109375" bestFit="1" customWidth="1"/>
    <col min="14" max="14" width="18.7109375" bestFit="1" customWidth="1"/>
    <col min="16" max="16" width="19.85546875" bestFit="1" customWidth="1"/>
    <col min="17" max="17" width="16.85546875" bestFit="1" customWidth="1"/>
    <col min="18" max="20" width="7.7109375" bestFit="1" customWidth="1"/>
    <col min="21" max="21" width="7.140625" bestFit="1" customWidth="1"/>
    <col min="22" max="22" width="12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1128</v>
      </c>
      <c r="N1" t="s">
        <v>1127</v>
      </c>
      <c r="P1" s="2" t="s">
        <v>0</v>
      </c>
      <c r="Q1" t="s">
        <v>1139</v>
      </c>
    </row>
    <row r="2" spans="1:22" x14ac:dyDescent="0.25">
      <c r="A2" t="s">
        <v>12</v>
      </c>
      <c r="B2" t="s">
        <v>13</v>
      </c>
      <c r="C2" s="1">
        <v>45299</v>
      </c>
      <c r="D2" t="s">
        <v>14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15</v>
      </c>
      <c r="K2">
        <v>0</v>
      </c>
      <c r="L2">
        <v>0</v>
      </c>
      <c r="M2" cm="1">
        <f t="array" ref="M2:M602">_xlfn.XLOOKUP(B2:B602,[1]borrower_profiles!$A$2:$A$501,[1]borrower_profiles!$H$2:$H$501)</f>
        <v>596</v>
      </c>
      <c r="N2" t="str" cm="1">
        <f t="array" ref="N2">_xlfn.IFS(M2&lt;=599,"520-599",M2&lt;=649,"600-649",M2&lt;=699,"650-699",M2&lt;=749,"700-749",M2&gt;=750,"750+")</f>
        <v>520-599</v>
      </c>
    </row>
    <row r="3" spans="1:22" x14ac:dyDescent="0.25">
      <c r="A3" t="s">
        <v>16</v>
      </c>
      <c r="B3" t="s">
        <v>13</v>
      </c>
      <c r="C3" s="1">
        <v>45517</v>
      </c>
      <c r="D3" t="s">
        <v>17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18</v>
      </c>
      <c r="K3">
        <v>138</v>
      </c>
      <c r="L3">
        <v>1</v>
      </c>
      <c r="M3">
        <v>596</v>
      </c>
      <c r="N3" t="str" cm="1">
        <f t="array" ref="N3">_xlfn.IFS(M3&lt;=599,"520-599",M3&lt;=649,"600-649",M3&lt;=699,"650-699",M3&lt;=749,"700-749",M3&gt;=750,"750+")</f>
        <v>520-599</v>
      </c>
      <c r="Q3" s="2" t="s">
        <v>1138</v>
      </c>
    </row>
    <row r="4" spans="1:22" x14ac:dyDescent="0.25">
      <c r="A4" t="s">
        <v>19</v>
      </c>
      <c r="B4" t="s">
        <v>20</v>
      </c>
      <c r="C4" s="1">
        <v>45836</v>
      </c>
      <c r="D4" t="s">
        <v>21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15</v>
      </c>
      <c r="K4">
        <v>0</v>
      </c>
      <c r="L4">
        <v>0</v>
      </c>
      <c r="M4">
        <v>543</v>
      </c>
      <c r="N4" t="str" cm="1">
        <f t="array" ref="N4">_xlfn.IFS(M4&lt;=599,"520-599",M4&lt;=649,"600-649",M4&lt;=699,"650-699",M4&lt;=749,"700-749",M4&gt;=750,"750+")</f>
        <v>520-599</v>
      </c>
      <c r="Q4" t="s">
        <v>1131</v>
      </c>
      <c r="R4" t="s">
        <v>1132</v>
      </c>
      <c r="S4" t="s">
        <v>1133</v>
      </c>
      <c r="T4" t="s">
        <v>1134</v>
      </c>
      <c r="U4" t="s">
        <v>1135</v>
      </c>
      <c r="V4" t="s">
        <v>1136</v>
      </c>
    </row>
    <row r="5" spans="1:22" x14ac:dyDescent="0.25">
      <c r="A5" t="s">
        <v>22</v>
      </c>
      <c r="B5" t="s">
        <v>23</v>
      </c>
      <c r="C5" s="1">
        <v>45795</v>
      </c>
      <c r="D5" t="s">
        <v>24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18</v>
      </c>
      <c r="K5">
        <v>34</v>
      </c>
      <c r="L5">
        <v>1</v>
      </c>
      <c r="M5">
        <v>611</v>
      </c>
      <c r="N5" t="str" cm="1">
        <f t="array" ref="N5">_xlfn.IFS(M5&lt;=599,"520-599",M5&lt;=649,"600-649",M5&lt;=699,"650-699",M5&lt;=749,"700-749",M5&gt;=750,"750+")</f>
        <v>600-649</v>
      </c>
      <c r="P5" t="s">
        <v>1137</v>
      </c>
      <c r="Q5" s="4">
        <v>0.49137931034482757</v>
      </c>
      <c r="R5" s="4">
        <v>0.29032258064516131</v>
      </c>
      <c r="S5" s="4">
        <v>0.28000000000000003</v>
      </c>
      <c r="T5" s="4">
        <v>0.16279069767441862</v>
      </c>
      <c r="U5" s="4">
        <v>0.11688311688311688</v>
      </c>
      <c r="V5">
        <v>0.24292845257903495</v>
      </c>
    </row>
    <row r="6" spans="1:22" x14ac:dyDescent="0.25">
      <c r="A6" t="s">
        <v>25</v>
      </c>
      <c r="B6" t="s">
        <v>26</v>
      </c>
      <c r="C6" s="1">
        <v>45740</v>
      </c>
      <c r="D6" t="s">
        <v>21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27</v>
      </c>
      <c r="K6">
        <v>0</v>
      </c>
      <c r="L6">
        <v>0</v>
      </c>
      <c r="M6">
        <v>701</v>
      </c>
      <c r="N6" t="str" cm="1">
        <f t="array" ref="N6">_xlfn.IFS(M6&lt;=599,"520-599",M6&lt;=649,"600-649",M6&lt;=699,"650-699",M6&lt;=749,"700-749",M6&gt;=750,"750+")</f>
        <v>700-749</v>
      </c>
    </row>
    <row r="7" spans="1:22" x14ac:dyDescent="0.25">
      <c r="A7" t="s">
        <v>28</v>
      </c>
      <c r="B7" t="s">
        <v>29</v>
      </c>
      <c r="C7" s="1">
        <v>45766</v>
      </c>
      <c r="D7" t="s">
        <v>30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27</v>
      </c>
      <c r="K7">
        <v>0</v>
      </c>
      <c r="L7">
        <v>0</v>
      </c>
      <c r="M7">
        <v>715</v>
      </c>
      <c r="N7" t="str" cm="1">
        <f t="array" ref="N7">_xlfn.IFS(M7&lt;=599,"520-599",M7&lt;=649,"600-649",M7&lt;=699,"650-699",M7&lt;=749,"700-749",M7&gt;=750,"750+")</f>
        <v>700-749</v>
      </c>
    </row>
    <row r="8" spans="1:22" x14ac:dyDescent="0.25">
      <c r="A8" t="s">
        <v>31</v>
      </c>
      <c r="B8" t="s">
        <v>32</v>
      </c>
      <c r="C8" s="1">
        <v>45477</v>
      </c>
      <c r="D8" t="s">
        <v>33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15</v>
      </c>
      <c r="K8">
        <v>0</v>
      </c>
      <c r="L8">
        <v>0</v>
      </c>
      <c r="M8">
        <v>749</v>
      </c>
      <c r="N8" t="str" cm="1">
        <f t="array" ref="N8">_xlfn.IFS(M8&lt;=599,"520-599",M8&lt;=649,"600-649",M8&lt;=699,"650-699",M8&lt;=749,"700-749",M8&gt;=750,"750+")</f>
        <v>700-749</v>
      </c>
    </row>
    <row r="9" spans="1:22" x14ac:dyDescent="0.25">
      <c r="A9" t="s">
        <v>34</v>
      </c>
      <c r="B9" t="s">
        <v>35</v>
      </c>
      <c r="C9" s="1">
        <v>45745</v>
      </c>
      <c r="D9" t="s">
        <v>36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18</v>
      </c>
      <c r="K9">
        <v>38</v>
      </c>
      <c r="L9">
        <v>1</v>
      </c>
      <c r="M9">
        <v>576</v>
      </c>
      <c r="N9" t="str" cm="1">
        <f t="array" ref="N9">_xlfn.IFS(M9&lt;=599,"520-599",M9&lt;=649,"600-649",M9&lt;=699,"650-699",M9&lt;=749,"700-749",M9&gt;=750,"750+")</f>
        <v>520-599</v>
      </c>
    </row>
    <row r="10" spans="1:22" x14ac:dyDescent="0.25">
      <c r="A10" t="s">
        <v>37</v>
      </c>
      <c r="B10" t="s">
        <v>35</v>
      </c>
      <c r="C10" s="1">
        <v>45505</v>
      </c>
      <c r="D10" t="s">
        <v>38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27</v>
      </c>
      <c r="K10">
        <v>0</v>
      </c>
      <c r="L10">
        <v>0</v>
      </c>
      <c r="M10">
        <v>576</v>
      </c>
      <c r="N10" t="str" cm="1">
        <f t="array" ref="N10">_xlfn.IFS(M10&lt;=599,"520-599",M10&lt;=649,"600-649",M10&lt;=699,"650-699",M10&lt;=749,"700-749",M10&gt;=750,"750+")</f>
        <v>520-599</v>
      </c>
    </row>
    <row r="11" spans="1:22" x14ac:dyDescent="0.25">
      <c r="A11" t="s">
        <v>39</v>
      </c>
      <c r="B11" t="s">
        <v>40</v>
      </c>
      <c r="C11" s="1">
        <v>45597</v>
      </c>
      <c r="D11" t="s">
        <v>41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18</v>
      </c>
      <c r="K11">
        <v>43</v>
      </c>
      <c r="L11">
        <v>1</v>
      </c>
      <c r="M11">
        <v>563</v>
      </c>
      <c r="N11" t="str" cm="1">
        <f t="array" ref="N11">_xlfn.IFS(M11&lt;=599,"520-599",M11&lt;=649,"600-649",M11&lt;=699,"650-699",M11&lt;=749,"700-749",M11&gt;=750,"750+")</f>
        <v>520-599</v>
      </c>
    </row>
    <row r="12" spans="1:22" x14ac:dyDescent="0.25">
      <c r="A12" t="s">
        <v>42</v>
      </c>
      <c r="B12" t="s">
        <v>43</v>
      </c>
      <c r="C12" s="1">
        <v>45463</v>
      </c>
      <c r="D12" t="s">
        <v>38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27</v>
      </c>
      <c r="K12">
        <v>0</v>
      </c>
      <c r="L12">
        <v>0</v>
      </c>
      <c r="M12">
        <v>643</v>
      </c>
      <c r="N12" t="str" cm="1">
        <f t="array" ref="N12">_xlfn.IFS(M12&lt;=599,"520-599",M12&lt;=649,"600-649",M12&lt;=699,"650-699",M12&lt;=749,"700-749",M12&gt;=750,"750+")</f>
        <v>600-649</v>
      </c>
    </row>
    <row r="13" spans="1:22" x14ac:dyDescent="0.25">
      <c r="A13" t="s">
        <v>44</v>
      </c>
      <c r="B13" t="s">
        <v>43</v>
      </c>
      <c r="C13" s="1">
        <v>45450</v>
      </c>
      <c r="D13" t="s">
        <v>38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27</v>
      </c>
      <c r="K13">
        <v>0</v>
      </c>
      <c r="L13">
        <v>0</v>
      </c>
      <c r="M13">
        <v>643</v>
      </c>
      <c r="N13" t="str" cm="1">
        <f t="array" ref="N13">_xlfn.IFS(M13&lt;=599,"520-599",M13&lt;=649,"600-649",M13&lt;=699,"650-699",M13&lt;=749,"700-749",M13&gt;=750,"750+")</f>
        <v>600-649</v>
      </c>
    </row>
    <row r="14" spans="1:22" x14ac:dyDescent="0.25">
      <c r="A14" t="s">
        <v>45</v>
      </c>
      <c r="B14" t="s">
        <v>46</v>
      </c>
      <c r="C14" s="1">
        <v>45449</v>
      </c>
      <c r="D14" t="s">
        <v>47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27</v>
      </c>
      <c r="K14">
        <v>0</v>
      </c>
      <c r="L14">
        <v>0</v>
      </c>
      <c r="M14">
        <v>824</v>
      </c>
      <c r="N14" t="str" cm="1">
        <f t="array" ref="N14">_xlfn.IFS(M14&lt;=599,"520-599",M14&lt;=649,"600-649",M14&lt;=699,"650-699",M14&lt;=749,"700-749",M14&gt;=750,"750+")</f>
        <v>750+</v>
      </c>
    </row>
    <row r="15" spans="1:22" x14ac:dyDescent="0.25">
      <c r="A15" t="s">
        <v>48</v>
      </c>
      <c r="B15" t="s">
        <v>49</v>
      </c>
      <c r="C15" s="1">
        <v>45313</v>
      </c>
      <c r="D15" t="s">
        <v>21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27</v>
      </c>
      <c r="K15">
        <v>0</v>
      </c>
      <c r="L15">
        <v>0</v>
      </c>
      <c r="M15">
        <v>586</v>
      </c>
      <c r="N15" t="str" cm="1">
        <f t="array" ref="N15">_xlfn.IFS(M15&lt;=599,"520-599",M15&lt;=649,"600-649",M15&lt;=699,"650-699",M15&lt;=749,"700-749",M15&gt;=750,"750+")</f>
        <v>520-599</v>
      </c>
    </row>
    <row r="16" spans="1:22" x14ac:dyDescent="0.25">
      <c r="A16" t="s">
        <v>50</v>
      </c>
      <c r="B16" t="s">
        <v>51</v>
      </c>
      <c r="C16" s="1">
        <v>45486</v>
      </c>
      <c r="D16" t="s">
        <v>14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27</v>
      </c>
      <c r="K16">
        <v>0</v>
      </c>
      <c r="L16">
        <v>0</v>
      </c>
      <c r="M16">
        <v>813</v>
      </c>
      <c r="N16" t="str" cm="1">
        <f t="array" ref="N16">_xlfn.IFS(M16&lt;=599,"520-599",M16&lt;=649,"600-649",M16&lt;=699,"650-699",M16&lt;=749,"700-749",M16&gt;=750,"750+")</f>
        <v>750+</v>
      </c>
    </row>
    <row r="17" spans="1:14" x14ac:dyDescent="0.25">
      <c r="A17" t="s">
        <v>52</v>
      </c>
      <c r="B17" t="s">
        <v>51</v>
      </c>
      <c r="C17" s="1">
        <v>45835</v>
      </c>
      <c r="D17" t="s">
        <v>14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18</v>
      </c>
      <c r="K17">
        <v>105</v>
      </c>
      <c r="L17">
        <v>1</v>
      </c>
      <c r="M17">
        <v>813</v>
      </c>
      <c r="N17" t="str" cm="1">
        <f t="array" ref="N17">_xlfn.IFS(M17&lt;=599,"520-599",M17&lt;=649,"600-649",M17&lt;=699,"650-699",M17&lt;=749,"700-749",M17&gt;=750,"750+")</f>
        <v>750+</v>
      </c>
    </row>
    <row r="18" spans="1:14" x14ac:dyDescent="0.25">
      <c r="A18" t="s">
        <v>53</v>
      </c>
      <c r="B18" t="s">
        <v>54</v>
      </c>
      <c r="C18" s="1">
        <v>45481</v>
      </c>
      <c r="D18" t="s">
        <v>21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27</v>
      </c>
      <c r="K18">
        <v>0</v>
      </c>
      <c r="L18">
        <v>0</v>
      </c>
      <c r="M18">
        <v>615</v>
      </c>
      <c r="N18" t="str" cm="1">
        <f t="array" ref="N18">_xlfn.IFS(M18&lt;=599,"520-599",M18&lt;=649,"600-649",M18&lt;=699,"650-699",M18&lt;=749,"700-749",M18&gt;=750,"750+")</f>
        <v>600-649</v>
      </c>
    </row>
    <row r="19" spans="1:14" x14ac:dyDescent="0.25">
      <c r="A19" t="s">
        <v>55</v>
      </c>
      <c r="B19" t="s">
        <v>54</v>
      </c>
      <c r="C19" s="1">
        <v>45486</v>
      </c>
      <c r="D19" t="s">
        <v>47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27</v>
      </c>
      <c r="K19">
        <v>0</v>
      </c>
      <c r="L19">
        <v>0</v>
      </c>
      <c r="M19">
        <v>615</v>
      </c>
      <c r="N19" t="str" cm="1">
        <f t="array" ref="N19">_xlfn.IFS(M19&lt;=599,"520-599",M19&lt;=649,"600-649",M19&lt;=699,"650-699",M19&lt;=749,"700-749",M19&gt;=750,"750+")</f>
        <v>600-649</v>
      </c>
    </row>
    <row r="20" spans="1:14" x14ac:dyDescent="0.25">
      <c r="A20" t="s">
        <v>56</v>
      </c>
      <c r="B20" t="s">
        <v>57</v>
      </c>
      <c r="C20" s="1">
        <v>45360</v>
      </c>
      <c r="D20" t="s">
        <v>30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18</v>
      </c>
      <c r="K20">
        <v>63</v>
      </c>
      <c r="L20">
        <v>1</v>
      </c>
      <c r="M20">
        <v>850</v>
      </c>
      <c r="N20" t="str" cm="1">
        <f t="array" ref="N20">_xlfn.IFS(M20&lt;=599,"520-599",M20&lt;=649,"600-649",M20&lt;=699,"650-699",M20&lt;=749,"700-749",M20&gt;=750,"750+")</f>
        <v>750+</v>
      </c>
    </row>
    <row r="21" spans="1:14" x14ac:dyDescent="0.25">
      <c r="A21" t="s">
        <v>58</v>
      </c>
      <c r="B21" t="s">
        <v>59</v>
      </c>
      <c r="C21" s="1">
        <v>45689</v>
      </c>
      <c r="D21" t="s">
        <v>41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15</v>
      </c>
      <c r="K21">
        <v>0</v>
      </c>
      <c r="L21">
        <v>0</v>
      </c>
      <c r="M21">
        <v>535</v>
      </c>
      <c r="N21" t="str" cm="1">
        <f t="array" ref="N21">_xlfn.IFS(M21&lt;=599,"520-599",M21&lt;=649,"600-649",M21&lt;=699,"650-699",M21&lt;=749,"700-749",M21&gt;=750,"750+")</f>
        <v>520-599</v>
      </c>
    </row>
    <row r="22" spans="1:14" x14ac:dyDescent="0.25">
      <c r="A22" t="s">
        <v>60</v>
      </c>
      <c r="B22" t="s">
        <v>61</v>
      </c>
      <c r="C22" s="1">
        <v>45505</v>
      </c>
      <c r="D22" t="s">
        <v>30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62</v>
      </c>
      <c r="K22">
        <v>15</v>
      </c>
      <c r="L22">
        <v>0</v>
      </c>
      <c r="M22">
        <v>570</v>
      </c>
      <c r="N22" t="str" cm="1">
        <f t="array" ref="N22">_xlfn.IFS(M22&lt;=599,"520-599",M22&lt;=649,"600-649",M22&lt;=699,"650-699",M22&lt;=749,"700-749",M22&gt;=750,"750+")</f>
        <v>520-599</v>
      </c>
    </row>
    <row r="23" spans="1:14" x14ac:dyDescent="0.25">
      <c r="A23" t="s">
        <v>63</v>
      </c>
      <c r="B23" t="s">
        <v>64</v>
      </c>
      <c r="C23" s="1">
        <v>45351</v>
      </c>
      <c r="D23" t="s">
        <v>41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27</v>
      </c>
      <c r="K23">
        <v>0</v>
      </c>
      <c r="L23">
        <v>0</v>
      </c>
      <c r="M23">
        <v>665</v>
      </c>
      <c r="N23" t="str" cm="1">
        <f t="array" ref="N23">_xlfn.IFS(M23&lt;=599,"520-599",M23&lt;=649,"600-649",M23&lt;=699,"650-699",M23&lt;=749,"700-749",M23&gt;=750,"750+")</f>
        <v>650-699</v>
      </c>
    </row>
    <row r="24" spans="1:14" x14ac:dyDescent="0.25">
      <c r="A24" t="s">
        <v>65</v>
      </c>
      <c r="B24" t="s">
        <v>66</v>
      </c>
      <c r="C24" s="1">
        <v>45528</v>
      </c>
      <c r="D24" t="s">
        <v>24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27</v>
      </c>
      <c r="K24">
        <v>0</v>
      </c>
      <c r="L24">
        <v>0</v>
      </c>
      <c r="M24">
        <v>726</v>
      </c>
      <c r="N24" t="str" cm="1">
        <f t="array" ref="N24">_xlfn.IFS(M24&lt;=599,"520-599",M24&lt;=649,"600-649",M24&lt;=699,"650-699",M24&lt;=749,"700-749",M24&gt;=750,"750+")</f>
        <v>700-749</v>
      </c>
    </row>
    <row r="25" spans="1:14" x14ac:dyDescent="0.25">
      <c r="A25" t="s">
        <v>67</v>
      </c>
      <c r="B25" t="s">
        <v>68</v>
      </c>
      <c r="C25" s="1">
        <v>45658</v>
      </c>
      <c r="D25" t="s">
        <v>33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27</v>
      </c>
      <c r="K25">
        <v>0</v>
      </c>
      <c r="L25">
        <v>0</v>
      </c>
      <c r="M25">
        <v>528</v>
      </c>
      <c r="N25" t="str" cm="1">
        <f t="array" ref="N25">_xlfn.IFS(M25&lt;=599,"520-599",M25&lt;=649,"600-649",M25&lt;=699,"650-699",M25&lt;=749,"700-749",M25&gt;=750,"750+")</f>
        <v>520-599</v>
      </c>
    </row>
    <row r="26" spans="1:14" x14ac:dyDescent="0.25">
      <c r="A26" t="s">
        <v>69</v>
      </c>
      <c r="B26" t="s">
        <v>70</v>
      </c>
      <c r="C26" s="1">
        <v>45745</v>
      </c>
      <c r="D26" t="s">
        <v>33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62</v>
      </c>
      <c r="K26">
        <v>15</v>
      </c>
      <c r="L26">
        <v>0</v>
      </c>
      <c r="M26">
        <v>639</v>
      </c>
      <c r="N26" t="str" cm="1">
        <f t="array" ref="N26">_xlfn.IFS(M26&lt;=599,"520-599",M26&lt;=649,"600-649",M26&lt;=699,"650-699",M26&lt;=749,"700-749",M26&gt;=750,"750+")</f>
        <v>600-649</v>
      </c>
    </row>
    <row r="27" spans="1:14" x14ac:dyDescent="0.25">
      <c r="A27" t="s">
        <v>71</v>
      </c>
      <c r="B27" t="s">
        <v>72</v>
      </c>
      <c r="C27" s="1">
        <v>45511</v>
      </c>
      <c r="D27" t="s">
        <v>30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18</v>
      </c>
      <c r="K27">
        <v>170</v>
      </c>
      <c r="L27">
        <v>1</v>
      </c>
      <c r="M27">
        <v>584</v>
      </c>
      <c r="N27" t="str" cm="1">
        <f t="array" ref="N27">_xlfn.IFS(M27&lt;=599,"520-599",M27&lt;=649,"600-649",M27&lt;=699,"650-699",M27&lt;=749,"700-749",M27&gt;=750,"750+")</f>
        <v>520-599</v>
      </c>
    </row>
    <row r="28" spans="1:14" x14ac:dyDescent="0.25">
      <c r="A28" t="s">
        <v>73</v>
      </c>
      <c r="B28" t="s">
        <v>72</v>
      </c>
      <c r="C28" s="1">
        <v>45327</v>
      </c>
      <c r="D28" t="s">
        <v>24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27</v>
      </c>
      <c r="K28">
        <v>0</v>
      </c>
      <c r="L28">
        <v>0</v>
      </c>
      <c r="M28">
        <v>584</v>
      </c>
      <c r="N28" t="str" cm="1">
        <f t="array" ref="N28">_xlfn.IFS(M28&lt;=599,"520-599",M28&lt;=649,"600-649",M28&lt;=699,"650-699",M28&lt;=749,"700-749",M28&gt;=750,"750+")</f>
        <v>520-599</v>
      </c>
    </row>
    <row r="29" spans="1:14" x14ac:dyDescent="0.25">
      <c r="A29" t="s">
        <v>74</v>
      </c>
      <c r="B29" t="s">
        <v>75</v>
      </c>
      <c r="C29" s="1">
        <v>45314</v>
      </c>
      <c r="D29" t="s">
        <v>24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62</v>
      </c>
      <c r="K29">
        <v>15</v>
      </c>
      <c r="L29">
        <v>0</v>
      </c>
      <c r="M29">
        <v>698</v>
      </c>
      <c r="N29" t="str" cm="1">
        <f t="array" ref="N29">_xlfn.IFS(M29&lt;=599,"520-599",M29&lt;=649,"600-649",M29&lt;=699,"650-699",M29&lt;=749,"700-749",M29&gt;=750,"750+")</f>
        <v>650-699</v>
      </c>
    </row>
    <row r="30" spans="1:14" x14ac:dyDescent="0.25">
      <c r="A30" t="s">
        <v>76</v>
      </c>
      <c r="B30" t="s">
        <v>75</v>
      </c>
      <c r="C30" s="1">
        <v>45330</v>
      </c>
      <c r="D30" t="s">
        <v>21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27</v>
      </c>
      <c r="K30">
        <v>0</v>
      </c>
      <c r="L30">
        <v>0</v>
      </c>
      <c r="M30">
        <v>698</v>
      </c>
      <c r="N30" t="str" cm="1">
        <f t="array" ref="N30">_xlfn.IFS(M30&lt;=599,"520-599",M30&lt;=649,"600-649",M30&lt;=699,"650-699",M30&lt;=749,"700-749",M30&gt;=750,"750+")</f>
        <v>650-699</v>
      </c>
    </row>
    <row r="31" spans="1:14" x14ac:dyDescent="0.25">
      <c r="A31" t="s">
        <v>77</v>
      </c>
      <c r="B31" t="s">
        <v>78</v>
      </c>
      <c r="C31" s="1">
        <v>45514</v>
      </c>
      <c r="D31" t="s">
        <v>38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15</v>
      </c>
      <c r="K31">
        <v>0</v>
      </c>
      <c r="L31">
        <v>0</v>
      </c>
      <c r="M31">
        <v>761</v>
      </c>
      <c r="N31" t="str" cm="1">
        <f t="array" ref="N31">_xlfn.IFS(M31&lt;=599,"520-599",M31&lt;=649,"600-649",M31&lt;=699,"650-699",M31&lt;=749,"700-749",M31&gt;=750,"750+")</f>
        <v>750+</v>
      </c>
    </row>
    <row r="32" spans="1:14" x14ac:dyDescent="0.25">
      <c r="A32" t="s">
        <v>79</v>
      </c>
      <c r="B32" t="s">
        <v>78</v>
      </c>
      <c r="C32" s="1">
        <v>45389</v>
      </c>
      <c r="D32" t="s">
        <v>33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15</v>
      </c>
      <c r="K32">
        <v>0</v>
      </c>
      <c r="L32">
        <v>0</v>
      </c>
      <c r="M32">
        <v>761</v>
      </c>
      <c r="N32" t="str" cm="1">
        <f t="array" ref="N32">_xlfn.IFS(M32&lt;=599,"520-599",M32&lt;=649,"600-649",M32&lt;=699,"650-699",M32&lt;=749,"700-749",M32&gt;=750,"750+")</f>
        <v>750+</v>
      </c>
    </row>
    <row r="33" spans="1:14" x14ac:dyDescent="0.25">
      <c r="A33" t="s">
        <v>80</v>
      </c>
      <c r="B33" t="s">
        <v>81</v>
      </c>
      <c r="C33" s="1">
        <v>45736</v>
      </c>
      <c r="D33" t="s">
        <v>36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62</v>
      </c>
      <c r="K33">
        <v>15</v>
      </c>
      <c r="L33">
        <v>0</v>
      </c>
      <c r="M33">
        <v>661</v>
      </c>
      <c r="N33" t="str" cm="1">
        <f t="array" ref="N33">_xlfn.IFS(M33&lt;=599,"520-599",M33&lt;=649,"600-649",M33&lt;=699,"650-699",M33&lt;=749,"700-749",M33&gt;=750,"750+")</f>
        <v>650-699</v>
      </c>
    </row>
    <row r="34" spans="1:14" x14ac:dyDescent="0.25">
      <c r="A34" t="s">
        <v>82</v>
      </c>
      <c r="B34" t="s">
        <v>83</v>
      </c>
      <c r="C34" s="1">
        <v>45828</v>
      </c>
      <c r="D34" t="s">
        <v>47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18</v>
      </c>
      <c r="K34">
        <v>168</v>
      </c>
      <c r="L34">
        <v>1</v>
      </c>
      <c r="M34">
        <v>757</v>
      </c>
      <c r="N34" t="str" cm="1">
        <f t="array" ref="N34">_xlfn.IFS(M34&lt;=599,"520-599",M34&lt;=649,"600-649",M34&lt;=699,"650-699",M34&lt;=749,"700-749",M34&gt;=750,"750+")</f>
        <v>750+</v>
      </c>
    </row>
    <row r="35" spans="1:14" x14ac:dyDescent="0.25">
      <c r="A35" t="s">
        <v>84</v>
      </c>
      <c r="B35" t="s">
        <v>85</v>
      </c>
      <c r="C35" s="1">
        <v>45694</v>
      </c>
      <c r="D35" t="s">
        <v>30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27</v>
      </c>
      <c r="K35">
        <v>0</v>
      </c>
      <c r="L35">
        <v>0</v>
      </c>
      <c r="M35">
        <v>559</v>
      </c>
      <c r="N35" t="str" cm="1">
        <f t="array" ref="N35">_xlfn.IFS(M35&lt;=599,"520-599",M35&lt;=649,"600-649",M35&lt;=699,"650-699",M35&lt;=749,"700-749",M35&gt;=750,"750+")</f>
        <v>520-599</v>
      </c>
    </row>
    <row r="36" spans="1:14" x14ac:dyDescent="0.25">
      <c r="A36" t="s">
        <v>86</v>
      </c>
      <c r="B36" t="s">
        <v>87</v>
      </c>
      <c r="C36" s="1">
        <v>45779</v>
      </c>
      <c r="D36" t="s">
        <v>17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27</v>
      </c>
      <c r="K36">
        <v>0</v>
      </c>
      <c r="L36">
        <v>0</v>
      </c>
      <c r="M36">
        <v>790</v>
      </c>
      <c r="N36" t="str" cm="1">
        <f t="array" ref="N36">_xlfn.IFS(M36&lt;=599,"520-599",M36&lt;=649,"600-649",M36&lt;=699,"650-699",M36&lt;=749,"700-749",M36&gt;=750,"750+")</f>
        <v>750+</v>
      </c>
    </row>
    <row r="37" spans="1:14" x14ac:dyDescent="0.25">
      <c r="A37" t="s">
        <v>88</v>
      </c>
      <c r="B37" t="s">
        <v>89</v>
      </c>
      <c r="C37" s="1">
        <v>45494</v>
      </c>
      <c r="D37" t="s">
        <v>21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27</v>
      </c>
      <c r="K37">
        <v>0</v>
      </c>
      <c r="L37">
        <v>0</v>
      </c>
      <c r="M37">
        <v>826</v>
      </c>
      <c r="N37" t="str" cm="1">
        <f t="array" ref="N37">_xlfn.IFS(M37&lt;=599,"520-599",M37&lt;=649,"600-649",M37&lt;=699,"650-699",M37&lt;=749,"700-749",M37&gt;=750,"750+")</f>
        <v>750+</v>
      </c>
    </row>
    <row r="38" spans="1:14" x14ac:dyDescent="0.25">
      <c r="A38" t="s">
        <v>90</v>
      </c>
      <c r="B38" t="s">
        <v>91</v>
      </c>
      <c r="C38" s="1">
        <v>45383</v>
      </c>
      <c r="D38" t="s">
        <v>21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18</v>
      </c>
      <c r="K38">
        <v>135</v>
      </c>
      <c r="L38">
        <v>1</v>
      </c>
      <c r="M38">
        <v>667</v>
      </c>
      <c r="N38" t="str" cm="1">
        <f t="array" ref="N38">_xlfn.IFS(M38&lt;=599,"520-599",M38&lt;=649,"600-649",M38&lt;=699,"650-699",M38&lt;=749,"700-749",M38&gt;=750,"750+")</f>
        <v>650-699</v>
      </c>
    </row>
    <row r="39" spans="1:14" x14ac:dyDescent="0.25">
      <c r="A39" t="s">
        <v>92</v>
      </c>
      <c r="B39" t="s">
        <v>93</v>
      </c>
      <c r="C39" s="1">
        <v>45465</v>
      </c>
      <c r="D39" t="s">
        <v>30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15</v>
      </c>
      <c r="K39">
        <v>0</v>
      </c>
      <c r="L39">
        <v>0</v>
      </c>
      <c r="M39">
        <v>576</v>
      </c>
      <c r="N39" t="str" cm="1">
        <f t="array" ref="N39">_xlfn.IFS(M39&lt;=599,"520-599",M39&lt;=649,"600-649",M39&lt;=699,"650-699",M39&lt;=749,"700-749",M39&gt;=750,"750+")</f>
        <v>520-599</v>
      </c>
    </row>
    <row r="40" spans="1:14" x14ac:dyDescent="0.25">
      <c r="A40" t="s">
        <v>94</v>
      </c>
      <c r="B40" t="s">
        <v>95</v>
      </c>
      <c r="C40" s="1">
        <v>45674</v>
      </c>
      <c r="D40" t="s">
        <v>33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27</v>
      </c>
      <c r="K40">
        <v>0</v>
      </c>
      <c r="L40">
        <v>0</v>
      </c>
      <c r="M40">
        <v>813</v>
      </c>
      <c r="N40" t="str" cm="1">
        <f t="array" ref="N40">_xlfn.IFS(M40&lt;=599,"520-599",M40&lt;=649,"600-649",M40&lt;=699,"650-699",M40&lt;=749,"700-749",M40&gt;=750,"750+")</f>
        <v>750+</v>
      </c>
    </row>
    <row r="41" spans="1:14" x14ac:dyDescent="0.25">
      <c r="A41" t="s">
        <v>96</v>
      </c>
      <c r="B41" t="s">
        <v>97</v>
      </c>
      <c r="C41" s="1">
        <v>45405</v>
      </c>
      <c r="D41" t="s">
        <v>38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27</v>
      </c>
      <c r="K41">
        <v>0</v>
      </c>
      <c r="L41">
        <v>0</v>
      </c>
      <c r="M41">
        <v>603</v>
      </c>
      <c r="N41" t="str" cm="1">
        <f t="array" ref="N41">_xlfn.IFS(M41&lt;=599,"520-599",M41&lt;=649,"600-649",M41&lt;=699,"650-699",M41&lt;=749,"700-749",M41&gt;=750,"750+")</f>
        <v>600-649</v>
      </c>
    </row>
    <row r="42" spans="1:14" x14ac:dyDescent="0.25">
      <c r="A42" t="s">
        <v>98</v>
      </c>
      <c r="B42" t="s">
        <v>99</v>
      </c>
      <c r="C42" s="1">
        <v>45436</v>
      </c>
      <c r="D42" t="s">
        <v>38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27</v>
      </c>
      <c r="K42">
        <v>0</v>
      </c>
      <c r="L42">
        <v>0</v>
      </c>
      <c r="M42">
        <v>850</v>
      </c>
      <c r="N42" t="str" cm="1">
        <f t="array" ref="N42">_xlfn.IFS(M42&lt;=599,"520-599",M42&lt;=649,"600-649",M42&lt;=699,"650-699",M42&lt;=749,"700-749",M42&gt;=750,"750+")</f>
        <v>750+</v>
      </c>
    </row>
    <row r="43" spans="1:14" x14ac:dyDescent="0.25">
      <c r="A43" t="s">
        <v>100</v>
      </c>
      <c r="B43" t="s">
        <v>101</v>
      </c>
      <c r="C43" s="1">
        <v>45569</v>
      </c>
      <c r="D43" t="s">
        <v>21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18</v>
      </c>
      <c r="K43">
        <v>32</v>
      </c>
      <c r="L43">
        <v>1</v>
      </c>
      <c r="M43">
        <v>700</v>
      </c>
      <c r="N43" t="str" cm="1">
        <f t="array" ref="N43">_xlfn.IFS(M43&lt;=599,"520-599",M43&lt;=649,"600-649",M43&lt;=699,"650-699",M43&lt;=749,"700-749",M43&gt;=750,"750+")</f>
        <v>700-749</v>
      </c>
    </row>
    <row r="44" spans="1:14" x14ac:dyDescent="0.25">
      <c r="A44" t="s">
        <v>102</v>
      </c>
      <c r="B44" t="s">
        <v>101</v>
      </c>
      <c r="C44" s="1">
        <v>45311</v>
      </c>
      <c r="D44" t="s">
        <v>36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62</v>
      </c>
      <c r="K44">
        <v>15</v>
      </c>
      <c r="L44">
        <v>0</v>
      </c>
      <c r="M44">
        <v>700</v>
      </c>
      <c r="N44" t="str" cm="1">
        <f t="array" ref="N44">_xlfn.IFS(M44&lt;=599,"520-599",M44&lt;=649,"600-649",M44&lt;=699,"650-699",M44&lt;=749,"700-749",M44&gt;=750,"750+")</f>
        <v>700-749</v>
      </c>
    </row>
    <row r="45" spans="1:14" x14ac:dyDescent="0.25">
      <c r="A45" t="s">
        <v>103</v>
      </c>
      <c r="B45" t="s">
        <v>104</v>
      </c>
      <c r="C45" s="1">
        <v>45836</v>
      </c>
      <c r="D45" t="s">
        <v>21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18</v>
      </c>
      <c r="K45">
        <v>80</v>
      </c>
      <c r="L45">
        <v>1</v>
      </c>
      <c r="M45">
        <v>606</v>
      </c>
      <c r="N45" t="str" cm="1">
        <f t="array" ref="N45">_xlfn.IFS(M45&lt;=599,"520-599",M45&lt;=649,"600-649",M45&lt;=699,"650-699",M45&lt;=749,"700-749",M45&gt;=750,"750+")</f>
        <v>600-649</v>
      </c>
    </row>
    <row r="46" spans="1:14" x14ac:dyDescent="0.25">
      <c r="A46" t="s">
        <v>105</v>
      </c>
      <c r="B46" t="s">
        <v>104</v>
      </c>
      <c r="C46" s="1">
        <v>45834</v>
      </c>
      <c r="D46" t="s">
        <v>21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18</v>
      </c>
      <c r="K46">
        <v>155</v>
      </c>
      <c r="L46">
        <v>1</v>
      </c>
      <c r="M46">
        <v>606</v>
      </c>
      <c r="N46" t="str" cm="1">
        <f t="array" ref="N46">_xlfn.IFS(M46&lt;=599,"520-599",M46&lt;=649,"600-649",M46&lt;=699,"650-699",M46&lt;=749,"700-749",M46&gt;=750,"750+")</f>
        <v>600-649</v>
      </c>
    </row>
    <row r="47" spans="1:14" x14ac:dyDescent="0.25">
      <c r="A47" t="s">
        <v>106</v>
      </c>
      <c r="B47" t="s">
        <v>107</v>
      </c>
      <c r="C47" s="1">
        <v>45533</v>
      </c>
      <c r="D47" t="s">
        <v>33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62</v>
      </c>
      <c r="K47">
        <v>30</v>
      </c>
      <c r="L47">
        <v>0</v>
      </c>
      <c r="M47">
        <v>550</v>
      </c>
      <c r="N47" t="str" cm="1">
        <f t="array" ref="N47">_xlfn.IFS(M47&lt;=599,"520-599",M47&lt;=649,"600-649",M47&lt;=699,"650-699",M47&lt;=749,"700-749",M47&gt;=750,"750+")</f>
        <v>520-599</v>
      </c>
    </row>
    <row r="48" spans="1:14" x14ac:dyDescent="0.25">
      <c r="A48" t="s">
        <v>108</v>
      </c>
      <c r="B48" t="s">
        <v>109</v>
      </c>
      <c r="C48" s="1">
        <v>45578</v>
      </c>
      <c r="D48" t="s">
        <v>24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18</v>
      </c>
      <c r="K48">
        <v>117</v>
      </c>
      <c r="L48">
        <v>1</v>
      </c>
      <c r="M48">
        <v>624</v>
      </c>
      <c r="N48" t="str" cm="1">
        <f t="array" ref="N48">_xlfn.IFS(M48&lt;=599,"520-599",M48&lt;=649,"600-649",M48&lt;=699,"650-699",M48&lt;=749,"700-749",M48&gt;=750,"750+")</f>
        <v>600-649</v>
      </c>
    </row>
    <row r="49" spans="1:14" x14ac:dyDescent="0.25">
      <c r="A49" t="s">
        <v>110</v>
      </c>
      <c r="B49" t="s">
        <v>111</v>
      </c>
      <c r="C49" s="1">
        <v>45524</v>
      </c>
      <c r="D49" t="s">
        <v>33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27</v>
      </c>
      <c r="K49">
        <v>0</v>
      </c>
      <c r="L49">
        <v>0</v>
      </c>
      <c r="M49">
        <v>735</v>
      </c>
      <c r="N49" t="str" cm="1">
        <f t="array" ref="N49">_xlfn.IFS(M49&lt;=599,"520-599",M49&lt;=649,"600-649",M49&lt;=699,"650-699",M49&lt;=749,"700-749",M49&gt;=750,"750+")</f>
        <v>700-749</v>
      </c>
    </row>
    <row r="50" spans="1:14" x14ac:dyDescent="0.25">
      <c r="A50" t="s">
        <v>112</v>
      </c>
      <c r="B50" t="s">
        <v>111</v>
      </c>
      <c r="C50" s="1">
        <v>45433</v>
      </c>
      <c r="D50" t="s">
        <v>24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27</v>
      </c>
      <c r="K50">
        <v>0</v>
      </c>
      <c r="L50">
        <v>0</v>
      </c>
      <c r="M50">
        <v>735</v>
      </c>
      <c r="N50" t="str" cm="1">
        <f t="array" ref="N50">_xlfn.IFS(M50&lt;=599,"520-599",M50&lt;=649,"600-649",M50&lt;=699,"650-699",M50&lt;=749,"700-749",M50&gt;=750,"750+")</f>
        <v>700-749</v>
      </c>
    </row>
    <row r="51" spans="1:14" x14ac:dyDescent="0.25">
      <c r="A51" t="s">
        <v>113</v>
      </c>
      <c r="B51" t="s">
        <v>114</v>
      </c>
      <c r="C51" s="1">
        <v>45453</v>
      </c>
      <c r="D51" t="s">
        <v>21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15</v>
      </c>
      <c r="K51">
        <v>0</v>
      </c>
      <c r="L51">
        <v>0</v>
      </c>
      <c r="M51">
        <v>785</v>
      </c>
      <c r="N51" t="str" cm="1">
        <f t="array" ref="N51">_xlfn.IFS(M51&lt;=599,"520-599",M51&lt;=649,"600-649",M51&lt;=699,"650-699",M51&lt;=749,"700-749",M51&gt;=750,"750+")</f>
        <v>750+</v>
      </c>
    </row>
    <row r="52" spans="1:14" x14ac:dyDescent="0.25">
      <c r="A52" t="s">
        <v>115</v>
      </c>
      <c r="B52" t="s">
        <v>116</v>
      </c>
      <c r="C52" s="1">
        <v>45715</v>
      </c>
      <c r="D52" t="s">
        <v>30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15</v>
      </c>
      <c r="K52">
        <v>0</v>
      </c>
      <c r="L52">
        <v>0</v>
      </c>
      <c r="M52">
        <v>672</v>
      </c>
      <c r="N52" t="str" cm="1">
        <f t="array" ref="N52">_xlfn.IFS(M52&lt;=599,"520-599",M52&lt;=649,"600-649",M52&lt;=699,"650-699",M52&lt;=749,"700-749",M52&gt;=750,"750+")</f>
        <v>650-699</v>
      </c>
    </row>
    <row r="53" spans="1:14" x14ac:dyDescent="0.25">
      <c r="A53" t="s">
        <v>117</v>
      </c>
      <c r="B53" t="s">
        <v>118</v>
      </c>
      <c r="C53" s="1">
        <v>45565</v>
      </c>
      <c r="D53" t="s">
        <v>24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27</v>
      </c>
      <c r="K53">
        <v>0</v>
      </c>
      <c r="L53">
        <v>0</v>
      </c>
      <c r="M53">
        <v>641</v>
      </c>
      <c r="N53" t="str" cm="1">
        <f t="array" ref="N53">_xlfn.IFS(M53&lt;=599,"520-599",M53&lt;=649,"600-649",M53&lt;=699,"650-699",M53&lt;=749,"700-749",M53&gt;=750,"750+")</f>
        <v>600-649</v>
      </c>
    </row>
    <row r="54" spans="1:14" x14ac:dyDescent="0.25">
      <c r="A54" t="s">
        <v>119</v>
      </c>
      <c r="B54" t="s">
        <v>118</v>
      </c>
      <c r="C54" s="1">
        <v>45772</v>
      </c>
      <c r="D54" t="s">
        <v>38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15</v>
      </c>
      <c r="K54">
        <v>0</v>
      </c>
      <c r="L54">
        <v>0</v>
      </c>
      <c r="M54">
        <v>641</v>
      </c>
      <c r="N54" t="str" cm="1">
        <f t="array" ref="N54">_xlfn.IFS(M54&lt;=599,"520-599",M54&lt;=649,"600-649",M54&lt;=699,"650-699",M54&lt;=749,"700-749",M54&gt;=750,"750+")</f>
        <v>600-649</v>
      </c>
    </row>
    <row r="55" spans="1:14" x14ac:dyDescent="0.25">
      <c r="A55" t="s">
        <v>120</v>
      </c>
      <c r="B55" t="s">
        <v>121</v>
      </c>
      <c r="C55" s="1">
        <v>45307</v>
      </c>
      <c r="D55" t="s">
        <v>33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62</v>
      </c>
      <c r="K55">
        <v>30</v>
      </c>
      <c r="L55">
        <v>0</v>
      </c>
      <c r="M55">
        <v>806</v>
      </c>
      <c r="N55" t="str" cm="1">
        <f t="array" ref="N55">_xlfn.IFS(M55&lt;=599,"520-599",M55&lt;=649,"600-649",M55&lt;=699,"650-699",M55&lt;=749,"700-749",M55&gt;=750,"750+")</f>
        <v>750+</v>
      </c>
    </row>
    <row r="56" spans="1:14" x14ac:dyDescent="0.25">
      <c r="A56" t="s">
        <v>122</v>
      </c>
      <c r="B56" t="s">
        <v>123</v>
      </c>
      <c r="C56" s="1">
        <v>45793</v>
      </c>
      <c r="D56" t="s">
        <v>38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62</v>
      </c>
      <c r="K56">
        <v>15</v>
      </c>
      <c r="L56">
        <v>0</v>
      </c>
      <c r="M56">
        <v>625</v>
      </c>
      <c r="N56" t="str" cm="1">
        <f t="array" ref="N56">_xlfn.IFS(M56&lt;=599,"520-599",M56&lt;=649,"600-649",M56&lt;=699,"650-699",M56&lt;=749,"700-749",M56&gt;=750,"750+")</f>
        <v>600-649</v>
      </c>
    </row>
    <row r="57" spans="1:14" x14ac:dyDescent="0.25">
      <c r="A57" t="s">
        <v>124</v>
      </c>
      <c r="B57" t="s">
        <v>125</v>
      </c>
      <c r="C57" s="1">
        <v>45829</v>
      </c>
      <c r="D57" t="s">
        <v>41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27</v>
      </c>
      <c r="K57">
        <v>0</v>
      </c>
      <c r="L57">
        <v>0</v>
      </c>
      <c r="M57">
        <v>698</v>
      </c>
      <c r="N57" t="str" cm="1">
        <f t="array" ref="N57">_xlfn.IFS(M57&lt;=599,"520-599",M57&lt;=649,"600-649",M57&lt;=699,"650-699",M57&lt;=749,"700-749",M57&gt;=750,"750+")</f>
        <v>650-699</v>
      </c>
    </row>
    <row r="58" spans="1:14" x14ac:dyDescent="0.25">
      <c r="A58" t="s">
        <v>126</v>
      </c>
      <c r="B58" t="s">
        <v>127</v>
      </c>
      <c r="C58" s="1">
        <v>45697</v>
      </c>
      <c r="D58" t="s">
        <v>14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27</v>
      </c>
      <c r="K58">
        <v>0</v>
      </c>
      <c r="L58">
        <v>0</v>
      </c>
      <c r="M58">
        <v>629</v>
      </c>
      <c r="N58" t="str" cm="1">
        <f t="array" ref="N58">_xlfn.IFS(M58&lt;=599,"520-599",M58&lt;=649,"600-649",M58&lt;=699,"650-699",M58&lt;=749,"700-749",M58&gt;=750,"750+")</f>
        <v>600-649</v>
      </c>
    </row>
    <row r="59" spans="1:14" x14ac:dyDescent="0.25">
      <c r="A59" t="s">
        <v>128</v>
      </c>
      <c r="B59" t="s">
        <v>129</v>
      </c>
      <c r="C59" s="1">
        <v>45584</v>
      </c>
      <c r="D59" t="s">
        <v>41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62</v>
      </c>
      <c r="K59">
        <v>0</v>
      </c>
      <c r="L59">
        <v>0</v>
      </c>
      <c r="M59">
        <v>694</v>
      </c>
      <c r="N59" t="str" cm="1">
        <f t="array" ref="N59">_xlfn.IFS(M59&lt;=599,"520-599",M59&lt;=649,"600-649",M59&lt;=699,"650-699",M59&lt;=749,"700-749",M59&gt;=750,"750+")</f>
        <v>650-699</v>
      </c>
    </row>
    <row r="60" spans="1:14" x14ac:dyDescent="0.25">
      <c r="A60" t="s">
        <v>130</v>
      </c>
      <c r="B60" t="s">
        <v>131</v>
      </c>
      <c r="C60" s="1">
        <v>45804</v>
      </c>
      <c r="D60" t="s">
        <v>21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15</v>
      </c>
      <c r="K60">
        <v>0</v>
      </c>
      <c r="L60">
        <v>0</v>
      </c>
      <c r="M60">
        <v>850</v>
      </c>
      <c r="N60" t="str" cm="1">
        <f t="array" ref="N60">_xlfn.IFS(M60&lt;=599,"520-599",M60&lt;=649,"600-649",M60&lt;=699,"650-699",M60&lt;=749,"700-749",M60&gt;=750,"750+")</f>
        <v>750+</v>
      </c>
    </row>
    <row r="61" spans="1:14" x14ac:dyDescent="0.25">
      <c r="A61" t="s">
        <v>132</v>
      </c>
      <c r="B61" t="s">
        <v>133</v>
      </c>
      <c r="C61" s="1">
        <v>45498</v>
      </c>
      <c r="D61" t="s">
        <v>33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27</v>
      </c>
      <c r="K61">
        <v>0</v>
      </c>
      <c r="L61">
        <v>0</v>
      </c>
      <c r="M61">
        <v>842</v>
      </c>
      <c r="N61" t="str" cm="1">
        <f t="array" ref="N61">_xlfn.IFS(M61&lt;=599,"520-599",M61&lt;=649,"600-649",M61&lt;=699,"650-699",M61&lt;=749,"700-749",M61&gt;=750,"750+")</f>
        <v>750+</v>
      </c>
    </row>
    <row r="62" spans="1:14" x14ac:dyDescent="0.25">
      <c r="A62" t="s">
        <v>134</v>
      </c>
      <c r="B62" t="s">
        <v>135</v>
      </c>
      <c r="C62" s="1">
        <v>45663</v>
      </c>
      <c r="D62" t="s">
        <v>33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18</v>
      </c>
      <c r="K62">
        <v>128</v>
      </c>
      <c r="L62">
        <v>1</v>
      </c>
      <c r="M62">
        <v>615</v>
      </c>
      <c r="N62" t="str" cm="1">
        <f t="array" ref="N62">_xlfn.IFS(M62&lt;=599,"520-599",M62&lt;=649,"600-649",M62&lt;=699,"650-699",M62&lt;=749,"700-749",M62&gt;=750,"750+")</f>
        <v>600-649</v>
      </c>
    </row>
    <row r="63" spans="1:14" x14ac:dyDescent="0.25">
      <c r="A63" t="s">
        <v>136</v>
      </c>
      <c r="B63" t="s">
        <v>137</v>
      </c>
      <c r="C63" s="1">
        <v>45466</v>
      </c>
      <c r="D63" t="s">
        <v>21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62</v>
      </c>
      <c r="K63">
        <v>0</v>
      </c>
      <c r="L63">
        <v>0</v>
      </c>
      <c r="M63">
        <v>815</v>
      </c>
      <c r="N63" t="str" cm="1">
        <f t="array" ref="N63">_xlfn.IFS(M63&lt;=599,"520-599",M63&lt;=649,"600-649",M63&lt;=699,"650-699",M63&lt;=749,"700-749",M63&gt;=750,"750+")</f>
        <v>750+</v>
      </c>
    </row>
    <row r="64" spans="1:14" x14ac:dyDescent="0.25">
      <c r="A64" t="s">
        <v>138</v>
      </c>
      <c r="B64" t="s">
        <v>139</v>
      </c>
      <c r="C64" s="1">
        <v>45748</v>
      </c>
      <c r="D64" t="s">
        <v>33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15</v>
      </c>
      <c r="K64">
        <v>0</v>
      </c>
      <c r="L64">
        <v>0</v>
      </c>
      <c r="M64">
        <v>850</v>
      </c>
      <c r="N64" t="str" cm="1">
        <f t="array" ref="N64">_xlfn.IFS(M64&lt;=599,"520-599",M64&lt;=649,"600-649",M64&lt;=699,"650-699",M64&lt;=749,"700-749",M64&gt;=750,"750+")</f>
        <v>750+</v>
      </c>
    </row>
    <row r="65" spans="1:14" x14ac:dyDescent="0.25">
      <c r="A65" t="s">
        <v>140</v>
      </c>
      <c r="B65" t="s">
        <v>141</v>
      </c>
      <c r="C65" s="1">
        <v>45802</v>
      </c>
      <c r="D65" t="s">
        <v>41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15</v>
      </c>
      <c r="K65">
        <v>0</v>
      </c>
      <c r="L65">
        <v>0</v>
      </c>
      <c r="M65">
        <v>616</v>
      </c>
      <c r="N65" t="str" cm="1">
        <f t="array" ref="N65">_xlfn.IFS(M65&lt;=599,"520-599",M65&lt;=649,"600-649",M65&lt;=699,"650-699",M65&lt;=749,"700-749",M65&gt;=750,"750+")</f>
        <v>600-649</v>
      </c>
    </row>
    <row r="66" spans="1:14" x14ac:dyDescent="0.25">
      <c r="A66" t="s">
        <v>142</v>
      </c>
      <c r="B66" t="s">
        <v>141</v>
      </c>
      <c r="C66" s="1">
        <v>45373</v>
      </c>
      <c r="D66" t="s">
        <v>38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15</v>
      </c>
      <c r="K66">
        <v>0</v>
      </c>
      <c r="L66">
        <v>0</v>
      </c>
      <c r="M66">
        <v>616</v>
      </c>
      <c r="N66" t="str" cm="1">
        <f t="array" ref="N66">_xlfn.IFS(M66&lt;=599,"520-599",M66&lt;=649,"600-649",M66&lt;=699,"650-699",M66&lt;=749,"700-749",M66&gt;=750,"750+")</f>
        <v>600-649</v>
      </c>
    </row>
    <row r="67" spans="1:14" x14ac:dyDescent="0.25">
      <c r="A67" t="s">
        <v>143</v>
      </c>
      <c r="B67" t="s">
        <v>144</v>
      </c>
      <c r="C67" s="1">
        <v>45649</v>
      </c>
      <c r="D67" t="s">
        <v>21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18</v>
      </c>
      <c r="K67">
        <v>38</v>
      </c>
      <c r="L67">
        <v>1</v>
      </c>
      <c r="M67">
        <v>681</v>
      </c>
      <c r="N67" t="str" cm="1">
        <f t="array" ref="N67">_xlfn.IFS(M67&lt;=599,"520-599",M67&lt;=649,"600-649",M67&lt;=699,"650-699",M67&lt;=749,"700-749",M67&gt;=750,"750+")</f>
        <v>650-699</v>
      </c>
    </row>
    <row r="68" spans="1:14" x14ac:dyDescent="0.25">
      <c r="A68" t="s">
        <v>145</v>
      </c>
      <c r="B68" t="s">
        <v>146</v>
      </c>
      <c r="C68" s="1">
        <v>45474</v>
      </c>
      <c r="D68" t="s">
        <v>47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18</v>
      </c>
      <c r="K68">
        <v>102</v>
      </c>
      <c r="L68">
        <v>1</v>
      </c>
      <c r="M68">
        <v>567</v>
      </c>
      <c r="N68" t="str" cm="1">
        <f t="array" ref="N68">_xlfn.IFS(M68&lt;=599,"520-599",M68&lt;=649,"600-649",M68&lt;=699,"650-699",M68&lt;=749,"700-749",M68&gt;=750,"750+")</f>
        <v>520-599</v>
      </c>
    </row>
    <row r="69" spans="1:14" x14ac:dyDescent="0.25">
      <c r="A69" t="s">
        <v>147</v>
      </c>
      <c r="B69" t="s">
        <v>148</v>
      </c>
      <c r="C69" s="1">
        <v>45660</v>
      </c>
      <c r="D69" t="s">
        <v>47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27</v>
      </c>
      <c r="K69">
        <v>0</v>
      </c>
      <c r="L69">
        <v>0</v>
      </c>
      <c r="M69">
        <v>555</v>
      </c>
      <c r="N69" t="str" cm="1">
        <f t="array" ref="N69">_xlfn.IFS(M69&lt;=599,"520-599",M69&lt;=649,"600-649",M69&lt;=699,"650-699",M69&lt;=749,"700-749",M69&gt;=750,"750+")</f>
        <v>520-599</v>
      </c>
    </row>
    <row r="70" spans="1:14" x14ac:dyDescent="0.25">
      <c r="A70" t="s">
        <v>149</v>
      </c>
      <c r="B70" t="s">
        <v>150</v>
      </c>
      <c r="C70" s="1">
        <v>45774</v>
      </c>
      <c r="D70" t="s">
        <v>17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18</v>
      </c>
      <c r="K70">
        <v>100</v>
      </c>
      <c r="L70">
        <v>1</v>
      </c>
      <c r="M70">
        <v>749</v>
      </c>
      <c r="N70" t="str" cm="1">
        <f t="array" ref="N70">_xlfn.IFS(M70&lt;=599,"520-599",M70&lt;=649,"600-649",M70&lt;=699,"650-699",M70&lt;=749,"700-749",M70&gt;=750,"750+")</f>
        <v>700-749</v>
      </c>
    </row>
    <row r="71" spans="1:14" x14ac:dyDescent="0.25">
      <c r="A71" t="s">
        <v>151</v>
      </c>
      <c r="B71" t="s">
        <v>152</v>
      </c>
      <c r="C71" s="1">
        <v>45833</v>
      </c>
      <c r="D71" t="s">
        <v>17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62</v>
      </c>
      <c r="K71">
        <v>0</v>
      </c>
      <c r="L71">
        <v>0</v>
      </c>
      <c r="M71">
        <v>697</v>
      </c>
      <c r="N71" t="str" cm="1">
        <f t="array" ref="N71">_xlfn.IFS(M71&lt;=599,"520-599",M71&lt;=649,"600-649",M71&lt;=699,"650-699",M71&lt;=749,"700-749",M71&gt;=750,"750+")</f>
        <v>650-699</v>
      </c>
    </row>
    <row r="72" spans="1:14" x14ac:dyDescent="0.25">
      <c r="A72" t="s">
        <v>153</v>
      </c>
      <c r="B72" t="s">
        <v>154</v>
      </c>
      <c r="C72" s="1">
        <v>45654</v>
      </c>
      <c r="D72" t="s">
        <v>24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27</v>
      </c>
      <c r="K72">
        <v>0</v>
      </c>
      <c r="L72">
        <v>0</v>
      </c>
      <c r="M72">
        <v>548</v>
      </c>
      <c r="N72" t="str" cm="1">
        <f t="array" ref="N72">_xlfn.IFS(M72&lt;=599,"520-599",M72&lt;=649,"600-649",M72&lt;=699,"650-699",M72&lt;=749,"700-749",M72&gt;=750,"750+")</f>
        <v>520-599</v>
      </c>
    </row>
    <row r="73" spans="1:14" x14ac:dyDescent="0.25">
      <c r="A73" t="s">
        <v>155</v>
      </c>
      <c r="B73" t="s">
        <v>154</v>
      </c>
      <c r="C73" s="1">
        <v>45589</v>
      </c>
      <c r="D73" t="s">
        <v>14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27</v>
      </c>
      <c r="K73">
        <v>0</v>
      </c>
      <c r="L73">
        <v>0</v>
      </c>
      <c r="M73">
        <v>548</v>
      </c>
      <c r="N73" t="str" cm="1">
        <f t="array" ref="N73">_xlfn.IFS(M73&lt;=599,"520-599",M73&lt;=649,"600-649",M73&lt;=699,"650-699",M73&lt;=749,"700-749",M73&gt;=750,"750+")</f>
        <v>520-599</v>
      </c>
    </row>
    <row r="74" spans="1:14" x14ac:dyDescent="0.25">
      <c r="A74" t="s">
        <v>156</v>
      </c>
      <c r="B74" t="s">
        <v>157</v>
      </c>
      <c r="C74" s="1">
        <v>45715</v>
      </c>
      <c r="D74" t="s">
        <v>36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18</v>
      </c>
      <c r="K74">
        <v>119</v>
      </c>
      <c r="L74">
        <v>1</v>
      </c>
      <c r="M74">
        <v>729</v>
      </c>
      <c r="N74" t="str" cm="1">
        <f t="array" ref="N74">_xlfn.IFS(M74&lt;=599,"520-599",M74&lt;=649,"600-649",M74&lt;=699,"650-699",M74&lt;=749,"700-749",M74&gt;=750,"750+")</f>
        <v>700-749</v>
      </c>
    </row>
    <row r="75" spans="1:14" x14ac:dyDescent="0.25">
      <c r="A75" t="s">
        <v>158</v>
      </c>
      <c r="B75" t="s">
        <v>159</v>
      </c>
      <c r="C75" s="1">
        <v>45361</v>
      </c>
      <c r="D75" t="s">
        <v>38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27</v>
      </c>
      <c r="K75">
        <v>0</v>
      </c>
      <c r="L75">
        <v>0</v>
      </c>
      <c r="M75">
        <v>709</v>
      </c>
      <c r="N75" t="str" cm="1">
        <f t="array" ref="N75">_xlfn.IFS(M75&lt;=599,"520-599",M75&lt;=649,"600-649",M75&lt;=699,"650-699",M75&lt;=749,"700-749",M75&gt;=750,"750+")</f>
        <v>700-749</v>
      </c>
    </row>
    <row r="76" spans="1:14" x14ac:dyDescent="0.25">
      <c r="A76" t="s">
        <v>160</v>
      </c>
      <c r="B76" t="s">
        <v>161</v>
      </c>
      <c r="C76" s="1">
        <v>45471</v>
      </c>
      <c r="D76" t="s">
        <v>30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18</v>
      </c>
      <c r="K76">
        <v>116</v>
      </c>
      <c r="L76">
        <v>1</v>
      </c>
      <c r="M76">
        <v>608</v>
      </c>
      <c r="N76" t="str" cm="1">
        <f t="array" ref="N76">_xlfn.IFS(M76&lt;=599,"520-599",M76&lt;=649,"600-649",M76&lt;=699,"650-699",M76&lt;=749,"700-749",M76&gt;=750,"750+")</f>
        <v>600-649</v>
      </c>
    </row>
    <row r="77" spans="1:14" x14ac:dyDescent="0.25">
      <c r="A77" t="s">
        <v>162</v>
      </c>
      <c r="B77" t="s">
        <v>163</v>
      </c>
      <c r="C77" s="1">
        <v>45763</v>
      </c>
      <c r="D77" t="s">
        <v>14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27</v>
      </c>
      <c r="K77">
        <v>0</v>
      </c>
      <c r="L77">
        <v>0</v>
      </c>
      <c r="M77">
        <v>840</v>
      </c>
      <c r="N77" t="str" cm="1">
        <f t="array" ref="N77">_xlfn.IFS(M77&lt;=599,"520-599",M77&lt;=649,"600-649",M77&lt;=699,"650-699",M77&lt;=749,"700-749",M77&gt;=750,"750+")</f>
        <v>750+</v>
      </c>
    </row>
    <row r="78" spans="1:14" x14ac:dyDescent="0.25">
      <c r="A78" t="s">
        <v>164</v>
      </c>
      <c r="B78" t="s">
        <v>163</v>
      </c>
      <c r="C78" s="1">
        <v>45615</v>
      </c>
      <c r="D78" t="s">
        <v>17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27</v>
      </c>
      <c r="K78">
        <v>0</v>
      </c>
      <c r="L78">
        <v>0</v>
      </c>
      <c r="M78">
        <v>840</v>
      </c>
      <c r="N78" t="str" cm="1">
        <f t="array" ref="N78">_xlfn.IFS(M78&lt;=599,"520-599",M78&lt;=649,"600-649",M78&lt;=699,"650-699",M78&lt;=749,"700-749",M78&gt;=750,"750+")</f>
        <v>750+</v>
      </c>
    </row>
    <row r="79" spans="1:14" x14ac:dyDescent="0.25">
      <c r="A79" t="s">
        <v>165</v>
      </c>
      <c r="B79" t="s">
        <v>166</v>
      </c>
      <c r="C79" s="1">
        <v>45676</v>
      </c>
      <c r="D79" t="s">
        <v>30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27</v>
      </c>
      <c r="K79">
        <v>0</v>
      </c>
      <c r="L79">
        <v>0</v>
      </c>
      <c r="M79">
        <v>727</v>
      </c>
      <c r="N79" t="str" cm="1">
        <f t="array" ref="N79">_xlfn.IFS(M79&lt;=599,"520-599",M79&lt;=649,"600-649",M79&lt;=699,"650-699",M79&lt;=749,"700-749",M79&gt;=750,"750+")</f>
        <v>700-749</v>
      </c>
    </row>
    <row r="80" spans="1:14" x14ac:dyDescent="0.25">
      <c r="A80" t="s">
        <v>167</v>
      </c>
      <c r="B80" t="s">
        <v>168</v>
      </c>
      <c r="C80" s="1">
        <v>45614</v>
      </c>
      <c r="D80" t="s">
        <v>47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27</v>
      </c>
      <c r="K80">
        <v>0</v>
      </c>
      <c r="L80">
        <v>0</v>
      </c>
      <c r="M80">
        <v>837</v>
      </c>
      <c r="N80" t="str" cm="1">
        <f t="array" ref="N80">_xlfn.IFS(M80&lt;=599,"520-599",M80&lt;=649,"600-649",M80&lt;=699,"650-699",M80&lt;=749,"700-749",M80&gt;=750,"750+")</f>
        <v>750+</v>
      </c>
    </row>
    <row r="81" spans="1:14" x14ac:dyDescent="0.25">
      <c r="A81" t="s">
        <v>169</v>
      </c>
      <c r="B81" t="s">
        <v>170</v>
      </c>
      <c r="C81" s="1">
        <v>45471</v>
      </c>
      <c r="D81" t="s">
        <v>30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18</v>
      </c>
      <c r="K81">
        <v>39</v>
      </c>
      <c r="L81">
        <v>1</v>
      </c>
      <c r="M81">
        <v>546</v>
      </c>
      <c r="N81" t="str" cm="1">
        <f t="array" ref="N81">_xlfn.IFS(M81&lt;=599,"520-599",M81&lt;=649,"600-649",M81&lt;=699,"650-699",M81&lt;=749,"700-749",M81&gt;=750,"750+")</f>
        <v>520-599</v>
      </c>
    </row>
    <row r="82" spans="1:14" x14ac:dyDescent="0.25">
      <c r="A82" t="s">
        <v>171</v>
      </c>
      <c r="B82" t="s">
        <v>170</v>
      </c>
      <c r="C82" s="1">
        <v>45804</v>
      </c>
      <c r="D82" t="s">
        <v>38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18</v>
      </c>
      <c r="K82">
        <v>117</v>
      </c>
      <c r="L82">
        <v>1</v>
      </c>
      <c r="M82">
        <v>546</v>
      </c>
      <c r="N82" t="str" cm="1">
        <f t="array" ref="N82">_xlfn.IFS(M82&lt;=599,"520-599",M82&lt;=649,"600-649",M82&lt;=699,"650-699",M82&lt;=749,"700-749",M82&gt;=750,"750+")</f>
        <v>520-599</v>
      </c>
    </row>
    <row r="83" spans="1:14" x14ac:dyDescent="0.25">
      <c r="A83" t="s">
        <v>172</v>
      </c>
      <c r="B83" t="s">
        <v>173</v>
      </c>
      <c r="C83" s="1">
        <v>45820</v>
      </c>
      <c r="D83" t="s">
        <v>21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15</v>
      </c>
      <c r="K83">
        <v>0</v>
      </c>
      <c r="L83">
        <v>0</v>
      </c>
      <c r="M83">
        <v>625</v>
      </c>
      <c r="N83" t="str" cm="1">
        <f t="array" ref="N83">_xlfn.IFS(M83&lt;=599,"520-599",M83&lt;=649,"600-649",M83&lt;=699,"650-699",M83&lt;=749,"700-749",M83&gt;=750,"750+")</f>
        <v>600-649</v>
      </c>
    </row>
    <row r="84" spans="1:14" x14ac:dyDescent="0.25">
      <c r="A84" t="s">
        <v>174</v>
      </c>
      <c r="B84" t="s">
        <v>173</v>
      </c>
      <c r="C84" s="1">
        <v>45337</v>
      </c>
      <c r="D84" t="s">
        <v>14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27</v>
      </c>
      <c r="K84">
        <v>0</v>
      </c>
      <c r="L84">
        <v>0</v>
      </c>
      <c r="M84">
        <v>625</v>
      </c>
      <c r="N84" t="str" cm="1">
        <f t="array" ref="N84">_xlfn.IFS(M84&lt;=599,"520-599",M84&lt;=649,"600-649",M84&lt;=699,"650-699",M84&lt;=749,"700-749",M84&gt;=750,"750+")</f>
        <v>600-649</v>
      </c>
    </row>
    <row r="85" spans="1:14" x14ac:dyDescent="0.25">
      <c r="A85" t="s">
        <v>175</v>
      </c>
      <c r="B85" t="s">
        <v>176</v>
      </c>
      <c r="C85" s="1">
        <v>45611</v>
      </c>
      <c r="D85" t="s">
        <v>41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27</v>
      </c>
      <c r="K85">
        <v>0</v>
      </c>
      <c r="L85">
        <v>0</v>
      </c>
      <c r="M85">
        <v>700</v>
      </c>
      <c r="N85" t="str" cm="1">
        <f t="array" ref="N85">_xlfn.IFS(M85&lt;=599,"520-599",M85&lt;=649,"600-649",M85&lt;=699,"650-699",M85&lt;=749,"700-749",M85&gt;=750,"750+")</f>
        <v>700-749</v>
      </c>
    </row>
    <row r="86" spans="1:14" x14ac:dyDescent="0.25">
      <c r="A86" t="s">
        <v>177</v>
      </c>
      <c r="B86" t="s">
        <v>178</v>
      </c>
      <c r="C86" s="1">
        <v>45453</v>
      </c>
      <c r="D86" t="s">
        <v>21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62</v>
      </c>
      <c r="K86">
        <v>0</v>
      </c>
      <c r="L86">
        <v>0</v>
      </c>
      <c r="M86">
        <v>788</v>
      </c>
      <c r="N86" t="str" cm="1">
        <f t="array" ref="N86">_xlfn.IFS(M86&lt;=599,"520-599",M86&lt;=649,"600-649",M86&lt;=699,"650-699",M86&lt;=749,"700-749",M86&gt;=750,"750+")</f>
        <v>750+</v>
      </c>
    </row>
    <row r="87" spans="1:14" x14ac:dyDescent="0.25">
      <c r="A87" t="s">
        <v>179</v>
      </c>
      <c r="B87" t="s">
        <v>180</v>
      </c>
      <c r="C87" s="1">
        <v>45582</v>
      </c>
      <c r="D87" t="s">
        <v>38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27</v>
      </c>
      <c r="K87">
        <v>0</v>
      </c>
      <c r="L87">
        <v>0</v>
      </c>
      <c r="M87">
        <v>540</v>
      </c>
      <c r="N87" t="str" cm="1">
        <f t="array" ref="N87">_xlfn.IFS(M87&lt;=599,"520-599",M87&lt;=649,"600-649",M87&lt;=699,"650-699",M87&lt;=749,"700-749",M87&gt;=750,"750+")</f>
        <v>520-599</v>
      </c>
    </row>
    <row r="88" spans="1:14" x14ac:dyDescent="0.25">
      <c r="A88" t="s">
        <v>181</v>
      </c>
      <c r="B88" t="s">
        <v>182</v>
      </c>
      <c r="C88" s="1">
        <v>45343</v>
      </c>
      <c r="D88" t="s">
        <v>21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27</v>
      </c>
      <c r="K88">
        <v>0</v>
      </c>
      <c r="L88">
        <v>0</v>
      </c>
      <c r="M88">
        <v>796</v>
      </c>
      <c r="N88" t="str" cm="1">
        <f t="array" ref="N88">_xlfn.IFS(M88&lt;=599,"520-599",M88&lt;=649,"600-649",M88&lt;=699,"650-699",M88&lt;=749,"700-749",M88&gt;=750,"750+")</f>
        <v>750+</v>
      </c>
    </row>
    <row r="89" spans="1:14" x14ac:dyDescent="0.25">
      <c r="A89" t="s">
        <v>183</v>
      </c>
      <c r="B89" t="s">
        <v>182</v>
      </c>
      <c r="C89" s="1">
        <v>45611</v>
      </c>
      <c r="D89" t="s">
        <v>33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15</v>
      </c>
      <c r="K89">
        <v>0</v>
      </c>
      <c r="L89">
        <v>0</v>
      </c>
      <c r="M89">
        <v>796</v>
      </c>
      <c r="N89" t="str" cm="1">
        <f t="array" ref="N89">_xlfn.IFS(M89&lt;=599,"520-599",M89&lt;=649,"600-649",M89&lt;=699,"650-699",M89&lt;=749,"700-749",M89&gt;=750,"750+")</f>
        <v>750+</v>
      </c>
    </row>
    <row r="90" spans="1:14" x14ac:dyDescent="0.25">
      <c r="A90" t="s">
        <v>184</v>
      </c>
      <c r="B90" t="s">
        <v>185</v>
      </c>
      <c r="C90" s="1">
        <v>45387</v>
      </c>
      <c r="D90" t="s">
        <v>36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62</v>
      </c>
      <c r="K90">
        <v>15</v>
      </c>
      <c r="L90">
        <v>0</v>
      </c>
      <c r="M90">
        <v>796</v>
      </c>
      <c r="N90" t="str" cm="1">
        <f t="array" ref="N90">_xlfn.IFS(M90&lt;=599,"520-599",M90&lt;=649,"600-649",M90&lt;=699,"650-699",M90&lt;=749,"700-749",M90&gt;=750,"750+")</f>
        <v>750+</v>
      </c>
    </row>
    <row r="91" spans="1:14" x14ac:dyDescent="0.25">
      <c r="A91" t="s">
        <v>186</v>
      </c>
      <c r="B91" t="s">
        <v>185</v>
      </c>
      <c r="C91" s="1">
        <v>45521</v>
      </c>
      <c r="D91" t="s">
        <v>14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62</v>
      </c>
      <c r="K91">
        <v>15</v>
      </c>
      <c r="L91">
        <v>0</v>
      </c>
      <c r="M91">
        <v>796</v>
      </c>
      <c r="N91" t="str" cm="1">
        <f t="array" ref="N91">_xlfn.IFS(M91&lt;=599,"520-599",M91&lt;=649,"600-649",M91&lt;=699,"650-699",M91&lt;=749,"700-749",M91&gt;=750,"750+")</f>
        <v>750+</v>
      </c>
    </row>
    <row r="92" spans="1:14" x14ac:dyDescent="0.25">
      <c r="A92" t="s">
        <v>187</v>
      </c>
      <c r="B92" t="s">
        <v>188</v>
      </c>
      <c r="C92" s="1">
        <v>45322</v>
      </c>
      <c r="D92" t="s">
        <v>33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18</v>
      </c>
      <c r="K92">
        <v>58</v>
      </c>
      <c r="L92">
        <v>1</v>
      </c>
      <c r="M92">
        <v>623</v>
      </c>
      <c r="N92" t="str" cm="1">
        <f t="array" ref="N92">_xlfn.IFS(M92&lt;=599,"520-599",M92&lt;=649,"600-649",M92&lt;=699,"650-699",M92&lt;=749,"700-749",M92&gt;=750,"750+")</f>
        <v>600-649</v>
      </c>
    </row>
    <row r="93" spans="1:14" x14ac:dyDescent="0.25">
      <c r="A93" t="s">
        <v>189</v>
      </c>
      <c r="B93" t="s">
        <v>190</v>
      </c>
      <c r="C93" s="1">
        <v>45422</v>
      </c>
      <c r="D93" t="s">
        <v>14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15</v>
      </c>
      <c r="K93">
        <v>0</v>
      </c>
      <c r="L93">
        <v>0</v>
      </c>
      <c r="M93">
        <v>803</v>
      </c>
      <c r="N93" t="str" cm="1">
        <f t="array" ref="N93">_xlfn.IFS(M93&lt;=599,"520-599",M93&lt;=649,"600-649",M93&lt;=699,"650-699",M93&lt;=749,"700-749",M93&gt;=750,"750+")</f>
        <v>750+</v>
      </c>
    </row>
    <row r="94" spans="1:14" x14ac:dyDescent="0.25">
      <c r="A94" t="s">
        <v>191</v>
      </c>
      <c r="B94" t="s">
        <v>192</v>
      </c>
      <c r="C94" s="1">
        <v>45715</v>
      </c>
      <c r="D94" t="s">
        <v>21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18</v>
      </c>
      <c r="K94">
        <v>92</v>
      </c>
      <c r="L94">
        <v>1</v>
      </c>
      <c r="M94">
        <v>670</v>
      </c>
      <c r="N94" t="str" cm="1">
        <f t="array" ref="N94">_xlfn.IFS(M94&lt;=599,"520-599",M94&lt;=649,"600-649",M94&lt;=699,"650-699",M94&lt;=749,"700-749",M94&gt;=750,"750+")</f>
        <v>650-699</v>
      </c>
    </row>
    <row r="95" spans="1:14" x14ac:dyDescent="0.25">
      <c r="A95" t="s">
        <v>193</v>
      </c>
      <c r="B95" t="s">
        <v>194</v>
      </c>
      <c r="C95" s="1">
        <v>45737</v>
      </c>
      <c r="D95" t="s">
        <v>14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62</v>
      </c>
      <c r="K95">
        <v>0</v>
      </c>
      <c r="L95">
        <v>0</v>
      </c>
      <c r="M95">
        <v>843</v>
      </c>
      <c r="N95" t="str" cm="1">
        <f t="array" ref="N95">_xlfn.IFS(M95&lt;=599,"520-599",M95&lt;=649,"600-649",M95&lt;=699,"650-699",M95&lt;=749,"700-749",M95&gt;=750,"750+")</f>
        <v>750+</v>
      </c>
    </row>
    <row r="96" spans="1:14" x14ac:dyDescent="0.25">
      <c r="A96" t="s">
        <v>195</v>
      </c>
      <c r="B96" t="s">
        <v>196</v>
      </c>
      <c r="C96" s="1">
        <v>45766</v>
      </c>
      <c r="D96" t="s">
        <v>36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27</v>
      </c>
      <c r="K96">
        <v>0</v>
      </c>
      <c r="L96">
        <v>0</v>
      </c>
      <c r="M96">
        <v>755</v>
      </c>
      <c r="N96" t="str" cm="1">
        <f t="array" ref="N96">_xlfn.IFS(M96&lt;=599,"520-599",M96&lt;=649,"600-649",M96&lt;=699,"650-699",M96&lt;=749,"700-749",M96&gt;=750,"750+")</f>
        <v>750+</v>
      </c>
    </row>
    <row r="97" spans="1:14" x14ac:dyDescent="0.25">
      <c r="A97" t="s">
        <v>197</v>
      </c>
      <c r="B97" t="s">
        <v>198</v>
      </c>
      <c r="C97" s="1">
        <v>45680</v>
      </c>
      <c r="D97" t="s">
        <v>17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27</v>
      </c>
      <c r="K97">
        <v>0</v>
      </c>
      <c r="L97">
        <v>0</v>
      </c>
      <c r="M97">
        <v>820</v>
      </c>
      <c r="N97" t="str" cm="1">
        <f t="array" ref="N97">_xlfn.IFS(M97&lt;=599,"520-599",M97&lt;=649,"600-649",M97&lt;=699,"650-699",M97&lt;=749,"700-749",M97&gt;=750,"750+")</f>
        <v>750+</v>
      </c>
    </row>
    <row r="98" spans="1:14" x14ac:dyDescent="0.25">
      <c r="A98" t="s">
        <v>199</v>
      </c>
      <c r="B98" t="s">
        <v>200</v>
      </c>
      <c r="C98" s="1">
        <v>45444</v>
      </c>
      <c r="D98" t="s">
        <v>33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62</v>
      </c>
      <c r="K98">
        <v>0</v>
      </c>
      <c r="L98">
        <v>0</v>
      </c>
      <c r="M98">
        <v>759</v>
      </c>
      <c r="N98" t="str" cm="1">
        <f t="array" ref="N98">_xlfn.IFS(M98&lt;=599,"520-599",M98&lt;=649,"600-649",M98&lt;=699,"650-699",M98&lt;=749,"700-749",M98&gt;=750,"750+")</f>
        <v>750+</v>
      </c>
    </row>
    <row r="99" spans="1:14" x14ac:dyDescent="0.25">
      <c r="A99" t="s">
        <v>201</v>
      </c>
      <c r="B99" t="s">
        <v>202</v>
      </c>
      <c r="C99" s="1">
        <v>45603</v>
      </c>
      <c r="D99" t="s">
        <v>38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62</v>
      </c>
      <c r="K99">
        <v>15</v>
      </c>
      <c r="L99">
        <v>0</v>
      </c>
      <c r="M99">
        <v>652</v>
      </c>
      <c r="N99" t="str" cm="1">
        <f t="array" ref="N99">_xlfn.IFS(M99&lt;=599,"520-599",M99&lt;=649,"600-649",M99&lt;=699,"650-699",M99&lt;=749,"700-749",M99&gt;=750,"750+")</f>
        <v>650-699</v>
      </c>
    </row>
    <row r="100" spans="1:14" x14ac:dyDescent="0.25">
      <c r="A100" t="s">
        <v>203</v>
      </c>
      <c r="B100" t="s">
        <v>204</v>
      </c>
      <c r="C100" s="1">
        <v>45422</v>
      </c>
      <c r="D100" t="s">
        <v>36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15</v>
      </c>
      <c r="K100">
        <v>0</v>
      </c>
      <c r="L100">
        <v>0</v>
      </c>
      <c r="M100">
        <v>674</v>
      </c>
      <c r="N100" t="str" cm="1">
        <f t="array" ref="N100">_xlfn.IFS(M100&lt;=599,"520-599",M100&lt;=649,"600-649",M100&lt;=699,"650-699",M100&lt;=749,"700-749",M100&gt;=750,"750+")</f>
        <v>650-699</v>
      </c>
    </row>
    <row r="101" spans="1:14" x14ac:dyDescent="0.25">
      <c r="A101" t="s">
        <v>205</v>
      </c>
      <c r="B101" t="s">
        <v>204</v>
      </c>
      <c r="C101" s="1">
        <v>45580</v>
      </c>
      <c r="D101" t="s">
        <v>41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15</v>
      </c>
      <c r="K101">
        <v>0</v>
      </c>
      <c r="L101">
        <v>0</v>
      </c>
      <c r="M101">
        <v>674</v>
      </c>
      <c r="N101" t="str" cm="1">
        <f t="array" ref="N101">_xlfn.IFS(M101&lt;=599,"520-599",M101&lt;=649,"600-649",M101&lt;=699,"650-699",M101&lt;=749,"700-749",M101&gt;=750,"750+")</f>
        <v>650-699</v>
      </c>
    </row>
    <row r="102" spans="1:14" x14ac:dyDescent="0.25">
      <c r="A102" t="s">
        <v>206</v>
      </c>
      <c r="B102" t="s">
        <v>207</v>
      </c>
      <c r="C102" s="1">
        <v>45469</v>
      </c>
      <c r="D102" t="s">
        <v>30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18</v>
      </c>
      <c r="K102">
        <v>78</v>
      </c>
      <c r="L102">
        <v>1</v>
      </c>
      <c r="M102">
        <v>588</v>
      </c>
      <c r="N102" t="str" cm="1">
        <f t="array" ref="N102">_xlfn.IFS(M102&lt;=599,"520-599",M102&lt;=649,"600-649",M102&lt;=699,"650-699",M102&lt;=749,"700-749",M102&gt;=750,"750+")</f>
        <v>520-599</v>
      </c>
    </row>
    <row r="103" spans="1:14" x14ac:dyDescent="0.25">
      <c r="A103" t="s">
        <v>208</v>
      </c>
      <c r="B103" t="s">
        <v>209</v>
      </c>
      <c r="C103" s="1">
        <v>45365</v>
      </c>
      <c r="D103" t="s">
        <v>30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15</v>
      </c>
      <c r="K103">
        <v>0</v>
      </c>
      <c r="L103">
        <v>0</v>
      </c>
      <c r="M103">
        <v>821</v>
      </c>
      <c r="N103" t="str" cm="1">
        <f t="array" ref="N103">_xlfn.IFS(M103&lt;=599,"520-599",M103&lt;=649,"600-649",M103&lt;=699,"650-699",M103&lt;=749,"700-749",M103&gt;=750,"750+")</f>
        <v>750+</v>
      </c>
    </row>
    <row r="104" spans="1:14" x14ac:dyDescent="0.25">
      <c r="A104" t="s">
        <v>210</v>
      </c>
      <c r="B104" t="s">
        <v>211</v>
      </c>
      <c r="C104" s="1">
        <v>45727</v>
      </c>
      <c r="D104" t="s">
        <v>33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27</v>
      </c>
      <c r="K104">
        <v>0</v>
      </c>
      <c r="L104">
        <v>0</v>
      </c>
      <c r="M104">
        <v>550</v>
      </c>
      <c r="N104" t="str" cm="1">
        <f t="array" ref="N104">_xlfn.IFS(M104&lt;=599,"520-599",M104&lt;=649,"600-649",M104&lt;=699,"650-699",M104&lt;=749,"700-749",M104&gt;=750,"750+")</f>
        <v>520-599</v>
      </c>
    </row>
    <row r="105" spans="1:14" x14ac:dyDescent="0.25">
      <c r="A105" t="s">
        <v>212</v>
      </c>
      <c r="B105" t="s">
        <v>213</v>
      </c>
      <c r="C105" s="1">
        <v>45802</v>
      </c>
      <c r="D105" t="s">
        <v>17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27</v>
      </c>
      <c r="K105">
        <v>0</v>
      </c>
      <c r="L105">
        <v>0</v>
      </c>
      <c r="M105">
        <v>672</v>
      </c>
      <c r="N105" t="str" cm="1">
        <f t="array" ref="N105">_xlfn.IFS(M105&lt;=599,"520-599",M105&lt;=649,"600-649",M105&lt;=699,"650-699",M105&lt;=749,"700-749",M105&gt;=750,"750+")</f>
        <v>650-699</v>
      </c>
    </row>
    <row r="106" spans="1:14" x14ac:dyDescent="0.25">
      <c r="A106" t="s">
        <v>214</v>
      </c>
      <c r="B106" t="s">
        <v>213</v>
      </c>
      <c r="C106" s="1">
        <v>45786</v>
      </c>
      <c r="D106" t="s">
        <v>17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27</v>
      </c>
      <c r="K106">
        <v>0</v>
      </c>
      <c r="L106">
        <v>0</v>
      </c>
      <c r="M106">
        <v>672</v>
      </c>
      <c r="N106" t="str" cm="1">
        <f t="array" ref="N106">_xlfn.IFS(M106&lt;=599,"520-599",M106&lt;=649,"600-649",M106&lt;=699,"650-699",M106&lt;=749,"700-749",M106&gt;=750,"750+")</f>
        <v>650-699</v>
      </c>
    </row>
    <row r="107" spans="1:14" x14ac:dyDescent="0.25">
      <c r="A107" t="s">
        <v>215</v>
      </c>
      <c r="B107" t="s">
        <v>216</v>
      </c>
      <c r="C107" s="1">
        <v>45372</v>
      </c>
      <c r="D107" t="s">
        <v>33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27</v>
      </c>
      <c r="K107">
        <v>0</v>
      </c>
      <c r="L107">
        <v>0</v>
      </c>
      <c r="M107">
        <v>776</v>
      </c>
      <c r="N107" t="str" cm="1">
        <f t="array" ref="N107">_xlfn.IFS(M107&lt;=599,"520-599",M107&lt;=649,"600-649",M107&lt;=699,"650-699",M107&lt;=749,"700-749",M107&gt;=750,"750+")</f>
        <v>750+</v>
      </c>
    </row>
    <row r="108" spans="1:14" x14ac:dyDescent="0.25">
      <c r="A108" t="s">
        <v>217</v>
      </c>
      <c r="B108" t="s">
        <v>218</v>
      </c>
      <c r="C108" s="1">
        <v>45346</v>
      </c>
      <c r="D108" t="s">
        <v>36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27</v>
      </c>
      <c r="K108">
        <v>0</v>
      </c>
      <c r="L108">
        <v>0</v>
      </c>
      <c r="M108">
        <v>735</v>
      </c>
      <c r="N108" t="str" cm="1">
        <f t="array" ref="N108">_xlfn.IFS(M108&lt;=599,"520-599",M108&lt;=649,"600-649",M108&lt;=699,"650-699",M108&lt;=749,"700-749",M108&gt;=750,"750+")</f>
        <v>700-749</v>
      </c>
    </row>
    <row r="109" spans="1:14" x14ac:dyDescent="0.25">
      <c r="A109" t="s">
        <v>219</v>
      </c>
      <c r="B109" t="s">
        <v>220</v>
      </c>
      <c r="C109" s="1">
        <v>45593</v>
      </c>
      <c r="D109" t="s">
        <v>14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18</v>
      </c>
      <c r="K109">
        <v>39</v>
      </c>
      <c r="L109">
        <v>1</v>
      </c>
      <c r="M109">
        <v>550</v>
      </c>
      <c r="N109" t="str" cm="1">
        <f t="array" ref="N109">_xlfn.IFS(M109&lt;=599,"520-599",M109&lt;=649,"600-649",M109&lt;=699,"650-699",M109&lt;=749,"700-749",M109&gt;=750,"750+")</f>
        <v>520-599</v>
      </c>
    </row>
    <row r="110" spans="1:14" x14ac:dyDescent="0.25">
      <c r="A110" t="s">
        <v>221</v>
      </c>
      <c r="B110" t="s">
        <v>222</v>
      </c>
      <c r="C110" s="1">
        <v>45776</v>
      </c>
      <c r="D110" t="s">
        <v>47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62</v>
      </c>
      <c r="K110">
        <v>0</v>
      </c>
      <c r="L110">
        <v>0</v>
      </c>
      <c r="M110">
        <v>811</v>
      </c>
      <c r="N110" t="str" cm="1">
        <f t="array" ref="N110">_xlfn.IFS(M110&lt;=599,"520-599",M110&lt;=649,"600-649",M110&lt;=699,"650-699",M110&lt;=749,"700-749",M110&gt;=750,"750+")</f>
        <v>750+</v>
      </c>
    </row>
    <row r="111" spans="1:14" x14ac:dyDescent="0.25">
      <c r="A111" t="s">
        <v>223</v>
      </c>
      <c r="B111" t="s">
        <v>224</v>
      </c>
      <c r="C111" s="1">
        <v>45576</v>
      </c>
      <c r="D111" t="s">
        <v>47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18</v>
      </c>
      <c r="K111">
        <v>101</v>
      </c>
      <c r="L111">
        <v>1</v>
      </c>
      <c r="M111">
        <v>611</v>
      </c>
      <c r="N111" t="str" cm="1">
        <f t="array" ref="N111">_xlfn.IFS(M111&lt;=599,"520-599",M111&lt;=649,"600-649",M111&lt;=699,"650-699",M111&lt;=749,"700-749",M111&gt;=750,"750+")</f>
        <v>600-649</v>
      </c>
    </row>
    <row r="112" spans="1:14" x14ac:dyDescent="0.25">
      <c r="A112" t="s">
        <v>225</v>
      </c>
      <c r="B112" t="s">
        <v>226</v>
      </c>
      <c r="C112" s="1">
        <v>45446</v>
      </c>
      <c r="D112" t="s">
        <v>24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27</v>
      </c>
      <c r="K112">
        <v>0</v>
      </c>
      <c r="L112">
        <v>0</v>
      </c>
      <c r="M112">
        <v>795</v>
      </c>
      <c r="N112" t="str" cm="1">
        <f t="array" ref="N112">_xlfn.IFS(M112&lt;=599,"520-599",M112&lt;=649,"600-649",M112&lt;=699,"650-699",M112&lt;=749,"700-749",M112&gt;=750,"750+")</f>
        <v>750+</v>
      </c>
    </row>
    <row r="113" spans="1:14" x14ac:dyDescent="0.25">
      <c r="A113" t="s">
        <v>227</v>
      </c>
      <c r="B113" t="s">
        <v>228</v>
      </c>
      <c r="C113" s="1">
        <v>45378</v>
      </c>
      <c r="D113" t="s">
        <v>38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15</v>
      </c>
      <c r="K113">
        <v>0</v>
      </c>
      <c r="L113">
        <v>0</v>
      </c>
      <c r="M113">
        <v>831</v>
      </c>
      <c r="N113" t="str" cm="1">
        <f t="array" ref="N113">_xlfn.IFS(M113&lt;=599,"520-599",M113&lt;=649,"600-649",M113&lt;=699,"650-699",M113&lt;=749,"700-749",M113&gt;=750,"750+")</f>
        <v>750+</v>
      </c>
    </row>
    <row r="114" spans="1:14" x14ac:dyDescent="0.25">
      <c r="A114" t="s">
        <v>229</v>
      </c>
      <c r="B114" t="s">
        <v>230</v>
      </c>
      <c r="C114" s="1">
        <v>45463</v>
      </c>
      <c r="D114" t="s">
        <v>17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18</v>
      </c>
      <c r="K114">
        <v>118</v>
      </c>
      <c r="L114">
        <v>1</v>
      </c>
      <c r="M114">
        <v>531</v>
      </c>
      <c r="N114" t="str" cm="1">
        <f t="array" ref="N114">_xlfn.IFS(M114&lt;=599,"520-599",M114&lt;=649,"600-649",M114&lt;=699,"650-699",M114&lt;=749,"700-749",M114&gt;=750,"750+")</f>
        <v>520-599</v>
      </c>
    </row>
    <row r="115" spans="1:14" x14ac:dyDescent="0.25">
      <c r="A115" t="s">
        <v>231</v>
      </c>
      <c r="B115" t="s">
        <v>230</v>
      </c>
      <c r="C115" s="1">
        <v>45767</v>
      </c>
      <c r="D115" t="s">
        <v>41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18</v>
      </c>
      <c r="K115">
        <v>107</v>
      </c>
      <c r="L115">
        <v>1</v>
      </c>
      <c r="M115">
        <v>531</v>
      </c>
      <c r="N115" t="str" cm="1">
        <f t="array" ref="N115">_xlfn.IFS(M115&lt;=599,"520-599",M115&lt;=649,"600-649",M115&lt;=699,"650-699",M115&lt;=749,"700-749",M115&gt;=750,"750+")</f>
        <v>520-599</v>
      </c>
    </row>
    <row r="116" spans="1:14" x14ac:dyDescent="0.25">
      <c r="A116" t="s">
        <v>232</v>
      </c>
      <c r="B116" t="s">
        <v>233</v>
      </c>
      <c r="C116" s="1">
        <v>45440</v>
      </c>
      <c r="D116" t="s">
        <v>21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27</v>
      </c>
      <c r="K116">
        <v>0</v>
      </c>
      <c r="L116">
        <v>0</v>
      </c>
      <c r="M116">
        <v>710</v>
      </c>
      <c r="N116" t="str" cm="1">
        <f t="array" ref="N116">_xlfn.IFS(M116&lt;=599,"520-599",M116&lt;=649,"600-649",M116&lt;=699,"650-699",M116&lt;=749,"700-749",M116&gt;=750,"750+")</f>
        <v>700-749</v>
      </c>
    </row>
    <row r="117" spans="1:14" x14ac:dyDescent="0.25">
      <c r="A117" t="s">
        <v>234</v>
      </c>
      <c r="B117" t="s">
        <v>235</v>
      </c>
      <c r="C117" s="1">
        <v>45836</v>
      </c>
      <c r="D117" t="s">
        <v>17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62</v>
      </c>
      <c r="K117">
        <v>30</v>
      </c>
      <c r="L117">
        <v>0</v>
      </c>
      <c r="M117">
        <v>562</v>
      </c>
      <c r="N117" t="str" cm="1">
        <f t="array" ref="N117">_xlfn.IFS(M117&lt;=599,"520-599",M117&lt;=649,"600-649",M117&lt;=699,"650-699",M117&lt;=749,"700-749",M117&gt;=750,"750+")</f>
        <v>520-599</v>
      </c>
    </row>
    <row r="118" spans="1:14" x14ac:dyDescent="0.25">
      <c r="A118" t="s">
        <v>236</v>
      </c>
      <c r="B118" t="s">
        <v>237</v>
      </c>
      <c r="C118" s="1">
        <v>45692</v>
      </c>
      <c r="D118" t="s">
        <v>24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27</v>
      </c>
      <c r="K118">
        <v>0</v>
      </c>
      <c r="L118">
        <v>0</v>
      </c>
      <c r="M118">
        <v>553</v>
      </c>
      <c r="N118" t="str" cm="1">
        <f t="array" ref="N118">_xlfn.IFS(M118&lt;=599,"520-599",M118&lt;=649,"600-649",M118&lt;=699,"650-699",M118&lt;=749,"700-749",M118&gt;=750,"750+")</f>
        <v>520-599</v>
      </c>
    </row>
    <row r="119" spans="1:14" x14ac:dyDescent="0.25">
      <c r="A119" t="s">
        <v>238</v>
      </c>
      <c r="B119" t="s">
        <v>237</v>
      </c>
      <c r="C119" s="1">
        <v>45302</v>
      </c>
      <c r="D119" t="s">
        <v>47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27</v>
      </c>
      <c r="K119">
        <v>0</v>
      </c>
      <c r="L119">
        <v>0</v>
      </c>
      <c r="M119">
        <v>553</v>
      </c>
      <c r="N119" t="str" cm="1">
        <f t="array" ref="N119">_xlfn.IFS(M119&lt;=599,"520-599",M119&lt;=649,"600-649",M119&lt;=699,"650-699",M119&lt;=749,"700-749",M119&gt;=750,"750+")</f>
        <v>520-599</v>
      </c>
    </row>
    <row r="120" spans="1:14" x14ac:dyDescent="0.25">
      <c r="A120" t="s">
        <v>239</v>
      </c>
      <c r="B120" t="s">
        <v>240</v>
      </c>
      <c r="C120" s="1">
        <v>45326</v>
      </c>
      <c r="D120" t="s">
        <v>36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18</v>
      </c>
      <c r="K120">
        <v>53</v>
      </c>
      <c r="L120">
        <v>1</v>
      </c>
      <c r="M120">
        <v>598</v>
      </c>
      <c r="N120" t="str" cm="1">
        <f t="array" ref="N120">_xlfn.IFS(M120&lt;=599,"520-599",M120&lt;=649,"600-649",M120&lt;=699,"650-699",M120&lt;=749,"700-749",M120&gt;=750,"750+")</f>
        <v>520-599</v>
      </c>
    </row>
    <row r="121" spans="1:14" x14ac:dyDescent="0.25">
      <c r="A121" t="s">
        <v>241</v>
      </c>
      <c r="B121" t="s">
        <v>242</v>
      </c>
      <c r="C121" s="1">
        <v>45414</v>
      </c>
      <c r="D121" t="s">
        <v>47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18</v>
      </c>
      <c r="K121">
        <v>63</v>
      </c>
      <c r="L121">
        <v>1</v>
      </c>
      <c r="M121">
        <v>698</v>
      </c>
      <c r="N121" t="str" cm="1">
        <f t="array" ref="N121">_xlfn.IFS(M121&lt;=599,"520-599",M121&lt;=649,"600-649",M121&lt;=699,"650-699",M121&lt;=749,"700-749",M121&gt;=750,"750+")</f>
        <v>650-699</v>
      </c>
    </row>
    <row r="122" spans="1:14" x14ac:dyDescent="0.25">
      <c r="A122" t="s">
        <v>243</v>
      </c>
      <c r="B122" t="s">
        <v>244</v>
      </c>
      <c r="C122" s="1">
        <v>45551</v>
      </c>
      <c r="D122" t="s">
        <v>47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27</v>
      </c>
      <c r="K122">
        <v>0</v>
      </c>
      <c r="L122">
        <v>0</v>
      </c>
      <c r="M122">
        <v>850</v>
      </c>
      <c r="N122" t="str" cm="1">
        <f t="array" ref="N122">_xlfn.IFS(M122&lt;=599,"520-599",M122&lt;=649,"600-649",M122&lt;=699,"650-699",M122&lt;=749,"700-749",M122&gt;=750,"750+")</f>
        <v>750+</v>
      </c>
    </row>
    <row r="123" spans="1:14" x14ac:dyDescent="0.25">
      <c r="A123" t="s">
        <v>245</v>
      </c>
      <c r="B123" t="s">
        <v>246</v>
      </c>
      <c r="C123" s="1">
        <v>45367</v>
      </c>
      <c r="D123" t="s">
        <v>24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18</v>
      </c>
      <c r="K123">
        <v>45</v>
      </c>
      <c r="L123">
        <v>1</v>
      </c>
      <c r="M123">
        <v>688</v>
      </c>
      <c r="N123" t="str" cm="1">
        <f t="array" ref="N123">_xlfn.IFS(M123&lt;=599,"520-599",M123&lt;=649,"600-649",M123&lt;=699,"650-699",M123&lt;=749,"700-749",M123&gt;=750,"750+")</f>
        <v>650-699</v>
      </c>
    </row>
    <row r="124" spans="1:14" x14ac:dyDescent="0.25">
      <c r="A124" t="s">
        <v>247</v>
      </c>
      <c r="B124" t="s">
        <v>248</v>
      </c>
      <c r="C124" s="1">
        <v>45363</v>
      </c>
      <c r="D124" t="s">
        <v>30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62</v>
      </c>
      <c r="K124">
        <v>15</v>
      </c>
      <c r="L124">
        <v>0</v>
      </c>
      <c r="M124">
        <v>622</v>
      </c>
      <c r="N124" t="str" cm="1">
        <f t="array" ref="N124">_xlfn.IFS(M124&lt;=599,"520-599",M124&lt;=649,"600-649",M124&lt;=699,"650-699",M124&lt;=749,"700-749",M124&gt;=750,"750+")</f>
        <v>600-649</v>
      </c>
    </row>
    <row r="125" spans="1:14" x14ac:dyDescent="0.25">
      <c r="A125" t="s">
        <v>249</v>
      </c>
      <c r="B125" t="s">
        <v>250</v>
      </c>
      <c r="C125" s="1">
        <v>45400</v>
      </c>
      <c r="D125" t="s">
        <v>14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27</v>
      </c>
      <c r="K125">
        <v>0</v>
      </c>
      <c r="L125">
        <v>0</v>
      </c>
      <c r="M125">
        <v>850</v>
      </c>
      <c r="N125" t="str" cm="1">
        <f t="array" ref="N125">_xlfn.IFS(M125&lt;=599,"520-599",M125&lt;=649,"600-649",M125&lt;=699,"650-699",M125&lt;=749,"700-749",M125&gt;=750,"750+")</f>
        <v>750+</v>
      </c>
    </row>
    <row r="126" spans="1:14" x14ac:dyDescent="0.25">
      <c r="A126" t="s">
        <v>251</v>
      </c>
      <c r="B126" t="s">
        <v>252</v>
      </c>
      <c r="C126" s="1">
        <v>45444</v>
      </c>
      <c r="D126" t="s">
        <v>47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27</v>
      </c>
      <c r="K126">
        <v>0</v>
      </c>
      <c r="L126">
        <v>0</v>
      </c>
      <c r="M126">
        <v>711</v>
      </c>
      <c r="N126" t="str" cm="1">
        <f t="array" ref="N126">_xlfn.IFS(M126&lt;=599,"520-599",M126&lt;=649,"600-649",M126&lt;=699,"650-699",M126&lt;=749,"700-749",M126&gt;=750,"750+")</f>
        <v>700-749</v>
      </c>
    </row>
    <row r="127" spans="1:14" x14ac:dyDescent="0.25">
      <c r="A127" t="s">
        <v>253</v>
      </c>
      <c r="B127" t="s">
        <v>254</v>
      </c>
      <c r="C127" s="1">
        <v>45794</v>
      </c>
      <c r="D127" t="s">
        <v>33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15</v>
      </c>
      <c r="K127">
        <v>0</v>
      </c>
      <c r="L127">
        <v>0</v>
      </c>
      <c r="M127">
        <v>646</v>
      </c>
      <c r="N127" t="str" cm="1">
        <f t="array" ref="N127">_xlfn.IFS(M127&lt;=599,"520-599",M127&lt;=649,"600-649",M127&lt;=699,"650-699",M127&lt;=749,"700-749",M127&gt;=750,"750+")</f>
        <v>600-649</v>
      </c>
    </row>
    <row r="128" spans="1:14" x14ac:dyDescent="0.25">
      <c r="A128" t="s">
        <v>255</v>
      </c>
      <c r="B128" t="s">
        <v>256</v>
      </c>
      <c r="C128" s="1">
        <v>45659</v>
      </c>
      <c r="D128" t="s">
        <v>36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27</v>
      </c>
      <c r="K128">
        <v>0</v>
      </c>
      <c r="L128">
        <v>0</v>
      </c>
      <c r="M128">
        <v>829</v>
      </c>
      <c r="N128" t="str" cm="1">
        <f t="array" ref="N128">_xlfn.IFS(M128&lt;=599,"520-599",M128&lt;=649,"600-649",M128&lt;=699,"650-699",M128&lt;=749,"700-749",M128&gt;=750,"750+")</f>
        <v>750+</v>
      </c>
    </row>
    <row r="129" spans="1:14" x14ac:dyDescent="0.25">
      <c r="A129" t="s">
        <v>257</v>
      </c>
      <c r="B129" t="s">
        <v>256</v>
      </c>
      <c r="C129" s="1">
        <v>45762</v>
      </c>
      <c r="D129" t="s">
        <v>36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27</v>
      </c>
      <c r="K129">
        <v>0</v>
      </c>
      <c r="L129">
        <v>0</v>
      </c>
      <c r="M129">
        <v>829</v>
      </c>
      <c r="N129" t="str" cm="1">
        <f t="array" ref="N129">_xlfn.IFS(M129&lt;=599,"520-599",M129&lt;=649,"600-649",M129&lt;=699,"650-699",M129&lt;=749,"700-749",M129&gt;=750,"750+")</f>
        <v>750+</v>
      </c>
    </row>
    <row r="130" spans="1:14" x14ac:dyDescent="0.25">
      <c r="A130" t="s">
        <v>258</v>
      </c>
      <c r="B130" t="s">
        <v>259</v>
      </c>
      <c r="C130" s="1">
        <v>45659</v>
      </c>
      <c r="D130" t="s">
        <v>17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62</v>
      </c>
      <c r="K130">
        <v>15</v>
      </c>
      <c r="L130">
        <v>0</v>
      </c>
      <c r="M130">
        <v>662</v>
      </c>
      <c r="N130" t="str" cm="1">
        <f t="array" ref="N130">_xlfn.IFS(M130&lt;=599,"520-599",M130&lt;=649,"600-649",M130&lt;=699,"650-699",M130&lt;=749,"700-749",M130&gt;=750,"750+")</f>
        <v>650-699</v>
      </c>
    </row>
    <row r="131" spans="1:14" x14ac:dyDescent="0.25">
      <c r="A131" t="s">
        <v>260</v>
      </c>
      <c r="B131" t="s">
        <v>261</v>
      </c>
      <c r="C131" s="1">
        <v>45690</v>
      </c>
      <c r="D131" t="s">
        <v>41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18</v>
      </c>
      <c r="K131">
        <v>168</v>
      </c>
      <c r="L131">
        <v>1</v>
      </c>
      <c r="M131">
        <v>850</v>
      </c>
      <c r="N131" t="str" cm="1">
        <f t="array" ref="N131">_xlfn.IFS(M131&lt;=599,"520-599",M131&lt;=649,"600-649",M131&lt;=699,"650-699",M131&lt;=749,"700-749",M131&gt;=750,"750+")</f>
        <v>750+</v>
      </c>
    </row>
    <row r="132" spans="1:14" x14ac:dyDescent="0.25">
      <c r="A132" t="s">
        <v>262</v>
      </c>
      <c r="B132" t="s">
        <v>263</v>
      </c>
      <c r="C132" s="1">
        <v>45308</v>
      </c>
      <c r="D132" t="s">
        <v>14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18</v>
      </c>
      <c r="K132">
        <v>44</v>
      </c>
      <c r="L132">
        <v>1</v>
      </c>
      <c r="M132">
        <v>619</v>
      </c>
      <c r="N132" t="str" cm="1">
        <f t="array" ref="N132">_xlfn.IFS(M132&lt;=599,"520-599",M132&lt;=649,"600-649",M132&lt;=699,"650-699",M132&lt;=749,"700-749",M132&gt;=750,"750+")</f>
        <v>600-649</v>
      </c>
    </row>
    <row r="133" spans="1:14" x14ac:dyDescent="0.25">
      <c r="A133" t="s">
        <v>264</v>
      </c>
      <c r="B133" t="s">
        <v>265</v>
      </c>
      <c r="C133" s="1">
        <v>45444</v>
      </c>
      <c r="D133" t="s">
        <v>41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27</v>
      </c>
      <c r="K133">
        <v>0</v>
      </c>
      <c r="L133">
        <v>0</v>
      </c>
      <c r="M133">
        <v>781</v>
      </c>
      <c r="N133" t="str" cm="1">
        <f t="array" ref="N133">_xlfn.IFS(M133&lt;=599,"520-599",M133&lt;=649,"600-649",M133&lt;=699,"650-699",M133&lt;=749,"700-749",M133&gt;=750,"750+")</f>
        <v>750+</v>
      </c>
    </row>
    <row r="134" spans="1:14" x14ac:dyDescent="0.25">
      <c r="A134" t="s">
        <v>266</v>
      </c>
      <c r="B134" t="s">
        <v>267</v>
      </c>
      <c r="C134" s="1">
        <v>45425</v>
      </c>
      <c r="D134" t="s">
        <v>14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18</v>
      </c>
      <c r="K134">
        <v>42</v>
      </c>
      <c r="L134">
        <v>1</v>
      </c>
      <c r="M134">
        <v>728</v>
      </c>
      <c r="N134" t="str" cm="1">
        <f t="array" ref="N134">_xlfn.IFS(M134&lt;=599,"520-599",M134&lt;=649,"600-649",M134&lt;=699,"650-699",M134&lt;=749,"700-749",M134&gt;=750,"750+")</f>
        <v>700-749</v>
      </c>
    </row>
    <row r="135" spans="1:14" x14ac:dyDescent="0.25">
      <c r="A135" t="s">
        <v>268</v>
      </c>
      <c r="B135" t="s">
        <v>269</v>
      </c>
      <c r="C135" s="1">
        <v>45400</v>
      </c>
      <c r="D135" t="s">
        <v>36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18</v>
      </c>
      <c r="K135">
        <v>86</v>
      </c>
      <c r="L135">
        <v>1</v>
      </c>
      <c r="M135">
        <v>674</v>
      </c>
      <c r="N135" t="str" cm="1">
        <f t="array" ref="N135">_xlfn.IFS(M135&lt;=599,"520-599",M135&lt;=649,"600-649",M135&lt;=699,"650-699",M135&lt;=749,"700-749",M135&gt;=750,"750+")</f>
        <v>650-699</v>
      </c>
    </row>
    <row r="136" spans="1:14" x14ac:dyDescent="0.25">
      <c r="A136" t="s">
        <v>270</v>
      </c>
      <c r="B136" t="s">
        <v>269</v>
      </c>
      <c r="C136" s="1">
        <v>45432</v>
      </c>
      <c r="D136" t="s">
        <v>36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62</v>
      </c>
      <c r="K136">
        <v>30</v>
      </c>
      <c r="L136">
        <v>0</v>
      </c>
      <c r="M136">
        <v>674</v>
      </c>
      <c r="N136" t="str" cm="1">
        <f t="array" ref="N136">_xlfn.IFS(M136&lt;=599,"520-599",M136&lt;=649,"600-649",M136&lt;=699,"650-699",M136&lt;=749,"700-749",M136&gt;=750,"750+")</f>
        <v>650-699</v>
      </c>
    </row>
    <row r="137" spans="1:14" x14ac:dyDescent="0.25">
      <c r="A137" t="s">
        <v>271</v>
      </c>
      <c r="B137" t="s">
        <v>272</v>
      </c>
      <c r="C137" s="1">
        <v>45464</v>
      </c>
      <c r="D137" t="s">
        <v>33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27</v>
      </c>
      <c r="K137">
        <v>0</v>
      </c>
      <c r="L137">
        <v>0</v>
      </c>
      <c r="M137">
        <v>697</v>
      </c>
      <c r="N137" t="str" cm="1">
        <f t="array" ref="N137">_xlfn.IFS(M137&lt;=599,"520-599",M137&lt;=649,"600-649",M137&lt;=699,"650-699",M137&lt;=749,"700-749",M137&gt;=750,"750+")</f>
        <v>650-699</v>
      </c>
    </row>
    <row r="138" spans="1:14" x14ac:dyDescent="0.25">
      <c r="A138" t="s">
        <v>273</v>
      </c>
      <c r="B138" t="s">
        <v>274</v>
      </c>
      <c r="C138" s="1">
        <v>45453</v>
      </c>
      <c r="D138" t="s">
        <v>41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18</v>
      </c>
      <c r="K138">
        <v>154</v>
      </c>
      <c r="L138">
        <v>1</v>
      </c>
      <c r="M138">
        <v>549</v>
      </c>
      <c r="N138" t="str" cm="1">
        <f t="array" ref="N138">_xlfn.IFS(M138&lt;=599,"520-599",M138&lt;=649,"600-649",M138&lt;=699,"650-699",M138&lt;=749,"700-749",M138&gt;=750,"750+")</f>
        <v>520-599</v>
      </c>
    </row>
    <row r="139" spans="1:14" x14ac:dyDescent="0.25">
      <c r="A139" t="s">
        <v>275</v>
      </c>
      <c r="B139" t="s">
        <v>274</v>
      </c>
      <c r="C139" s="1">
        <v>45582</v>
      </c>
      <c r="D139" t="s">
        <v>36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18</v>
      </c>
      <c r="K139">
        <v>151</v>
      </c>
      <c r="L139">
        <v>1</v>
      </c>
      <c r="M139">
        <v>549</v>
      </c>
      <c r="N139" t="str" cm="1">
        <f t="array" ref="N139">_xlfn.IFS(M139&lt;=599,"520-599",M139&lt;=649,"600-649",M139&lt;=699,"650-699",M139&lt;=749,"700-749",M139&gt;=750,"750+")</f>
        <v>520-599</v>
      </c>
    </row>
    <row r="140" spans="1:14" x14ac:dyDescent="0.25">
      <c r="A140" t="s">
        <v>276</v>
      </c>
      <c r="B140" t="s">
        <v>277</v>
      </c>
      <c r="C140" s="1">
        <v>45470</v>
      </c>
      <c r="D140" t="s">
        <v>38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27</v>
      </c>
      <c r="K140">
        <v>0</v>
      </c>
      <c r="L140">
        <v>0</v>
      </c>
      <c r="M140">
        <v>821</v>
      </c>
      <c r="N140" t="str" cm="1">
        <f t="array" ref="N140">_xlfn.IFS(M140&lt;=599,"520-599",M140&lt;=649,"600-649",M140&lt;=699,"650-699",M140&lt;=749,"700-749",M140&gt;=750,"750+")</f>
        <v>750+</v>
      </c>
    </row>
    <row r="141" spans="1:14" x14ac:dyDescent="0.25">
      <c r="A141" t="s">
        <v>278</v>
      </c>
      <c r="B141" t="s">
        <v>279</v>
      </c>
      <c r="C141" s="1">
        <v>45533</v>
      </c>
      <c r="D141" t="s">
        <v>36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18</v>
      </c>
      <c r="K141">
        <v>165</v>
      </c>
      <c r="L141">
        <v>1</v>
      </c>
      <c r="M141">
        <v>678</v>
      </c>
      <c r="N141" t="str" cm="1">
        <f t="array" ref="N141">_xlfn.IFS(M141&lt;=599,"520-599",M141&lt;=649,"600-649",M141&lt;=699,"650-699",M141&lt;=749,"700-749",M141&gt;=750,"750+")</f>
        <v>650-699</v>
      </c>
    </row>
    <row r="142" spans="1:14" x14ac:dyDescent="0.25">
      <c r="A142" t="s">
        <v>280</v>
      </c>
      <c r="B142" t="s">
        <v>281</v>
      </c>
      <c r="C142" s="1">
        <v>45767</v>
      </c>
      <c r="D142" t="s">
        <v>47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27</v>
      </c>
      <c r="K142">
        <v>0</v>
      </c>
      <c r="L142">
        <v>0</v>
      </c>
      <c r="M142">
        <v>850</v>
      </c>
      <c r="N142" t="str" cm="1">
        <f t="array" ref="N142">_xlfn.IFS(M142&lt;=599,"520-599",M142&lt;=649,"600-649",M142&lt;=699,"650-699",M142&lt;=749,"700-749",M142&gt;=750,"750+")</f>
        <v>750+</v>
      </c>
    </row>
    <row r="143" spans="1:14" x14ac:dyDescent="0.25">
      <c r="A143" t="s">
        <v>282</v>
      </c>
      <c r="B143" t="s">
        <v>281</v>
      </c>
      <c r="C143" s="1">
        <v>45455</v>
      </c>
      <c r="D143" t="s">
        <v>38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62</v>
      </c>
      <c r="K143">
        <v>0</v>
      </c>
      <c r="L143">
        <v>0</v>
      </c>
      <c r="M143">
        <v>850</v>
      </c>
      <c r="N143" t="str" cm="1">
        <f t="array" ref="N143">_xlfn.IFS(M143&lt;=599,"520-599",M143&lt;=649,"600-649",M143&lt;=699,"650-699",M143&lt;=749,"700-749",M143&gt;=750,"750+")</f>
        <v>750+</v>
      </c>
    </row>
    <row r="144" spans="1:14" x14ac:dyDescent="0.25">
      <c r="A144" t="s">
        <v>283</v>
      </c>
      <c r="B144" t="s">
        <v>284</v>
      </c>
      <c r="C144" s="1">
        <v>45345</v>
      </c>
      <c r="D144" t="s">
        <v>17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15</v>
      </c>
      <c r="K144">
        <v>0</v>
      </c>
      <c r="L144">
        <v>0</v>
      </c>
      <c r="M144">
        <v>540</v>
      </c>
      <c r="N144" t="str" cm="1">
        <f t="array" ref="N144">_xlfn.IFS(M144&lt;=599,"520-599",M144&lt;=649,"600-649",M144&lt;=699,"650-699",M144&lt;=749,"700-749",M144&gt;=750,"750+")</f>
        <v>520-599</v>
      </c>
    </row>
    <row r="145" spans="1:14" x14ac:dyDescent="0.25">
      <c r="A145" t="s">
        <v>285</v>
      </c>
      <c r="B145" t="s">
        <v>286</v>
      </c>
      <c r="C145" s="1">
        <v>45625</v>
      </c>
      <c r="D145" t="s">
        <v>36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15</v>
      </c>
      <c r="K145">
        <v>0</v>
      </c>
      <c r="L145">
        <v>0</v>
      </c>
      <c r="M145">
        <v>635</v>
      </c>
      <c r="N145" t="str" cm="1">
        <f t="array" ref="N145">_xlfn.IFS(M145&lt;=599,"520-599",M145&lt;=649,"600-649",M145&lt;=699,"650-699",M145&lt;=749,"700-749",M145&gt;=750,"750+")</f>
        <v>600-649</v>
      </c>
    </row>
    <row r="146" spans="1:14" x14ac:dyDescent="0.25">
      <c r="A146" t="s">
        <v>287</v>
      </c>
      <c r="B146" t="s">
        <v>288</v>
      </c>
      <c r="C146" s="1">
        <v>45676</v>
      </c>
      <c r="D146" t="s">
        <v>36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27</v>
      </c>
      <c r="K146">
        <v>0</v>
      </c>
      <c r="L146">
        <v>0</v>
      </c>
      <c r="M146">
        <v>663</v>
      </c>
      <c r="N146" t="str" cm="1">
        <f t="array" ref="N146">_xlfn.IFS(M146&lt;=599,"520-599",M146&lt;=649,"600-649",M146&lt;=699,"650-699",M146&lt;=749,"700-749",M146&gt;=750,"750+")</f>
        <v>650-699</v>
      </c>
    </row>
    <row r="147" spans="1:14" x14ac:dyDescent="0.25">
      <c r="A147" t="s">
        <v>289</v>
      </c>
      <c r="B147" t="s">
        <v>290</v>
      </c>
      <c r="C147" s="1">
        <v>45674</v>
      </c>
      <c r="D147" t="s">
        <v>17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18</v>
      </c>
      <c r="K147">
        <v>79</v>
      </c>
      <c r="L147">
        <v>1</v>
      </c>
      <c r="M147">
        <v>594</v>
      </c>
      <c r="N147" t="str" cm="1">
        <f t="array" ref="N147">_xlfn.IFS(M147&lt;=599,"520-599",M147&lt;=649,"600-649",M147&lt;=699,"650-699",M147&lt;=749,"700-749",M147&gt;=750,"750+")</f>
        <v>520-599</v>
      </c>
    </row>
    <row r="148" spans="1:14" x14ac:dyDescent="0.25">
      <c r="A148" t="s">
        <v>291</v>
      </c>
      <c r="B148" t="s">
        <v>292</v>
      </c>
      <c r="C148" s="1">
        <v>45431</v>
      </c>
      <c r="D148" t="s">
        <v>24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18</v>
      </c>
      <c r="K148">
        <v>149</v>
      </c>
      <c r="L148">
        <v>1</v>
      </c>
      <c r="M148">
        <v>849</v>
      </c>
      <c r="N148" t="str" cm="1">
        <f t="array" ref="N148">_xlfn.IFS(M148&lt;=599,"520-599",M148&lt;=649,"600-649",M148&lt;=699,"650-699",M148&lt;=749,"700-749",M148&gt;=750,"750+")</f>
        <v>750+</v>
      </c>
    </row>
    <row r="149" spans="1:14" x14ac:dyDescent="0.25">
      <c r="A149" t="s">
        <v>293</v>
      </c>
      <c r="B149" t="s">
        <v>294</v>
      </c>
      <c r="C149" s="1">
        <v>45466</v>
      </c>
      <c r="D149" t="s">
        <v>33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27</v>
      </c>
      <c r="K149">
        <v>0</v>
      </c>
      <c r="L149">
        <v>0</v>
      </c>
      <c r="M149">
        <v>750</v>
      </c>
      <c r="N149" t="str" cm="1">
        <f t="array" ref="N149">_xlfn.IFS(M149&lt;=599,"520-599",M149&lt;=649,"600-649",M149&lt;=699,"650-699",M149&lt;=749,"700-749",M149&gt;=750,"750+")</f>
        <v>750+</v>
      </c>
    </row>
    <row r="150" spans="1:14" x14ac:dyDescent="0.25">
      <c r="A150" t="s">
        <v>295</v>
      </c>
      <c r="B150" t="s">
        <v>296</v>
      </c>
      <c r="C150" s="1">
        <v>45765</v>
      </c>
      <c r="D150" t="s">
        <v>21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15</v>
      </c>
      <c r="K150">
        <v>0</v>
      </c>
      <c r="L150">
        <v>0</v>
      </c>
      <c r="M150">
        <v>844</v>
      </c>
      <c r="N150" t="str" cm="1">
        <f t="array" ref="N150">_xlfn.IFS(M150&lt;=599,"520-599",M150&lt;=649,"600-649",M150&lt;=699,"650-699",M150&lt;=749,"700-749",M150&gt;=750,"750+")</f>
        <v>750+</v>
      </c>
    </row>
    <row r="151" spans="1:14" x14ac:dyDescent="0.25">
      <c r="A151" t="s">
        <v>297</v>
      </c>
      <c r="B151" t="s">
        <v>298</v>
      </c>
      <c r="C151" s="1">
        <v>45297</v>
      </c>
      <c r="D151" t="s">
        <v>30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15</v>
      </c>
      <c r="K151">
        <v>0</v>
      </c>
      <c r="L151">
        <v>0</v>
      </c>
      <c r="M151">
        <v>812</v>
      </c>
      <c r="N151" t="str" cm="1">
        <f t="array" ref="N151">_xlfn.IFS(M151&lt;=599,"520-599",M151&lt;=649,"600-649",M151&lt;=699,"650-699",M151&lt;=749,"700-749",M151&gt;=750,"750+")</f>
        <v>750+</v>
      </c>
    </row>
    <row r="152" spans="1:14" x14ac:dyDescent="0.25">
      <c r="A152" t="s">
        <v>299</v>
      </c>
      <c r="B152" t="s">
        <v>300</v>
      </c>
      <c r="C152" s="1">
        <v>45392</v>
      </c>
      <c r="D152" t="s">
        <v>21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27</v>
      </c>
      <c r="K152">
        <v>0</v>
      </c>
      <c r="L152">
        <v>0</v>
      </c>
      <c r="M152">
        <v>695</v>
      </c>
      <c r="N152" t="str" cm="1">
        <f t="array" ref="N152">_xlfn.IFS(M152&lt;=599,"520-599",M152&lt;=649,"600-649",M152&lt;=699,"650-699",M152&lt;=749,"700-749",M152&gt;=750,"750+")</f>
        <v>650-699</v>
      </c>
    </row>
    <row r="153" spans="1:14" x14ac:dyDescent="0.25">
      <c r="A153" t="s">
        <v>301</v>
      </c>
      <c r="B153" t="s">
        <v>302</v>
      </c>
      <c r="C153" s="1">
        <v>45384</v>
      </c>
      <c r="D153" t="s">
        <v>17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18</v>
      </c>
      <c r="K153">
        <v>108</v>
      </c>
      <c r="L153">
        <v>1</v>
      </c>
      <c r="M153">
        <v>725</v>
      </c>
      <c r="N153" t="str" cm="1">
        <f t="array" ref="N153">_xlfn.IFS(M153&lt;=599,"520-599",M153&lt;=649,"600-649",M153&lt;=699,"650-699",M153&lt;=749,"700-749",M153&gt;=750,"750+")</f>
        <v>700-749</v>
      </c>
    </row>
    <row r="154" spans="1:14" x14ac:dyDescent="0.25">
      <c r="A154" t="s">
        <v>303</v>
      </c>
      <c r="B154" t="s">
        <v>304</v>
      </c>
      <c r="C154" s="1">
        <v>45766</v>
      </c>
      <c r="D154" t="s">
        <v>14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62</v>
      </c>
      <c r="K154">
        <v>15</v>
      </c>
      <c r="L154">
        <v>0</v>
      </c>
      <c r="M154">
        <v>746</v>
      </c>
      <c r="N154" t="str" cm="1">
        <f t="array" ref="N154">_xlfn.IFS(M154&lt;=599,"520-599",M154&lt;=649,"600-649",M154&lt;=699,"650-699",M154&lt;=749,"700-749",M154&gt;=750,"750+")</f>
        <v>700-749</v>
      </c>
    </row>
    <row r="155" spans="1:14" x14ac:dyDescent="0.25">
      <c r="A155" t="s">
        <v>305</v>
      </c>
      <c r="B155" t="s">
        <v>306</v>
      </c>
      <c r="C155" s="1">
        <v>45364</v>
      </c>
      <c r="D155" t="s">
        <v>30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18</v>
      </c>
      <c r="K155">
        <v>115</v>
      </c>
      <c r="L155">
        <v>1</v>
      </c>
      <c r="M155">
        <v>580</v>
      </c>
      <c r="N155" t="str" cm="1">
        <f t="array" ref="N155">_xlfn.IFS(M155&lt;=599,"520-599",M155&lt;=649,"600-649",M155&lt;=699,"650-699",M155&lt;=749,"700-749",M155&gt;=750,"750+")</f>
        <v>520-599</v>
      </c>
    </row>
    <row r="156" spans="1:14" x14ac:dyDescent="0.25">
      <c r="A156" t="s">
        <v>307</v>
      </c>
      <c r="B156" t="s">
        <v>308</v>
      </c>
      <c r="C156" s="1">
        <v>45504</v>
      </c>
      <c r="D156" t="s">
        <v>24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15</v>
      </c>
      <c r="K156">
        <v>0</v>
      </c>
      <c r="L156">
        <v>0</v>
      </c>
      <c r="M156">
        <v>850</v>
      </c>
      <c r="N156" t="str" cm="1">
        <f t="array" ref="N156">_xlfn.IFS(M156&lt;=599,"520-599",M156&lt;=649,"600-649",M156&lt;=699,"650-699",M156&lt;=749,"700-749",M156&gt;=750,"750+")</f>
        <v>750+</v>
      </c>
    </row>
    <row r="157" spans="1:14" x14ac:dyDescent="0.25">
      <c r="A157" t="s">
        <v>309</v>
      </c>
      <c r="B157" t="s">
        <v>310</v>
      </c>
      <c r="C157" s="1">
        <v>45405</v>
      </c>
      <c r="D157" t="s">
        <v>41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27</v>
      </c>
      <c r="K157">
        <v>0</v>
      </c>
      <c r="L157">
        <v>0</v>
      </c>
      <c r="M157">
        <v>714</v>
      </c>
      <c r="N157" t="str" cm="1">
        <f t="array" ref="N157">_xlfn.IFS(M157&lt;=599,"520-599",M157&lt;=649,"600-649",M157&lt;=699,"650-699",M157&lt;=749,"700-749",M157&gt;=750,"750+")</f>
        <v>700-749</v>
      </c>
    </row>
    <row r="158" spans="1:14" x14ac:dyDescent="0.25">
      <c r="A158" t="s">
        <v>311</v>
      </c>
      <c r="B158" t="s">
        <v>312</v>
      </c>
      <c r="C158" s="1">
        <v>45634</v>
      </c>
      <c r="D158" t="s">
        <v>21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27</v>
      </c>
      <c r="K158">
        <v>0</v>
      </c>
      <c r="L158">
        <v>0</v>
      </c>
      <c r="M158">
        <v>796</v>
      </c>
      <c r="N158" t="str" cm="1">
        <f t="array" ref="N158">_xlfn.IFS(M158&lt;=599,"520-599",M158&lt;=649,"600-649",M158&lt;=699,"650-699",M158&lt;=749,"700-749",M158&gt;=750,"750+")</f>
        <v>750+</v>
      </c>
    </row>
    <row r="159" spans="1:14" x14ac:dyDescent="0.25">
      <c r="A159" t="s">
        <v>313</v>
      </c>
      <c r="B159" t="s">
        <v>314</v>
      </c>
      <c r="C159" s="1">
        <v>45565</v>
      </c>
      <c r="D159" t="s">
        <v>47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27</v>
      </c>
      <c r="K159">
        <v>0</v>
      </c>
      <c r="L159">
        <v>0</v>
      </c>
      <c r="M159">
        <v>551</v>
      </c>
      <c r="N159" t="str" cm="1">
        <f t="array" ref="N159">_xlfn.IFS(M159&lt;=599,"520-599",M159&lt;=649,"600-649",M159&lt;=699,"650-699",M159&lt;=749,"700-749",M159&gt;=750,"750+")</f>
        <v>520-599</v>
      </c>
    </row>
    <row r="160" spans="1:14" x14ac:dyDescent="0.25">
      <c r="A160" t="s">
        <v>315</v>
      </c>
      <c r="B160" t="s">
        <v>314</v>
      </c>
      <c r="C160" s="1">
        <v>45773</v>
      </c>
      <c r="D160" t="s">
        <v>30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27</v>
      </c>
      <c r="K160">
        <v>0</v>
      </c>
      <c r="L160">
        <v>0</v>
      </c>
      <c r="M160">
        <v>551</v>
      </c>
      <c r="N160" t="str" cm="1">
        <f t="array" ref="N160">_xlfn.IFS(M160&lt;=599,"520-599",M160&lt;=649,"600-649",M160&lt;=699,"650-699",M160&lt;=749,"700-749",M160&gt;=750,"750+")</f>
        <v>520-599</v>
      </c>
    </row>
    <row r="161" spans="1:14" x14ac:dyDescent="0.25">
      <c r="A161" t="s">
        <v>316</v>
      </c>
      <c r="B161" t="s">
        <v>317</v>
      </c>
      <c r="C161" s="1">
        <v>45760</v>
      </c>
      <c r="D161" t="s">
        <v>47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18</v>
      </c>
      <c r="K161">
        <v>130</v>
      </c>
      <c r="L161">
        <v>1</v>
      </c>
      <c r="M161">
        <v>674</v>
      </c>
      <c r="N161" t="str" cm="1">
        <f t="array" ref="N161">_xlfn.IFS(M161&lt;=599,"520-599",M161&lt;=649,"600-649",M161&lt;=699,"650-699",M161&lt;=749,"700-749",M161&gt;=750,"750+")</f>
        <v>650-699</v>
      </c>
    </row>
    <row r="162" spans="1:14" x14ac:dyDescent="0.25">
      <c r="A162" t="s">
        <v>318</v>
      </c>
      <c r="B162" t="s">
        <v>319</v>
      </c>
      <c r="C162" s="1">
        <v>45443</v>
      </c>
      <c r="D162" t="s">
        <v>24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62</v>
      </c>
      <c r="K162">
        <v>15</v>
      </c>
      <c r="L162">
        <v>0</v>
      </c>
      <c r="M162">
        <v>563</v>
      </c>
      <c r="N162" t="str" cm="1">
        <f t="array" ref="N162">_xlfn.IFS(M162&lt;=599,"520-599",M162&lt;=649,"600-649",M162&lt;=699,"650-699",M162&lt;=749,"700-749",M162&gt;=750,"750+")</f>
        <v>520-599</v>
      </c>
    </row>
    <row r="163" spans="1:14" x14ac:dyDescent="0.25">
      <c r="A163" t="s">
        <v>320</v>
      </c>
      <c r="B163" t="s">
        <v>319</v>
      </c>
      <c r="C163" s="1">
        <v>45777</v>
      </c>
      <c r="D163" t="s">
        <v>41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62</v>
      </c>
      <c r="K163">
        <v>0</v>
      </c>
      <c r="L163">
        <v>0</v>
      </c>
      <c r="M163">
        <v>563</v>
      </c>
      <c r="N163" t="str" cm="1">
        <f t="array" ref="N163">_xlfn.IFS(M163&lt;=599,"520-599",M163&lt;=649,"600-649",M163&lt;=699,"650-699",M163&lt;=749,"700-749",M163&gt;=750,"750+")</f>
        <v>520-599</v>
      </c>
    </row>
    <row r="164" spans="1:14" x14ac:dyDescent="0.25">
      <c r="A164" t="s">
        <v>321</v>
      </c>
      <c r="B164" t="s">
        <v>322</v>
      </c>
      <c r="C164" s="1">
        <v>45713</v>
      </c>
      <c r="D164" t="s">
        <v>36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15</v>
      </c>
      <c r="K164">
        <v>0</v>
      </c>
      <c r="L164">
        <v>0</v>
      </c>
      <c r="M164">
        <v>596</v>
      </c>
      <c r="N164" t="str" cm="1">
        <f t="array" ref="N164">_xlfn.IFS(M164&lt;=599,"520-599",M164&lt;=649,"600-649",M164&lt;=699,"650-699",M164&lt;=749,"700-749",M164&gt;=750,"750+")</f>
        <v>520-599</v>
      </c>
    </row>
    <row r="165" spans="1:14" x14ac:dyDescent="0.25">
      <c r="A165" t="s">
        <v>323</v>
      </c>
      <c r="B165" t="s">
        <v>324</v>
      </c>
      <c r="C165" s="1">
        <v>45605</v>
      </c>
      <c r="D165" t="s">
        <v>21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27</v>
      </c>
      <c r="K165">
        <v>0</v>
      </c>
      <c r="L165">
        <v>0</v>
      </c>
      <c r="M165">
        <v>706</v>
      </c>
      <c r="N165" t="str" cm="1">
        <f t="array" ref="N165">_xlfn.IFS(M165&lt;=599,"520-599",M165&lt;=649,"600-649",M165&lt;=699,"650-699",M165&lt;=749,"700-749",M165&gt;=750,"750+")</f>
        <v>700-749</v>
      </c>
    </row>
    <row r="166" spans="1:14" x14ac:dyDescent="0.25">
      <c r="A166" t="s">
        <v>325</v>
      </c>
      <c r="B166" t="s">
        <v>326</v>
      </c>
      <c r="C166" s="1">
        <v>45456</v>
      </c>
      <c r="D166" t="s">
        <v>41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15</v>
      </c>
      <c r="K166">
        <v>0</v>
      </c>
      <c r="L166">
        <v>0</v>
      </c>
      <c r="M166">
        <v>850</v>
      </c>
      <c r="N166" t="str" cm="1">
        <f t="array" ref="N166">_xlfn.IFS(M166&lt;=599,"520-599",M166&lt;=649,"600-649",M166&lt;=699,"650-699",M166&lt;=749,"700-749",M166&gt;=750,"750+")</f>
        <v>750+</v>
      </c>
    </row>
    <row r="167" spans="1:14" x14ac:dyDescent="0.25">
      <c r="A167" t="s">
        <v>327</v>
      </c>
      <c r="B167" t="s">
        <v>326</v>
      </c>
      <c r="C167" s="1">
        <v>45743</v>
      </c>
      <c r="D167" t="s">
        <v>33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27</v>
      </c>
      <c r="K167">
        <v>0</v>
      </c>
      <c r="L167">
        <v>0</v>
      </c>
      <c r="M167">
        <v>850</v>
      </c>
      <c r="N167" t="str" cm="1">
        <f t="array" ref="N167">_xlfn.IFS(M167&lt;=599,"520-599",M167&lt;=649,"600-649",M167&lt;=699,"650-699",M167&lt;=749,"700-749",M167&gt;=750,"750+")</f>
        <v>750+</v>
      </c>
    </row>
    <row r="168" spans="1:14" x14ac:dyDescent="0.25">
      <c r="A168" t="s">
        <v>328</v>
      </c>
      <c r="B168" t="s">
        <v>329</v>
      </c>
      <c r="C168" s="1">
        <v>45458</v>
      </c>
      <c r="D168" t="s">
        <v>30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27</v>
      </c>
      <c r="K168">
        <v>0</v>
      </c>
      <c r="L168">
        <v>0</v>
      </c>
      <c r="M168">
        <v>758</v>
      </c>
      <c r="N168" t="str" cm="1">
        <f t="array" ref="N168">_xlfn.IFS(M168&lt;=599,"520-599",M168&lt;=649,"600-649",M168&lt;=699,"650-699",M168&lt;=749,"700-749",M168&gt;=750,"750+")</f>
        <v>750+</v>
      </c>
    </row>
    <row r="169" spans="1:14" x14ac:dyDescent="0.25">
      <c r="A169" t="s">
        <v>330</v>
      </c>
      <c r="B169" t="s">
        <v>331</v>
      </c>
      <c r="C169" s="1">
        <v>45811</v>
      </c>
      <c r="D169" t="s">
        <v>33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18</v>
      </c>
      <c r="K169">
        <v>105</v>
      </c>
      <c r="L169">
        <v>1</v>
      </c>
      <c r="M169">
        <v>589</v>
      </c>
      <c r="N169" t="str" cm="1">
        <f t="array" ref="N169">_xlfn.IFS(M169&lt;=599,"520-599",M169&lt;=649,"600-649",M169&lt;=699,"650-699",M169&lt;=749,"700-749",M169&gt;=750,"750+")</f>
        <v>520-599</v>
      </c>
    </row>
    <row r="170" spans="1:14" x14ac:dyDescent="0.25">
      <c r="A170" t="s">
        <v>332</v>
      </c>
      <c r="B170" t="s">
        <v>331</v>
      </c>
      <c r="C170" s="1">
        <v>45744</v>
      </c>
      <c r="D170" t="s">
        <v>14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18</v>
      </c>
      <c r="K170">
        <v>58</v>
      </c>
      <c r="L170">
        <v>1</v>
      </c>
      <c r="M170">
        <v>589</v>
      </c>
      <c r="N170" t="str" cm="1">
        <f t="array" ref="N170">_xlfn.IFS(M170&lt;=599,"520-599",M170&lt;=649,"600-649",M170&lt;=699,"650-699",M170&lt;=749,"700-749",M170&gt;=750,"750+")</f>
        <v>520-599</v>
      </c>
    </row>
    <row r="171" spans="1:14" x14ac:dyDescent="0.25">
      <c r="A171" t="s">
        <v>333</v>
      </c>
      <c r="B171" t="s">
        <v>334</v>
      </c>
      <c r="C171" s="1">
        <v>45517</v>
      </c>
      <c r="D171" t="s">
        <v>41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27</v>
      </c>
      <c r="K171">
        <v>0</v>
      </c>
      <c r="L171">
        <v>0</v>
      </c>
      <c r="M171">
        <v>605</v>
      </c>
      <c r="N171" t="str" cm="1">
        <f t="array" ref="N171">_xlfn.IFS(M171&lt;=599,"520-599",M171&lt;=649,"600-649",M171&lt;=699,"650-699",M171&lt;=749,"700-749",M171&gt;=750,"750+")</f>
        <v>600-649</v>
      </c>
    </row>
    <row r="172" spans="1:14" x14ac:dyDescent="0.25">
      <c r="A172" t="s">
        <v>335</v>
      </c>
      <c r="B172" t="s">
        <v>336</v>
      </c>
      <c r="C172" s="1">
        <v>45377</v>
      </c>
      <c r="D172" t="s">
        <v>47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62</v>
      </c>
      <c r="K172">
        <v>0</v>
      </c>
      <c r="L172">
        <v>0</v>
      </c>
      <c r="M172">
        <v>762</v>
      </c>
      <c r="N172" t="str" cm="1">
        <f t="array" ref="N172">_xlfn.IFS(M172&lt;=599,"520-599",M172&lt;=649,"600-649",M172&lt;=699,"650-699",M172&lt;=749,"700-749",M172&gt;=750,"750+")</f>
        <v>750+</v>
      </c>
    </row>
    <row r="173" spans="1:14" x14ac:dyDescent="0.25">
      <c r="A173" t="s">
        <v>337</v>
      </c>
      <c r="B173" t="s">
        <v>338</v>
      </c>
      <c r="C173" s="1">
        <v>45349</v>
      </c>
      <c r="D173" t="s">
        <v>21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27</v>
      </c>
      <c r="K173">
        <v>0</v>
      </c>
      <c r="L173">
        <v>0</v>
      </c>
      <c r="M173">
        <v>750</v>
      </c>
      <c r="N173" t="str" cm="1">
        <f t="array" ref="N173">_xlfn.IFS(M173&lt;=599,"520-599",M173&lt;=649,"600-649",M173&lt;=699,"650-699",M173&lt;=749,"700-749",M173&gt;=750,"750+")</f>
        <v>750+</v>
      </c>
    </row>
    <row r="174" spans="1:14" x14ac:dyDescent="0.25">
      <c r="A174" t="s">
        <v>339</v>
      </c>
      <c r="B174" t="s">
        <v>340</v>
      </c>
      <c r="C174" s="1">
        <v>45748</v>
      </c>
      <c r="D174" t="s">
        <v>30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15</v>
      </c>
      <c r="K174">
        <v>0</v>
      </c>
      <c r="L174">
        <v>0</v>
      </c>
      <c r="M174">
        <v>554</v>
      </c>
      <c r="N174" t="str" cm="1">
        <f t="array" ref="N174">_xlfn.IFS(M174&lt;=599,"520-599",M174&lt;=649,"600-649",M174&lt;=699,"650-699",M174&lt;=749,"700-749",M174&gt;=750,"750+")</f>
        <v>520-599</v>
      </c>
    </row>
    <row r="175" spans="1:14" x14ac:dyDescent="0.25">
      <c r="A175" t="s">
        <v>341</v>
      </c>
      <c r="B175" t="s">
        <v>340</v>
      </c>
      <c r="C175" s="1">
        <v>45726</v>
      </c>
      <c r="D175" t="s">
        <v>14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15</v>
      </c>
      <c r="K175">
        <v>0</v>
      </c>
      <c r="L175">
        <v>0</v>
      </c>
      <c r="M175">
        <v>554</v>
      </c>
      <c r="N175" t="str" cm="1">
        <f t="array" ref="N175">_xlfn.IFS(M175&lt;=599,"520-599",M175&lt;=649,"600-649",M175&lt;=699,"650-699",M175&lt;=749,"700-749",M175&gt;=750,"750+")</f>
        <v>520-599</v>
      </c>
    </row>
    <row r="176" spans="1:14" x14ac:dyDescent="0.25">
      <c r="A176" t="s">
        <v>342</v>
      </c>
      <c r="B176" t="s">
        <v>343</v>
      </c>
      <c r="C176" s="1">
        <v>45359</v>
      </c>
      <c r="D176" t="s">
        <v>33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27</v>
      </c>
      <c r="K176">
        <v>0</v>
      </c>
      <c r="L176">
        <v>0</v>
      </c>
      <c r="M176">
        <v>818</v>
      </c>
      <c r="N176" t="str" cm="1">
        <f t="array" ref="N176">_xlfn.IFS(M176&lt;=599,"520-599",M176&lt;=649,"600-649",M176&lt;=699,"650-699",M176&lt;=749,"700-749",M176&gt;=750,"750+")</f>
        <v>750+</v>
      </c>
    </row>
    <row r="177" spans="1:14" x14ac:dyDescent="0.25">
      <c r="A177" t="s">
        <v>344</v>
      </c>
      <c r="B177" t="s">
        <v>345</v>
      </c>
      <c r="C177" s="1">
        <v>45432</v>
      </c>
      <c r="D177" t="s">
        <v>24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18</v>
      </c>
      <c r="K177">
        <v>127</v>
      </c>
      <c r="L177">
        <v>1</v>
      </c>
      <c r="M177">
        <v>582</v>
      </c>
      <c r="N177" t="str" cm="1">
        <f t="array" ref="N177">_xlfn.IFS(M177&lt;=599,"520-599",M177&lt;=649,"600-649",M177&lt;=699,"650-699",M177&lt;=749,"700-749",M177&gt;=750,"750+")</f>
        <v>520-599</v>
      </c>
    </row>
    <row r="178" spans="1:14" x14ac:dyDescent="0.25">
      <c r="A178" t="s">
        <v>346</v>
      </c>
      <c r="B178" t="s">
        <v>347</v>
      </c>
      <c r="C178" s="1">
        <v>45766</v>
      </c>
      <c r="D178" t="s">
        <v>14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27</v>
      </c>
      <c r="K178">
        <v>0</v>
      </c>
      <c r="L178">
        <v>0</v>
      </c>
      <c r="M178">
        <v>842</v>
      </c>
      <c r="N178" t="str" cm="1">
        <f t="array" ref="N178">_xlfn.IFS(M178&lt;=599,"520-599",M178&lt;=649,"600-649",M178&lt;=699,"650-699",M178&lt;=749,"700-749",M178&gt;=750,"750+")</f>
        <v>750+</v>
      </c>
    </row>
    <row r="179" spans="1:14" x14ac:dyDescent="0.25">
      <c r="A179" t="s">
        <v>348</v>
      </c>
      <c r="B179" t="s">
        <v>349</v>
      </c>
      <c r="C179" s="1">
        <v>45795</v>
      </c>
      <c r="D179" t="s">
        <v>14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27</v>
      </c>
      <c r="K179">
        <v>0</v>
      </c>
      <c r="L179">
        <v>0</v>
      </c>
      <c r="M179">
        <v>711</v>
      </c>
      <c r="N179" t="str" cm="1">
        <f t="array" ref="N179">_xlfn.IFS(M179&lt;=599,"520-599",M179&lt;=649,"600-649",M179&lt;=699,"650-699",M179&lt;=749,"700-749",M179&gt;=750,"750+")</f>
        <v>700-749</v>
      </c>
    </row>
    <row r="180" spans="1:14" x14ac:dyDescent="0.25">
      <c r="A180" t="s">
        <v>350</v>
      </c>
      <c r="B180" t="s">
        <v>351</v>
      </c>
      <c r="C180" s="1">
        <v>45738</v>
      </c>
      <c r="D180" t="s">
        <v>14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27</v>
      </c>
      <c r="K180">
        <v>0</v>
      </c>
      <c r="L180">
        <v>0</v>
      </c>
      <c r="M180">
        <v>611</v>
      </c>
      <c r="N180" t="str" cm="1">
        <f t="array" ref="N180">_xlfn.IFS(M180&lt;=599,"520-599",M180&lt;=649,"600-649",M180&lt;=699,"650-699",M180&lt;=749,"700-749",M180&gt;=750,"750+")</f>
        <v>600-649</v>
      </c>
    </row>
    <row r="181" spans="1:14" x14ac:dyDescent="0.25">
      <c r="A181" t="s">
        <v>352</v>
      </c>
      <c r="B181" t="s">
        <v>353</v>
      </c>
      <c r="C181" s="1">
        <v>45458</v>
      </c>
      <c r="D181" t="s">
        <v>36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27</v>
      </c>
      <c r="K181">
        <v>0</v>
      </c>
      <c r="L181">
        <v>0</v>
      </c>
      <c r="M181">
        <v>578</v>
      </c>
      <c r="N181" t="str" cm="1">
        <f t="array" ref="N181">_xlfn.IFS(M181&lt;=599,"520-599",M181&lt;=649,"600-649",M181&lt;=699,"650-699",M181&lt;=749,"700-749",M181&gt;=750,"750+")</f>
        <v>520-599</v>
      </c>
    </row>
    <row r="182" spans="1:14" x14ac:dyDescent="0.25">
      <c r="A182" t="s">
        <v>354</v>
      </c>
      <c r="B182" t="s">
        <v>355</v>
      </c>
      <c r="C182" s="1">
        <v>45656</v>
      </c>
      <c r="D182" t="s">
        <v>30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18</v>
      </c>
      <c r="K182">
        <v>104</v>
      </c>
      <c r="L182">
        <v>1</v>
      </c>
      <c r="M182">
        <v>809</v>
      </c>
      <c r="N182" t="str" cm="1">
        <f t="array" ref="N182">_xlfn.IFS(M182&lt;=599,"520-599",M182&lt;=649,"600-649",M182&lt;=699,"650-699",M182&lt;=749,"700-749",M182&gt;=750,"750+")</f>
        <v>750+</v>
      </c>
    </row>
    <row r="183" spans="1:14" x14ac:dyDescent="0.25">
      <c r="A183" t="s">
        <v>356</v>
      </c>
      <c r="B183" t="s">
        <v>357</v>
      </c>
      <c r="C183" s="1">
        <v>45463</v>
      </c>
      <c r="D183" t="s">
        <v>36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62</v>
      </c>
      <c r="K183">
        <v>15</v>
      </c>
      <c r="L183">
        <v>0</v>
      </c>
      <c r="M183">
        <v>778</v>
      </c>
      <c r="N183" t="str" cm="1">
        <f t="array" ref="N183">_xlfn.IFS(M183&lt;=599,"520-599",M183&lt;=649,"600-649",M183&lt;=699,"650-699",M183&lt;=749,"700-749",M183&gt;=750,"750+")</f>
        <v>750+</v>
      </c>
    </row>
    <row r="184" spans="1:14" x14ac:dyDescent="0.25">
      <c r="A184" t="s">
        <v>358</v>
      </c>
      <c r="B184" t="s">
        <v>359</v>
      </c>
      <c r="C184" s="1">
        <v>45652</v>
      </c>
      <c r="D184" t="s">
        <v>24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27</v>
      </c>
      <c r="K184">
        <v>0</v>
      </c>
      <c r="L184">
        <v>0</v>
      </c>
      <c r="M184">
        <v>809</v>
      </c>
      <c r="N184" t="str" cm="1">
        <f t="array" ref="N184">_xlfn.IFS(M184&lt;=599,"520-599",M184&lt;=649,"600-649",M184&lt;=699,"650-699",M184&lt;=749,"700-749",M184&gt;=750,"750+")</f>
        <v>750+</v>
      </c>
    </row>
    <row r="185" spans="1:14" x14ac:dyDescent="0.25">
      <c r="A185" t="s">
        <v>360</v>
      </c>
      <c r="B185" t="s">
        <v>361</v>
      </c>
      <c r="C185" s="1">
        <v>45450</v>
      </c>
      <c r="D185" t="s">
        <v>14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15</v>
      </c>
      <c r="K185">
        <v>0</v>
      </c>
      <c r="L185">
        <v>0</v>
      </c>
      <c r="M185">
        <v>849</v>
      </c>
      <c r="N185" t="str" cm="1">
        <f t="array" ref="N185">_xlfn.IFS(M185&lt;=599,"520-599",M185&lt;=649,"600-649",M185&lt;=699,"650-699",M185&lt;=749,"700-749",M185&gt;=750,"750+")</f>
        <v>750+</v>
      </c>
    </row>
    <row r="186" spans="1:14" x14ac:dyDescent="0.25">
      <c r="A186" t="s">
        <v>362</v>
      </c>
      <c r="B186" t="s">
        <v>363</v>
      </c>
      <c r="C186" s="1">
        <v>45370</v>
      </c>
      <c r="D186" t="s">
        <v>21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18</v>
      </c>
      <c r="K186">
        <v>63</v>
      </c>
      <c r="L186">
        <v>1</v>
      </c>
      <c r="M186">
        <v>764</v>
      </c>
      <c r="N186" t="str" cm="1">
        <f t="array" ref="N186">_xlfn.IFS(M186&lt;=599,"520-599",M186&lt;=649,"600-649",M186&lt;=699,"650-699",M186&lt;=749,"700-749",M186&gt;=750,"750+")</f>
        <v>750+</v>
      </c>
    </row>
    <row r="187" spans="1:14" x14ac:dyDescent="0.25">
      <c r="A187" t="s">
        <v>364</v>
      </c>
      <c r="B187" t="s">
        <v>365</v>
      </c>
      <c r="C187" s="1">
        <v>45827</v>
      </c>
      <c r="D187" t="s">
        <v>14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15</v>
      </c>
      <c r="K187">
        <v>0</v>
      </c>
      <c r="L187">
        <v>0</v>
      </c>
      <c r="M187">
        <v>771</v>
      </c>
      <c r="N187" t="str" cm="1">
        <f t="array" ref="N187">_xlfn.IFS(M187&lt;=599,"520-599",M187&lt;=649,"600-649",M187&lt;=699,"650-699",M187&lt;=749,"700-749",M187&gt;=750,"750+")</f>
        <v>750+</v>
      </c>
    </row>
    <row r="188" spans="1:14" x14ac:dyDescent="0.25">
      <c r="A188" t="s">
        <v>366</v>
      </c>
      <c r="B188" t="s">
        <v>365</v>
      </c>
      <c r="C188" s="1">
        <v>45437</v>
      </c>
      <c r="D188" t="s">
        <v>41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27</v>
      </c>
      <c r="K188">
        <v>0</v>
      </c>
      <c r="L188">
        <v>0</v>
      </c>
      <c r="M188">
        <v>771</v>
      </c>
      <c r="N188" t="str" cm="1">
        <f t="array" ref="N188">_xlfn.IFS(M188&lt;=599,"520-599",M188&lt;=649,"600-649",M188&lt;=699,"650-699",M188&lt;=749,"700-749",M188&gt;=750,"750+")</f>
        <v>750+</v>
      </c>
    </row>
    <row r="189" spans="1:14" x14ac:dyDescent="0.25">
      <c r="A189" t="s">
        <v>367</v>
      </c>
      <c r="B189" t="s">
        <v>368</v>
      </c>
      <c r="C189" s="1">
        <v>45787</v>
      </c>
      <c r="D189" t="s">
        <v>17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27</v>
      </c>
      <c r="K189">
        <v>0</v>
      </c>
      <c r="L189">
        <v>0</v>
      </c>
      <c r="M189">
        <v>663</v>
      </c>
      <c r="N189" t="str" cm="1">
        <f t="array" ref="N189">_xlfn.IFS(M189&lt;=599,"520-599",M189&lt;=649,"600-649",M189&lt;=699,"650-699",M189&lt;=749,"700-749",M189&gt;=750,"750+")</f>
        <v>650-699</v>
      </c>
    </row>
    <row r="190" spans="1:14" x14ac:dyDescent="0.25">
      <c r="A190" t="s">
        <v>369</v>
      </c>
      <c r="B190" t="s">
        <v>368</v>
      </c>
      <c r="C190" s="1">
        <v>45600</v>
      </c>
      <c r="D190" t="s">
        <v>21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15</v>
      </c>
      <c r="K190">
        <v>0</v>
      </c>
      <c r="L190">
        <v>0</v>
      </c>
      <c r="M190">
        <v>663</v>
      </c>
      <c r="N190" t="str" cm="1">
        <f t="array" ref="N190">_xlfn.IFS(M190&lt;=599,"520-599",M190&lt;=649,"600-649",M190&lt;=699,"650-699",M190&lt;=749,"700-749",M190&gt;=750,"750+")</f>
        <v>650-699</v>
      </c>
    </row>
    <row r="191" spans="1:14" x14ac:dyDescent="0.25">
      <c r="A191" t="s">
        <v>370</v>
      </c>
      <c r="B191" t="s">
        <v>371</v>
      </c>
      <c r="C191" s="1">
        <v>45441</v>
      </c>
      <c r="D191" t="s">
        <v>38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62</v>
      </c>
      <c r="K191">
        <v>15</v>
      </c>
      <c r="L191">
        <v>0</v>
      </c>
      <c r="M191">
        <v>617</v>
      </c>
      <c r="N191" t="str" cm="1">
        <f t="array" ref="N191">_xlfn.IFS(M191&lt;=599,"520-599",M191&lt;=649,"600-649",M191&lt;=699,"650-699",M191&lt;=749,"700-749",M191&gt;=750,"750+")</f>
        <v>600-649</v>
      </c>
    </row>
    <row r="192" spans="1:14" x14ac:dyDescent="0.25">
      <c r="A192" t="s">
        <v>372</v>
      </c>
      <c r="B192" t="s">
        <v>371</v>
      </c>
      <c r="C192" s="1">
        <v>45361</v>
      </c>
      <c r="D192" t="s">
        <v>30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18</v>
      </c>
      <c r="K192">
        <v>178</v>
      </c>
      <c r="L192">
        <v>1</v>
      </c>
      <c r="M192">
        <v>617</v>
      </c>
      <c r="N192" t="str" cm="1">
        <f t="array" ref="N192">_xlfn.IFS(M192&lt;=599,"520-599",M192&lt;=649,"600-649",M192&lt;=699,"650-699",M192&lt;=749,"700-749",M192&gt;=750,"750+")</f>
        <v>600-649</v>
      </c>
    </row>
    <row r="193" spans="1:14" x14ac:dyDescent="0.25">
      <c r="A193" t="s">
        <v>373</v>
      </c>
      <c r="B193" t="s">
        <v>374</v>
      </c>
      <c r="C193" s="1">
        <v>45296</v>
      </c>
      <c r="D193" t="s">
        <v>21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27</v>
      </c>
      <c r="K193">
        <v>0</v>
      </c>
      <c r="L193">
        <v>0</v>
      </c>
      <c r="M193">
        <v>762</v>
      </c>
      <c r="N193" t="str" cm="1">
        <f t="array" ref="N193">_xlfn.IFS(M193&lt;=599,"520-599",M193&lt;=649,"600-649",M193&lt;=699,"650-699",M193&lt;=749,"700-749",M193&gt;=750,"750+")</f>
        <v>750+</v>
      </c>
    </row>
    <row r="194" spans="1:14" x14ac:dyDescent="0.25">
      <c r="A194" t="s">
        <v>375</v>
      </c>
      <c r="B194" t="s">
        <v>376</v>
      </c>
      <c r="C194" s="1">
        <v>45401</v>
      </c>
      <c r="D194" t="s">
        <v>14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18</v>
      </c>
      <c r="K194">
        <v>120</v>
      </c>
      <c r="L194">
        <v>1</v>
      </c>
      <c r="M194">
        <v>696</v>
      </c>
      <c r="N194" t="str" cm="1">
        <f t="array" ref="N194">_xlfn.IFS(M194&lt;=599,"520-599",M194&lt;=649,"600-649",M194&lt;=699,"650-699",M194&lt;=749,"700-749",M194&gt;=750,"750+")</f>
        <v>650-699</v>
      </c>
    </row>
    <row r="195" spans="1:14" x14ac:dyDescent="0.25">
      <c r="A195" t="s">
        <v>377</v>
      </c>
      <c r="B195" t="s">
        <v>378</v>
      </c>
      <c r="C195" s="1">
        <v>45613</v>
      </c>
      <c r="D195" t="s">
        <v>17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18</v>
      </c>
      <c r="K195">
        <v>58</v>
      </c>
      <c r="L195">
        <v>1</v>
      </c>
      <c r="M195">
        <v>850</v>
      </c>
      <c r="N195" t="str" cm="1">
        <f t="array" ref="N195">_xlfn.IFS(M195&lt;=599,"520-599",M195&lt;=649,"600-649",M195&lt;=699,"650-699",M195&lt;=749,"700-749",M195&gt;=750,"750+")</f>
        <v>750+</v>
      </c>
    </row>
    <row r="196" spans="1:14" x14ac:dyDescent="0.25">
      <c r="A196" t="s">
        <v>379</v>
      </c>
      <c r="B196" t="s">
        <v>378</v>
      </c>
      <c r="C196" s="1">
        <v>45333</v>
      </c>
      <c r="D196" t="s">
        <v>21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18</v>
      </c>
      <c r="K196">
        <v>156</v>
      </c>
      <c r="L196">
        <v>1</v>
      </c>
      <c r="M196">
        <v>850</v>
      </c>
      <c r="N196" t="str" cm="1">
        <f t="array" ref="N196">_xlfn.IFS(M196&lt;=599,"520-599",M196&lt;=649,"600-649",M196&lt;=699,"650-699",M196&lt;=749,"700-749",M196&gt;=750,"750+")</f>
        <v>750+</v>
      </c>
    </row>
    <row r="197" spans="1:14" x14ac:dyDescent="0.25">
      <c r="A197" t="s">
        <v>380</v>
      </c>
      <c r="B197" t="s">
        <v>381</v>
      </c>
      <c r="C197" s="1">
        <v>45709</v>
      </c>
      <c r="D197" t="s">
        <v>24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18</v>
      </c>
      <c r="K197">
        <v>139</v>
      </c>
      <c r="L197">
        <v>1</v>
      </c>
      <c r="M197">
        <v>677</v>
      </c>
      <c r="N197" t="str" cm="1">
        <f t="array" ref="N197">_xlfn.IFS(M197&lt;=599,"520-599",M197&lt;=649,"600-649",M197&lt;=699,"650-699",M197&lt;=749,"700-749",M197&gt;=750,"750+")</f>
        <v>650-699</v>
      </c>
    </row>
    <row r="198" spans="1:14" x14ac:dyDescent="0.25">
      <c r="A198" t="s">
        <v>382</v>
      </c>
      <c r="B198" t="s">
        <v>383</v>
      </c>
      <c r="C198" s="1">
        <v>45795</v>
      </c>
      <c r="D198" t="s">
        <v>36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27</v>
      </c>
      <c r="K198">
        <v>0</v>
      </c>
      <c r="L198">
        <v>0</v>
      </c>
      <c r="M198">
        <v>845</v>
      </c>
      <c r="N198" t="str" cm="1">
        <f t="array" ref="N198">_xlfn.IFS(M198&lt;=599,"520-599",M198&lt;=649,"600-649",M198&lt;=699,"650-699",M198&lt;=749,"700-749",M198&gt;=750,"750+")</f>
        <v>750+</v>
      </c>
    </row>
    <row r="199" spans="1:14" x14ac:dyDescent="0.25">
      <c r="A199" t="s">
        <v>384</v>
      </c>
      <c r="B199" t="s">
        <v>385</v>
      </c>
      <c r="C199" s="1">
        <v>45464</v>
      </c>
      <c r="D199" t="s">
        <v>36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18</v>
      </c>
      <c r="K199">
        <v>80</v>
      </c>
      <c r="L199">
        <v>1</v>
      </c>
      <c r="M199">
        <v>738</v>
      </c>
      <c r="N199" t="str" cm="1">
        <f t="array" ref="N199">_xlfn.IFS(M199&lt;=599,"520-599",M199&lt;=649,"600-649",M199&lt;=699,"650-699",M199&lt;=749,"700-749",M199&gt;=750,"750+")</f>
        <v>700-749</v>
      </c>
    </row>
    <row r="200" spans="1:14" x14ac:dyDescent="0.25">
      <c r="A200" t="s">
        <v>386</v>
      </c>
      <c r="B200" t="s">
        <v>387</v>
      </c>
      <c r="C200" s="1">
        <v>45803</v>
      </c>
      <c r="D200" t="s">
        <v>47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18</v>
      </c>
      <c r="K200">
        <v>178</v>
      </c>
      <c r="L200">
        <v>1</v>
      </c>
      <c r="M200">
        <v>545</v>
      </c>
      <c r="N200" t="str" cm="1">
        <f t="array" ref="N200">_xlfn.IFS(M200&lt;=599,"520-599",M200&lt;=649,"600-649",M200&lt;=699,"650-699",M200&lt;=749,"700-749",M200&gt;=750,"750+")</f>
        <v>520-599</v>
      </c>
    </row>
    <row r="201" spans="1:14" x14ac:dyDescent="0.25">
      <c r="A201" t="s">
        <v>388</v>
      </c>
      <c r="B201" t="s">
        <v>389</v>
      </c>
      <c r="C201" s="1">
        <v>45815</v>
      </c>
      <c r="D201" t="s">
        <v>17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27</v>
      </c>
      <c r="K201">
        <v>0</v>
      </c>
      <c r="L201">
        <v>0</v>
      </c>
      <c r="M201">
        <v>658</v>
      </c>
      <c r="N201" t="str" cm="1">
        <f t="array" ref="N201">_xlfn.IFS(M201&lt;=599,"520-599",M201&lt;=649,"600-649",M201&lt;=699,"650-699",M201&lt;=749,"700-749",M201&gt;=750,"750+")</f>
        <v>650-699</v>
      </c>
    </row>
    <row r="202" spans="1:14" x14ac:dyDescent="0.25">
      <c r="A202" t="s">
        <v>390</v>
      </c>
      <c r="B202" t="s">
        <v>391</v>
      </c>
      <c r="C202" s="1">
        <v>45346</v>
      </c>
      <c r="D202" t="s">
        <v>14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27</v>
      </c>
      <c r="K202">
        <v>0</v>
      </c>
      <c r="L202">
        <v>0</v>
      </c>
      <c r="M202">
        <v>767</v>
      </c>
      <c r="N202" t="str" cm="1">
        <f t="array" ref="N202">_xlfn.IFS(M202&lt;=599,"520-599",M202&lt;=649,"600-649",M202&lt;=699,"650-699",M202&lt;=749,"700-749",M202&gt;=750,"750+")</f>
        <v>750+</v>
      </c>
    </row>
    <row r="203" spans="1:14" x14ac:dyDescent="0.25">
      <c r="A203" t="s">
        <v>392</v>
      </c>
      <c r="B203" t="s">
        <v>393</v>
      </c>
      <c r="C203" s="1">
        <v>45370</v>
      </c>
      <c r="D203" t="s">
        <v>47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27</v>
      </c>
      <c r="K203">
        <v>0</v>
      </c>
      <c r="L203">
        <v>0</v>
      </c>
      <c r="M203">
        <v>551</v>
      </c>
      <c r="N203" t="str" cm="1">
        <f t="array" ref="N203">_xlfn.IFS(M203&lt;=599,"520-599",M203&lt;=649,"600-649",M203&lt;=699,"650-699",M203&lt;=749,"700-749",M203&gt;=750,"750+")</f>
        <v>520-599</v>
      </c>
    </row>
    <row r="204" spans="1:14" x14ac:dyDescent="0.25">
      <c r="A204" t="s">
        <v>394</v>
      </c>
      <c r="B204" t="s">
        <v>395</v>
      </c>
      <c r="C204" s="1">
        <v>45310</v>
      </c>
      <c r="D204" t="s">
        <v>24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27</v>
      </c>
      <c r="K204">
        <v>0</v>
      </c>
      <c r="L204">
        <v>0</v>
      </c>
      <c r="M204">
        <v>707</v>
      </c>
      <c r="N204" t="str" cm="1">
        <f t="array" ref="N204">_xlfn.IFS(M204&lt;=599,"520-599",M204&lt;=649,"600-649",M204&lt;=699,"650-699",M204&lt;=749,"700-749",M204&gt;=750,"750+")</f>
        <v>700-749</v>
      </c>
    </row>
    <row r="205" spans="1:14" x14ac:dyDescent="0.25">
      <c r="A205" t="s">
        <v>396</v>
      </c>
      <c r="B205" t="s">
        <v>397</v>
      </c>
      <c r="C205" s="1">
        <v>45325</v>
      </c>
      <c r="D205" t="s">
        <v>17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15</v>
      </c>
      <c r="K205">
        <v>0</v>
      </c>
      <c r="L205">
        <v>0</v>
      </c>
      <c r="M205">
        <v>747</v>
      </c>
      <c r="N205" t="str" cm="1">
        <f t="array" ref="N205">_xlfn.IFS(M205&lt;=599,"520-599",M205&lt;=649,"600-649",M205&lt;=699,"650-699",M205&lt;=749,"700-749",M205&gt;=750,"750+")</f>
        <v>700-749</v>
      </c>
    </row>
    <row r="206" spans="1:14" x14ac:dyDescent="0.25">
      <c r="A206" t="s">
        <v>398</v>
      </c>
      <c r="B206" t="s">
        <v>397</v>
      </c>
      <c r="C206" s="1">
        <v>45404</v>
      </c>
      <c r="D206" t="s">
        <v>33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27</v>
      </c>
      <c r="K206">
        <v>0</v>
      </c>
      <c r="L206">
        <v>0</v>
      </c>
      <c r="M206">
        <v>747</v>
      </c>
      <c r="N206" t="str" cm="1">
        <f t="array" ref="N206">_xlfn.IFS(M206&lt;=599,"520-599",M206&lt;=649,"600-649",M206&lt;=699,"650-699",M206&lt;=749,"700-749",M206&gt;=750,"750+")</f>
        <v>700-749</v>
      </c>
    </row>
    <row r="207" spans="1:14" x14ac:dyDescent="0.25">
      <c r="A207" t="s">
        <v>399</v>
      </c>
      <c r="B207" t="s">
        <v>400</v>
      </c>
      <c r="C207" s="1">
        <v>45561</v>
      </c>
      <c r="D207" t="s">
        <v>14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62</v>
      </c>
      <c r="K207">
        <v>30</v>
      </c>
      <c r="L207">
        <v>0</v>
      </c>
      <c r="M207">
        <v>750</v>
      </c>
      <c r="N207" t="str" cm="1">
        <f t="array" ref="N207">_xlfn.IFS(M207&lt;=599,"520-599",M207&lt;=649,"600-649",M207&lt;=699,"650-699",M207&lt;=749,"700-749",M207&gt;=750,"750+")</f>
        <v>750+</v>
      </c>
    </row>
    <row r="208" spans="1:14" x14ac:dyDescent="0.25">
      <c r="A208" t="s">
        <v>401</v>
      </c>
      <c r="B208" t="s">
        <v>402</v>
      </c>
      <c r="C208" s="1">
        <v>45667</v>
      </c>
      <c r="D208" t="s">
        <v>24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27</v>
      </c>
      <c r="K208">
        <v>0</v>
      </c>
      <c r="L208">
        <v>0</v>
      </c>
      <c r="M208">
        <v>752</v>
      </c>
      <c r="N208" t="str" cm="1">
        <f t="array" ref="N208">_xlfn.IFS(M208&lt;=599,"520-599",M208&lt;=649,"600-649",M208&lt;=699,"650-699",M208&lt;=749,"700-749",M208&gt;=750,"750+")</f>
        <v>750+</v>
      </c>
    </row>
    <row r="209" spans="1:14" x14ac:dyDescent="0.25">
      <c r="A209" t="s">
        <v>403</v>
      </c>
      <c r="B209" t="s">
        <v>404</v>
      </c>
      <c r="C209" s="1">
        <v>45349</v>
      </c>
      <c r="D209" t="s">
        <v>30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62</v>
      </c>
      <c r="K209">
        <v>0</v>
      </c>
      <c r="L209">
        <v>0</v>
      </c>
      <c r="M209">
        <v>568</v>
      </c>
      <c r="N209" t="str" cm="1">
        <f t="array" ref="N209">_xlfn.IFS(M209&lt;=599,"520-599",M209&lt;=649,"600-649",M209&lt;=699,"650-699",M209&lt;=749,"700-749",M209&gt;=750,"750+")</f>
        <v>520-599</v>
      </c>
    </row>
    <row r="210" spans="1:14" x14ac:dyDescent="0.25">
      <c r="A210" t="s">
        <v>405</v>
      </c>
      <c r="B210" t="s">
        <v>404</v>
      </c>
      <c r="C210" s="1">
        <v>45465</v>
      </c>
      <c r="D210" t="s">
        <v>47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18</v>
      </c>
      <c r="K210">
        <v>113</v>
      </c>
      <c r="L210">
        <v>1</v>
      </c>
      <c r="M210">
        <v>568</v>
      </c>
      <c r="N210" t="str" cm="1">
        <f t="array" ref="N210">_xlfn.IFS(M210&lt;=599,"520-599",M210&lt;=649,"600-649",M210&lt;=699,"650-699",M210&lt;=749,"700-749",M210&gt;=750,"750+")</f>
        <v>520-599</v>
      </c>
    </row>
    <row r="211" spans="1:14" x14ac:dyDescent="0.25">
      <c r="A211" t="s">
        <v>406</v>
      </c>
      <c r="B211" t="s">
        <v>407</v>
      </c>
      <c r="C211" s="1">
        <v>45772</v>
      </c>
      <c r="D211" t="s">
        <v>17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62</v>
      </c>
      <c r="K211">
        <v>30</v>
      </c>
      <c r="L211">
        <v>0</v>
      </c>
      <c r="M211">
        <v>774</v>
      </c>
      <c r="N211" t="str" cm="1">
        <f t="array" ref="N211">_xlfn.IFS(M211&lt;=599,"520-599",M211&lt;=649,"600-649",M211&lt;=699,"650-699",M211&lt;=749,"700-749",M211&gt;=750,"750+")</f>
        <v>750+</v>
      </c>
    </row>
    <row r="212" spans="1:14" x14ac:dyDescent="0.25">
      <c r="A212" t="s">
        <v>408</v>
      </c>
      <c r="B212" t="s">
        <v>409</v>
      </c>
      <c r="C212" s="1">
        <v>45806</v>
      </c>
      <c r="D212" t="s">
        <v>47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27</v>
      </c>
      <c r="K212">
        <v>0</v>
      </c>
      <c r="L212">
        <v>0</v>
      </c>
      <c r="M212">
        <v>765</v>
      </c>
      <c r="N212" t="str" cm="1">
        <f t="array" ref="N212">_xlfn.IFS(M212&lt;=599,"520-599",M212&lt;=649,"600-649",M212&lt;=699,"650-699",M212&lt;=749,"700-749",M212&gt;=750,"750+")</f>
        <v>750+</v>
      </c>
    </row>
    <row r="213" spans="1:14" x14ac:dyDescent="0.25">
      <c r="A213" t="s">
        <v>410</v>
      </c>
      <c r="B213" t="s">
        <v>411</v>
      </c>
      <c r="C213" s="1">
        <v>45511</v>
      </c>
      <c r="D213" t="s">
        <v>17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18</v>
      </c>
      <c r="K213">
        <v>42</v>
      </c>
      <c r="L213">
        <v>1</v>
      </c>
      <c r="M213">
        <v>583</v>
      </c>
      <c r="N213" t="str" cm="1">
        <f t="array" ref="N213">_xlfn.IFS(M213&lt;=599,"520-599",M213&lt;=649,"600-649",M213&lt;=699,"650-699",M213&lt;=749,"700-749",M213&gt;=750,"750+")</f>
        <v>520-599</v>
      </c>
    </row>
    <row r="214" spans="1:14" x14ac:dyDescent="0.25">
      <c r="A214" t="s">
        <v>412</v>
      </c>
      <c r="B214" t="s">
        <v>413</v>
      </c>
      <c r="C214" s="1">
        <v>45389</v>
      </c>
      <c r="D214" t="s">
        <v>47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27</v>
      </c>
      <c r="K214">
        <v>0</v>
      </c>
      <c r="L214">
        <v>0</v>
      </c>
      <c r="M214">
        <v>843</v>
      </c>
      <c r="N214" t="str" cm="1">
        <f t="array" ref="N214">_xlfn.IFS(M214&lt;=599,"520-599",M214&lt;=649,"600-649",M214&lt;=699,"650-699",M214&lt;=749,"700-749",M214&gt;=750,"750+")</f>
        <v>750+</v>
      </c>
    </row>
    <row r="215" spans="1:14" x14ac:dyDescent="0.25">
      <c r="A215" t="s">
        <v>414</v>
      </c>
      <c r="B215" t="s">
        <v>415</v>
      </c>
      <c r="C215" s="1">
        <v>45599</v>
      </c>
      <c r="D215" t="s">
        <v>17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18</v>
      </c>
      <c r="K215">
        <v>168</v>
      </c>
      <c r="L215">
        <v>1</v>
      </c>
      <c r="M215">
        <v>579</v>
      </c>
      <c r="N215" t="str" cm="1">
        <f t="array" ref="N215">_xlfn.IFS(M215&lt;=599,"520-599",M215&lt;=649,"600-649",M215&lt;=699,"650-699",M215&lt;=749,"700-749",M215&gt;=750,"750+")</f>
        <v>520-599</v>
      </c>
    </row>
    <row r="216" spans="1:14" x14ac:dyDescent="0.25">
      <c r="A216" t="s">
        <v>416</v>
      </c>
      <c r="B216" t="s">
        <v>417</v>
      </c>
      <c r="C216" s="1">
        <v>45476</v>
      </c>
      <c r="D216" t="s">
        <v>17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27</v>
      </c>
      <c r="K216">
        <v>0</v>
      </c>
      <c r="L216">
        <v>0</v>
      </c>
      <c r="M216">
        <v>610</v>
      </c>
      <c r="N216" t="str" cm="1">
        <f t="array" ref="N216">_xlfn.IFS(M216&lt;=599,"520-599",M216&lt;=649,"600-649",M216&lt;=699,"650-699",M216&lt;=749,"700-749",M216&gt;=750,"750+")</f>
        <v>600-649</v>
      </c>
    </row>
    <row r="217" spans="1:14" x14ac:dyDescent="0.25">
      <c r="A217" t="s">
        <v>418</v>
      </c>
      <c r="B217" t="s">
        <v>419</v>
      </c>
      <c r="C217" s="1">
        <v>45837</v>
      </c>
      <c r="D217" t="s">
        <v>14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62</v>
      </c>
      <c r="K217">
        <v>15</v>
      </c>
      <c r="L217">
        <v>0</v>
      </c>
      <c r="M217">
        <v>823</v>
      </c>
      <c r="N217" t="str" cm="1">
        <f t="array" ref="N217">_xlfn.IFS(M217&lt;=599,"520-599",M217&lt;=649,"600-649",M217&lt;=699,"650-699",M217&lt;=749,"700-749",M217&gt;=750,"750+")</f>
        <v>750+</v>
      </c>
    </row>
    <row r="218" spans="1:14" x14ac:dyDescent="0.25">
      <c r="A218" t="s">
        <v>420</v>
      </c>
      <c r="B218" t="s">
        <v>421</v>
      </c>
      <c r="C218" s="1">
        <v>45599</v>
      </c>
      <c r="D218" t="s">
        <v>41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15</v>
      </c>
      <c r="K218">
        <v>0</v>
      </c>
      <c r="L218">
        <v>0</v>
      </c>
      <c r="M218">
        <v>794</v>
      </c>
      <c r="N218" t="str" cm="1">
        <f t="array" ref="N218">_xlfn.IFS(M218&lt;=599,"520-599",M218&lt;=649,"600-649",M218&lt;=699,"650-699",M218&lt;=749,"700-749",M218&gt;=750,"750+")</f>
        <v>750+</v>
      </c>
    </row>
    <row r="219" spans="1:14" x14ac:dyDescent="0.25">
      <c r="A219" t="s">
        <v>422</v>
      </c>
      <c r="B219" t="s">
        <v>421</v>
      </c>
      <c r="C219" s="1">
        <v>45456</v>
      </c>
      <c r="D219" t="s">
        <v>36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27</v>
      </c>
      <c r="K219">
        <v>0</v>
      </c>
      <c r="L219">
        <v>0</v>
      </c>
      <c r="M219">
        <v>794</v>
      </c>
      <c r="N219" t="str" cm="1">
        <f t="array" ref="N219">_xlfn.IFS(M219&lt;=599,"520-599",M219&lt;=649,"600-649",M219&lt;=699,"650-699",M219&lt;=749,"700-749",M219&gt;=750,"750+")</f>
        <v>750+</v>
      </c>
    </row>
    <row r="220" spans="1:14" x14ac:dyDescent="0.25">
      <c r="A220" t="s">
        <v>423</v>
      </c>
      <c r="B220" t="s">
        <v>424</v>
      </c>
      <c r="C220" s="1">
        <v>45738</v>
      </c>
      <c r="D220" t="s">
        <v>38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62</v>
      </c>
      <c r="K220">
        <v>15</v>
      </c>
      <c r="L220">
        <v>0</v>
      </c>
      <c r="M220">
        <v>716</v>
      </c>
      <c r="N220" t="str" cm="1">
        <f t="array" ref="N220">_xlfn.IFS(M220&lt;=599,"520-599",M220&lt;=649,"600-649",M220&lt;=699,"650-699",M220&lt;=749,"700-749",M220&gt;=750,"750+")</f>
        <v>700-749</v>
      </c>
    </row>
    <row r="221" spans="1:14" x14ac:dyDescent="0.25">
      <c r="A221" t="s">
        <v>425</v>
      </c>
      <c r="B221" t="s">
        <v>426</v>
      </c>
      <c r="C221" s="1">
        <v>45335</v>
      </c>
      <c r="D221" t="s">
        <v>41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27</v>
      </c>
      <c r="K221">
        <v>0</v>
      </c>
      <c r="L221">
        <v>0</v>
      </c>
      <c r="M221">
        <v>593</v>
      </c>
      <c r="N221" t="str" cm="1">
        <f t="array" ref="N221">_xlfn.IFS(M221&lt;=599,"520-599",M221&lt;=649,"600-649",M221&lt;=699,"650-699",M221&lt;=749,"700-749",M221&gt;=750,"750+")</f>
        <v>520-599</v>
      </c>
    </row>
    <row r="222" spans="1:14" x14ac:dyDescent="0.25">
      <c r="A222" t="s">
        <v>427</v>
      </c>
      <c r="B222" t="s">
        <v>428</v>
      </c>
      <c r="C222" s="1">
        <v>45708</v>
      </c>
      <c r="D222" t="s">
        <v>36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15</v>
      </c>
      <c r="K222">
        <v>0</v>
      </c>
      <c r="L222">
        <v>0</v>
      </c>
      <c r="M222">
        <v>570</v>
      </c>
      <c r="N222" t="str" cm="1">
        <f t="array" ref="N222">_xlfn.IFS(M222&lt;=599,"520-599",M222&lt;=649,"600-649",M222&lt;=699,"650-699",M222&lt;=749,"700-749",M222&gt;=750,"750+")</f>
        <v>520-599</v>
      </c>
    </row>
    <row r="223" spans="1:14" x14ac:dyDescent="0.25">
      <c r="A223" t="s">
        <v>429</v>
      </c>
      <c r="B223" t="s">
        <v>428</v>
      </c>
      <c r="C223" s="1">
        <v>45804</v>
      </c>
      <c r="D223" t="s">
        <v>17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15</v>
      </c>
      <c r="K223">
        <v>0</v>
      </c>
      <c r="L223">
        <v>0</v>
      </c>
      <c r="M223">
        <v>570</v>
      </c>
      <c r="N223" t="str" cm="1">
        <f t="array" ref="N223">_xlfn.IFS(M223&lt;=599,"520-599",M223&lt;=649,"600-649",M223&lt;=699,"650-699",M223&lt;=749,"700-749",M223&gt;=750,"750+")</f>
        <v>520-599</v>
      </c>
    </row>
    <row r="224" spans="1:14" x14ac:dyDescent="0.25">
      <c r="A224" t="s">
        <v>430</v>
      </c>
      <c r="B224" t="s">
        <v>431</v>
      </c>
      <c r="C224" s="1">
        <v>45612</v>
      </c>
      <c r="D224" t="s">
        <v>21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27</v>
      </c>
      <c r="K224">
        <v>0</v>
      </c>
      <c r="L224">
        <v>0</v>
      </c>
      <c r="M224">
        <v>827</v>
      </c>
      <c r="N224" t="str" cm="1">
        <f t="array" ref="N224">_xlfn.IFS(M224&lt;=599,"520-599",M224&lt;=649,"600-649",M224&lt;=699,"650-699",M224&lt;=749,"700-749",M224&gt;=750,"750+")</f>
        <v>750+</v>
      </c>
    </row>
    <row r="225" spans="1:14" x14ac:dyDescent="0.25">
      <c r="A225" t="s">
        <v>432</v>
      </c>
      <c r="B225" t="s">
        <v>431</v>
      </c>
      <c r="C225" s="1">
        <v>45573</v>
      </c>
      <c r="D225" t="s">
        <v>38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27</v>
      </c>
      <c r="K225">
        <v>0</v>
      </c>
      <c r="L225">
        <v>0</v>
      </c>
      <c r="M225">
        <v>827</v>
      </c>
      <c r="N225" t="str" cm="1">
        <f t="array" ref="N225">_xlfn.IFS(M225&lt;=599,"520-599",M225&lt;=649,"600-649",M225&lt;=699,"650-699",M225&lt;=749,"700-749",M225&gt;=750,"750+")</f>
        <v>750+</v>
      </c>
    </row>
    <row r="226" spans="1:14" x14ac:dyDescent="0.25">
      <c r="A226" t="s">
        <v>433</v>
      </c>
      <c r="B226" t="s">
        <v>434</v>
      </c>
      <c r="C226" s="1">
        <v>45544</v>
      </c>
      <c r="D226" t="s">
        <v>30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62</v>
      </c>
      <c r="K226">
        <v>15</v>
      </c>
      <c r="L226">
        <v>0</v>
      </c>
      <c r="M226">
        <v>850</v>
      </c>
      <c r="N226" t="str" cm="1">
        <f t="array" ref="N226">_xlfn.IFS(M226&lt;=599,"520-599",M226&lt;=649,"600-649",M226&lt;=699,"650-699",M226&lt;=749,"700-749",M226&gt;=750,"750+")</f>
        <v>750+</v>
      </c>
    </row>
    <row r="227" spans="1:14" x14ac:dyDescent="0.25">
      <c r="A227" t="s">
        <v>435</v>
      </c>
      <c r="B227" t="s">
        <v>436</v>
      </c>
      <c r="C227" s="1">
        <v>45347</v>
      </c>
      <c r="D227" t="s">
        <v>30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27</v>
      </c>
      <c r="K227">
        <v>0</v>
      </c>
      <c r="L227">
        <v>0</v>
      </c>
      <c r="M227">
        <v>679</v>
      </c>
      <c r="N227" t="str" cm="1">
        <f t="array" ref="N227">_xlfn.IFS(M227&lt;=599,"520-599",M227&lt;=649,"600-649",M227&lt;=699,"650-699",M227&lt;=749,"700-749",M227&gt;=750,"750+")</f>
        <v>650-699</v>
      </c>
    </row>
    <row r="228" spans="1:14" x14ac:dyDescent="0.25">
      <c r="A228" t="s">
        <v>437</v>
      </c>
      <c r="B228" t="s">
        <v>438</v>
      </c>
      <c r="C228" s="1">
        <v>45534</v>
      </c>
      <c r="D228" t="s">
        <v>24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15</v>
      </c>
      <c r="K228">
        <v>0</v>
      </c>
      <c r="L228">
        <v>0</v>
      </c>
      <c r="M228">
        <v>772</v>
      </c>
      <c r="N228" t="str" cm="1">
        <f t="array" ref="N228">_xlfn.IFS(M228&lt;=599,"520-599",M228&lt;=649,"600-649",M228&lt;=699,"650-699",M228&lt;=749,"700-749",M228&gt;=750,"750+")</f>
        <v>750+</v>
      </c>
    </row>
    <row r="229" spans="1:14" x14ac:dyDescent="0.25">
      <c r="A229" t="s">
        <v>439</v>
      </c>
      <c r="B229" t="s">
        <v>440</v>
      </c>
      <c r="C229" s="1">
        <v>45456</v>
      </c>
      <c r="D229" t="s">
        <v>24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15</v>
      </c>
      <c r="K229">
        <v>0</v>
      </c>
      <c r="L229">
        <v>0</v>
      </c>
      <c r="M229">
        <v>734</v>
      </c>
      <c r="N229" t="str" cm="1">
        <f t="array" ref="N229">_xlfn.IFS(M229&lt;=599,"520-599",M229&lt;=649,"600-649",M229&lt;=699,"650-699",M229&lt;=749,"700-749",M229&gt;=750,"750+")</f>
        <v>700-749</v>
      </c>
    </row>
    <row r="230" spans="1:14" x14ac:dyDescent="0.25">
      <c r="A230" t="s">
        <v>441</v>
      </c>
      <c r="B230" t="s">
        <v>442</v>
      </c>
      <c r="C230" s="1">
        <v>45795</v>
      </c>
      <c r="D230" t="s">
        <v>17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15</v>
      </c>
      <c r="K230">
        <v>0</v>
      </c>
      <c r="L230">
        <v>0</v>
      </c>
      <c r="M230">
        <v>726</v>
      </c>
      <c r="N230" t="str" cm="1">
        <f t="array" ref="N230">_xlfn.IFS(M230&lt;=599,"520-599",M230&lt;=649,"600-649",M230&lt;=699,"650-699",M230&lt;=749,"700-749",M230&gt;=750,"750+")</f>
        <v>700-749</v>
      </c>
    </row>
    <row r="231" spans="1:14" x14ac:dyDescent="0.25">
      <c r="A231" t="s">
        <v>443</v>
      </c>
      <c r="B231" t="s">
        <v>444</v>
      </c>
      <c r="C231" s="1">
        <v>45722</v>
      </c>
      <c r="D231" t="s">
        <v>36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15</v>
      </c>
      <c r="K231">
        <v>0</v>
      </c>
      <c r="L231">
        <v>0</v>
      </c>
      <c r="M231">
        <v>616</v>
      </c>
      <c r="N231" t="str" cm="1">
        <f t="array" ref="N231">_xlfn.IFS(M231&lt;=599,"520-599",M231&lt;=649,"600-649",M231&lt;=699,"650-699",M231&lt;=749,"700-749",M231&gt;=750,"750+")</f>
        <v>600-649</v>
      </c>
    </row>
    <row r="232" spans="1:14" x14ac:dyDescent="0.25">
      <c r="A232" t="s">
        <v>445</v>
      </c>
      <c r="B232" t="s">
        <v>446</v>
      </c>
      <c r="C232" s="1">
        <v>45431</v>
      </c>
      <c r="D232" t="s">
        <v>41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18</v>
      </c>
      <c r="K232">
        <v>81</v>
      </c>
      <c r="L232">
        <v>1</v>
      </c>
      <c r="M232">
        <v>648</v>
      </c>
      <c r="N232" t="str" cm="1">
        <f t="array" ref="N232">_xlfn.IFS(M232&lt;=599,"520-599",M232&lt;=649,"600-649",M232&lt;=699,"650-699",M232&lt;=749,"700-749",M232&gt;=750,"750+")</f>
        <v>600-649</v>
      </c>
    </row>
    <row r="233" spans="1:14" x14ac:dyDescent="0.25">
      <c r="A233" t="s">
        <v>447</v>
      </c>
      <c r="B233" t="s">
        <v>448</v>
      </c>
      <c r="C233" s="1">
        <v>45425</v>
      </c>
      <c r="D233" t="s">
        <v>30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15</v>
      </c>
      <c r="K233">
        <v>0</v>
      </c>
      <c r="L233">
        <v>0</v>
      </c>
      <c r="M233">
        <v>585</v>
      </c>
      <c r="N233" t="str" cm="1">
        <f t="array" ref="N233">_xlfn.IFS(M233&lt;=599,"520-599",M233&lt;=649,"600-649",M233&lt;=699,"650-699",M233&lt;=749,"700-749",M233&gt;=750,"750+")</f>
        <v>520-599</v>
      </c>
    </row>
    <row r="234" spans="1:14" x14ac:dyDescent="0.25">
      <c r="A234" t="s">
        <v>449</v>
      </c>
      <c r="B234" t="s">
        <v>450</v>
      </c>
      <c r="C234" s="1">
        <v>45627</v>
      </c>
      <c r="D234" t="s">
        <v>14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27</v>
      </c>
      <c r="K234">
        <v>0</v>
      </c>
      <c r="L234">
        <v>0</v>
      </c>
      <c r="M234">
        <v>715</v>
      </c>
      <c r="N234" t="str" cm="1">
        <f t="array" ref="N234">_xlfn.IFS(M234&lt;=599,"520-599",M234&lt;=649,"600-649",M234&lt;=699,"650-699",M234&lt;=749,"700-749",M234&gt;=750,"750+")</f>
        <v>700-749</v>
      </c>
    </row>
    <row r="235" spans="1:14" x14ac:dyDescent="0.25">
      <c r="A235" t="s">
        <v>451</v>
      </c>
      <c r="B235" t="s">
        <v>452</v>
      </c>
      <c r="C235" s="1">
        <v>45315</v>
      </c>
      <c r="D235" t="s">
        <v>17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62</v>
      </c>
      <c r="K235">
        <v>0</v>
      </c>
      <c r="L235">
        <v>0</v>
      </c>
      <c r="M235">
        <v>595</v>
      </c>
      <c r="N235" t="str" cm="1">
        <f t="array" ref="N235">_xlfn.IFS(M235&lt;=599,"520-599",M235&lt;=649,"600-649",M235&lt;=699,"650-699",M235&lt;=749,"700-749",M235&gt;=750,"750+")</f>
        <v>520-599</v>
      </c>
    </row>
    <row r="236" spans="1:14" x14ac:dyDescent="0.25">
      <c r="A236" t="s">
        <v>453</v>
      </c>
      <c r="B236" t="s">
        <v>454</v>
      </c>
      <c r="C236" s="1">
        <v>45731</v>
      </c>
      <c r="D236" t="s">
        <v>14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15</v>
      </c>
      <c r="K236">
        <v>0</v>
      </c>
      <c r="L236">
        <v>0</v>
      </c>
      <c r="M236">
        <v>796</v>
      </c>
      <c r="N236" t="str" cm="1">
        <f t="array" ref="N236">_xlfn.IFS(M236&lt;=599,"520-599",M236&lt;=649,"600-649",M236&lt;=699,"650-699",M236&lt;=749,"700-749",M236&gt;=750,"750+")</f>
        <v>750+</v>
      </c>
    </row>
    <row r="237" spans="1:14" x14ac:dyDescent="0.25">
      <c r="A237" t="s">
        <v>455</v>
      </c>
      <c r="B237" t="s">
        <v>454</v>
      </c>
      <c r="C237" s="1">
        <v>45756</v>
      </c>
      <c r="D237" t="s">
        <v>33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27</v>
      </c>
      <c r="K237">
        <v>0</v>
      </c>
      <c r="L237">
        <v>0</v>
      </c>
      <c r="M237">
        <v>796</v>
      </c>
      <c r="N237" t="str" cm="1">
        <f t="array" ref="N237">_xlfn.IFS(M237&lt;=599,"520-599",M237&lt;=649,"600-649",M237&lt;=699,"650-699",M237&lt;=749,"700-749",M237&gt;=750,"750+")</f>
        <v>750+</v>
      </c>
    </row>
    <row r="238" spans="1:14" x14ac:dyDescent="0.25">
      <c r="A238" t="s">
        <v>456</v>
      </c>
      <c r="B238" t="s">
        <v>457</v>
      </c>
      <c r="C238" s="1">
        <v>45503</v>
      </c>
      <c r="D238" t="s">
        <v>24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62</v>
      </c>
      <c r="K238">
        <v>30</v>
      </c>
      <c r="L238">
        <v>0</v>
      </c>
      <c r="M238">
        <v>697</v>
      </c>
      <c r="N238" t="str" cm="1">
        <f t="array" ref="N238">_xlfn.IFS(M238&lt;=599,"520-599",M238&lt;=649,"600-649",M238&lt;=699,"650-699",M238&lt;=749,"700-749",M238&gt;=750,"750+")</f>
        <v>650-699</v>
      </c>
    </row>
    <row r="239" spans="1:14" x14ac:dyDescent="0.25">
      <c r="A239" t="s">
        <v>458</v>
      </c>
      <c r="B239" t="s">
        <v>459</v>
      </c>
      <c r="C239" s="1">
        <v>45560</v>
      </c>
      <c r="D239" t="s">
        <v>17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27</v>
      </c>
      <c r="K239">
        <v>0</v>
      </c>
      <c r="L239">
        <v>0</v>
      </c>
      <c r="M239">
        <v>823</v>
      </c>
      <c r="N239" t="str" cm="1">
        <f t="array" ref="N239">_xlfn.IFS(M239&lt;=599,"520-599",M239&lt;=649,"600-649",M239&lt;=699,"650-699",M239&lt;=749,"700-749",M239&gt;=750,"750+")</f>
        <v>750+</v>
      </c>
    </row>
    <row r="240" spans="1:14" x14ac:dyDescent="0.25">
      <c r="A240" t="s">
        <v>460</v>
      </c>
      <c r="B240" t="s">
        <v>461</v>
      </c>
      <c r="C240" s="1">
        <v>45699</v>
      </c>
      <c r="D240" t="s">
        <v>14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15</v>
      </c>
      <c r="K240">
        <v>0</v>
      </c>
      <c r="L240">
        <v>0</v>
      </c>
      <c r="M240">
        <v>850</v>
      </c>
      <c r="N240" t="str" cm="1">
        <f t="array" ref="N240">_xlfn.IFS(M240&lt;=599,"520-599",M240&lt;=649,"600-649",M240&lt;=699,"650-699",M240&lt;=749,"700-749",M240&gt;=750,"750+")</f>
        <v>750+</v>
      </c>
    </row>
    <row r="241" spans="1:14" x14ac:dyDescent="0.25">
      <c r="A241" t="s">
        <v>462</v>
      </c>
      <c r="B241" t="s">
        <v>463</v>
      </c>
      <c r="C241" s="1">
        <v>45532</v>
      </c>
      <c r="D241" t="s">
        <v>24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62</v>
      </c>
      <c r="K241">
        <v>0</v>
      </c>
      <c r="L241">
        <v>0</v>
      </c>
      <c r="M241">
        <v>622</v>
      </c>
      <c r="N241" t="str" cm="1">
        <f t="array" ref="N241">_xlfn.IFS(M241&lt;=599,"520-599",M241&lt;=649,"600-649",M241&lt;=699,"650-699",M241&lt;=749,"700-749",M241&gt;=750,"750+")</f>
        <v>600-649</v>
      </c>
    </row>
    <row r="242" spans="1:14" x14ac:dyDescent="0.25">
      <c r="A242" t="s">
        <v>464</v>
      </c>
      <c r="B242" t="s">
        <v>465</v>
      </c>
      <c r="C242" s="1">
        <v>45682</v>
      </c>
      <c r="D242" t="s">
        <v>47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18</v>
      </c>
      <c r="K242">
        <v>131</v>
      </c>
      <c r="L242">
        <v>1</v>
      </c>
      <c r="M242">
        <v>622</v>
      </c>
      <c r="N242" t="str" cm="1">
        <f t="array" ref="N242">_xlfn.IFS(M242&lt;=599,"520-599",M242&lt;=649,"600-649",M242&lt;=699,"650-699",M242&lt;=749,"700-749",M242&gt;=750,"750+")</f>
        <v>600-649</v>
      </c>
    </row>
    <row r="243" spans="1:14" x14ac:dyDescent="0.25">
      <c r="A243" t="s">
        <v>466</v>
      </c>
      <c r="B243" t="s">
        <v>467</v>
      </c>
      <c r="C243" s="1">
        <v>45465</v>
      </c>
      <c r="D243" t="s">
        <v>33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18</v>
      </c>
      <c r="K243">
        <v>116</v>
      </c>
      <c r="L243">
        <v>1</v>
      </c>
      <c r="M243">
        <v>556</v>
      </c>
      <c r="N243" t="str" cm="1">
        <f t="array" ref="N243">_xlfn.IFS(M243&lt;=599,"520-599",M243&lt;=649,"600-649",M243&lt;=699,"650-699",M243&lt;=749,"700-749",M243&gt;=750,"750+")</f>
        <v>520-599</v>
      </c>
    </row>
    <row r="244" spans="1:14" x14ac:dyDescent="0.25">
      <c r="A244" t="s">
        <v>468</v>
      </c>
      <c r="B244" t="s">
        <v>469</v>
      </c>
      <c r="C244" s="1">
        <v>45411</v>
      </c>
      <c r="D244" t="s">
        <v>33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62</v>
      </c>
      <c r="K244">
        <v>30</v>
      </c>
      <c r="L244">
        <v>0</v>
      </c>
      <c r="M244">
        <v>802</v>
      </c>
      <c r="N244" t="str" cm="1">
        <f t="array" ref="N244">_xlfn.IFS(M244&lt;=599,"520-599",M244&lt;=649,"600-649",M244&lt;=699,"650-699",M244&lt;=749,"700-749",M244&gt;=750,"750+")</f>
        <v>750+</v>
      </c>
    </row>
    <row r="245" spans="1:14" x14ac:dyDescent="0.25">
      <c r="A245" t="s">
        <v>470</v>
      </c>
      <c r="B245" t="s">
        <v>469</v>
      </c>
      <c r="C245" s="1">
        <v>45561</v>
      </c>
      <c r="D245" t="s">
        <v>24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27</v>
      </c>
      <c r="K245">
        <v>0</v>
      </c>
      <c r="L245">
        <v>0</v>
      </c>
      <c r="M245">
        <v>802</v>
      </c>
      <c r="N245" t="str" cm="1">
        <f t="array" ref="N245">_xlfn.IFS(M245&lt;=599,"520-599",M245&lt;=649,"600-649",M245&lt;=699,"650-699",M245&lt;=749,"700-749",M245&gt;=750,"750+")</f>
        <v>750+</v>
      </c>
    </row>
    <row r="246" spans="1:14" x14ac:dyDescent="0.25">
      <c r="A246" t="s">
        <v>471</v>
      </c>
      <c r="B246" t="s">
        <v>472</v>
      </c>
      <c r="C246" s="1">
        <v>45742</v>
      </c>
      <c r="D246" t="s">
        <v>33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18</v>
      </c>
      <c r="K246">
        <v>68</v>
      </c>
      <c r="L246">
        <v>1</v>
      </c>
      <c r="M246">
        <v>666</v>
      </c>
      <c r="N246" t="str" cm="1">
        <f t="array" ref="N246">_xlfn.IFS(M246&lt;=599,"520-599",M246&lt;=649,"600-649",M246&lt;=699,"650-699",M246&lt;=749,"700-749",M246&gt;=750,"750+")</f>
        <v>650-699</v>
      </c>
    </row>
    <row r="247" spans="1:14" x14ac:dyDescent="0.25">
      <c r="A247" t="s">
        <v>473</v>
      </c>
      <c r="B247" t="s">
        <v>474</v>
      </c>
      <c r="C247" s="1">
        <v>45798</v>
      </c>
      <c r="D247" t="s">
        <v>33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18</v>
      </c>
      <c r="K247">
        <v>121</v>
      </c>
      <c r="L247">
        <v>1</v>
      </c>
      <c r="M247">
        <v>785</v>
      </c>
      <c r="N247" t="str" cm="1">
        <f t="array" ref="N247">_xlfn.IFS(M247&lt;=599,"520-599",M247&lt;=649,"600-649",M247&lt;=699,"650-699",M247&lt;=749,"700-749",M247&gt;=750,"750+")</f>
        <v>750+</v>
      </c>
    </row>
    <row r="248" spans="1:14" x14ac:dyDescent="0.25">
      <c r="A248" t="s">
        <v>475</v>
      </c>
      <c r="B248" t="s">
        <v>476</v>
      </c>
      <c r="C248" s="1">
        <v>45387</v>
      </c>
      <c r="D248" t="s">
        <v>21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15</v>
      </c>
      <c r="K248">
        <v>0</v>
      </c>
      <c r="L248">
        <v>0</v>
      </c>
      <c r="M248">
        <v>742</v>
      </c>
      <c r="N248" t="str" cm="1">
        <f t="array" ref="N248">_xlfn.IFS(M248&lt;=599,"520-599",M248&lt;=649,"600-649",M248&lt;=699,"650-699",M248&lt;=749,"700-749",M248&gt;=750,"750+")</f>
        <v>700-749</v>
      </c>
    </row>
    <row r="249" spans="1:14" x14ac:dyDescent="0.25">
      <c r="A249" t="s">
        <v>477</v>
      </c>
      <c r="B249" t="s">
        <v>476</v>
      </c>
      <c r="C249" s="1">
        <v>45296</v>
      </c>
      <c r="D249" t="s">
        <v>21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27</v>
      </c>
      <c r="K249">
        <v>0</v>
      </c>
      <c r="L249">
        <v>0</v>
      </c>
      <c r="M249">
        <v>742</v>
      </c>
      <c r="N249" t="str" cm="1">
        <f t="array" ref="N249">_xlfn.IFS(M249&lt;=599,"520-599",M249&lt;=649,"600-649",M249&lt;=699,"650-699",M249&lt;=749,"700-749",M249&gt;=750,"750+")</f>
        <v>700-749</v>
      </c>
    </row>
    <row r="250" spans="1:14" x14ac:dyDescent="0.25">
      <c r="A250" t="s">
        <v>478</v>
      </c>
      <c r="B250" t="s">
        <v>479</v>
      </c>
      <c r="C250" s="1">
        <v>45416</v>
      </c>
      <c r="D250" t="s">
        <v>14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15</v>
      </c>
      <c r="K250">
        <v>0</v>
      </c>
      <c r="L250">
        <v>0</v>
      </c>
      <c r="M250">
        <v>770</v>
      </c>
      <c r="N250" t="str" cm="1">
        <f t="array" ref="N250">_xlfn.IFS(M250&lt;=599,"520-599",M250&lt;=649,"600-649",M250&lt;=699,"650-699",M250&lt;=749,"700-749",M250&gt;=750,"750+")</f>
        <v>750+</v>
      </c>
    </row>
    <row r="251" spans="1:14" x14ac:dyDescent="0.25">
      <c r="A251" t="s">
        <v>480</v>
      </c>
      <c r="B251" t="s">
        <v>481</v>
      </c>
      <c r="C251" s="1">
        <v>45567</v>
      </c>
      <c r="D251" t="s">
        <v>33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15</v>
      </c>
      <c r="K251">
        <v>0</v>
      </c>
      <c r="L251">
        <v>0</v>
      </c>
      <c r="M251">
        <v>649</v>
      </c>
      <c r="N251" t="str" cm="1">
        <f t="array" ref="N251">_xlfn.IFS(M251&lt;=599,"520-599",M251&lt;=649,"600-649",M251&lt;=699,"650-699",M251&lt;=749,"700-749",M251&gt;=750,"750+")</f>
        <v>600-649</v>
      </c>
    </row>
    <row r="252" spans="1:14" x14ac:dyDescent="0.25">
      <c r="A252" t="s">
        <v>482</v>
      </c>
      <c r="B252" t="s">
        <v>481</v>
      </c>
      <c r="C252" s="1">
        <v>45341</v>
      </c>
      <c r="D252" t="s">
        <v>47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15</v>
      </c>
      <c r="K252">
        <v>0</v>
      </c>
      <c r="L252">
        <v>0</v>
      </c>
      <c r="M252">
        <v>649</v>
      </c>
      <c r="N252" t="str" cm="1">
        <f t="array" ref="N252">_xlfn.IFS(M252&lt;=599,"520-599",M252&lt;=649,"600-649",M252&lt;=699,"650-699",M252&lt;=749,"700-749",M252&gt;=750,"750+")</f>
        <v>600-649</v>
      </c>
    </row>
    <row r="253" spans="1:14" x14ac:dyDescent="0.25">
      <c r="A253" t="s">
        <v>483</v>
      </c>
      <c r="B253" t="s">
        <v>484</v>
      </c>
      <c r="C253" s="1">
        <v>45537</v>
      </c>
      <c r="D253" t="s">
        <v>21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62</v>
      </c>
      <c r="K253">
        <v>15</v>
      </c>
      <c r="L253">
        <v>0</v>
      </c>
      <c r="M253">
        <v>600</v>
      </c>
      <c r="N253" t="str" cm="1">
        <f t="array" ref="N253">_xlfn.IFS(M253&lt;=599,"520-599",M253&lt;=649,"600-649",M253&lt;=699,"650-699",M253&lt;=749,"700-749",M253&gt;=750,"750+")</f>
        <v>600-649</v>
      </c>
    </row>
    <row r="254" spans="1:14" x14ac:dyDescent="0.25">
      <c r="A254" t="s">
        <v>485</v>
      </c>
      <c r="B254" t="s">
        <v>486</v>
      </c>
      <c r="C254" s="1">
        <v>45794</v>
      </c>
      <c r="D254" t="s">
        <v>33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15</v>
      </c>
      <c r="K254">
        <v>0</v>
      </c>
      <c r="L254">
        <v>0</v>
      </c>
      <c r="M254">
        <v>709</v>
      </c>
      <c r="N254" t="str" cm="1">
        <f t="array" ref="N254">_xlfn.IFS(M254&lt;=599,"520-599",M254&lt;=649,"600-649",M254&lt;=699,"650-699",M254&lt;=749,"700-749",M254&gt;=750,"750+")</f>
        <v>700-749</v>
      </c>
    </row>
    <row r="255" spans="1:14" x14ac:dyDescent="0.25">
      <c r="A255" t="s">
        <v>487</v>
      </c>
      <c r="B255" t="s">
        <v>486</v>
      </c>
      <c r="C255" s="1">
        <v>45793</v>
      </c>
      <c r="D255" t="s">
        <v>47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27</v>
      </c>
      <c r="K255">
        <v>0</v>
      </c>
      <c r="L255">
        <v>0</v>
      </c>
      <c r="M255">
        <v>709</v>
      </c>
      <c r="N255" t="str" cm="1">
        <f t="array" ref="N255">_xlfn.IFS(M255&lt;=599,"520-599",M255&lt;=649,"600-649",M255&lt;=699,"650-699",M255&lt;=749,"700-749",M255&gt;=750,"750+")</f>
        <v>700-749</v>
      </c>
    </row>
    <row r="256" spans="1:14" x14ac:dyDescent="0.25">
      <c r="A256" t="s">
        <v>488</v>
      </c>
      <c r="B256" t="s">
        <v>489</v>
      </c>
      <c r="C256" s="1">
        <v>45728</v>
      </c>
      <c r="D256" t="s">
        <v>36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18</v>
      </c>
      <c r="K256">
        <v>161</v>
      </c>
      <c r="L256">
        <v>1</v>
      </c>
      <c r="M256">
        <v>634</v>
      </c>
      <c r="N256" t="str" cm="1">
        <f t="array" ref="N256">_xlfn.IFS(M256&lt;=599,"520-599",M256&lt;=649,"600-649",M256&lt;=699,"650-699",M256&lt;=749,"700-749",M256&gt;=750,"750+")</f>
        <v>600-649</v>
      </c>
    </row>
    <row r="257" spans="1:14" x14ac:dyDescent="0.25">
      <c r="A257" t="s">
        <v>490</v>
      </c>
      <c r="B257" t="s">
        <v>491</v>
      </c>
      <c r="C257" s="1">
        <v>45831</v>
      </c>
      <c r="D257" t="s">
        <v>14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27</v>
      </c>
      <c r="K257">
        <v>0</v>
      </c>
      <c r="L257">
        <v>0</v>
      </c>
      <c r="M257">
        <v>693</v>
      </c>
      <c r="N257" t="str" cm="1">
        <f t="array" ref="N257">_xlfn.IFS(M257&lt;=599,"520-599",M257&lt;=649,"600-649",M257&lt;=699,"650-699",M257&lt;=749,"700-749",M257&gt;=750,"750+")</f>
        <v>650-699</v>
      </c>
    </row>
    <row r="258" spans="1:14" x14ac:dyDescent="0.25">
      <c r="A258" t="s">
        <v>492</v>
      </c>
      <c r="B258" t="s">
        <v>493</v>
      </c>
      <c r="C258" s="1">
        <v>45827</v>
      </c>
      <c r="D258" t="s">
        <v>14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27</v>
      </c>
      <c r="K258">
        <v>0</v>
      </c>
      <c r="L258">
        <v>0</v>
      </c>
      <c r="M258">
        <v>777</v>
      </c>
      <c r="N258" t="str" cm="1">
        <f t="array" ref="N258">_xlfn.IFS(M258&lt;=599,"520-599",M258&lt;=649,"600-649",M258&lt;=699,"650-699",M258&lt;=749,"700-749",M258&gt;=750,"750+")</f>
        <v>750+</v>
      </c>
    </row>
    <row r="259" spans="1:14" x14ac:dyDescent="0.25">
      <c r="A259" t="s">
        <v>494</v>
      </c>
      <c r="B259" t="s">
        <v>495</v>
      </c>
      <c r="C259" s="1">
        <v>45551</v>
      </c>
      <c r="D259" t="s">
        <v>21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18</v>
      </c>
      <c r="K259">
        <v>179</v>
      </c>
      <c r="L259">
        <v>1</v>
      </c>
      <c r="M259">
        <v>620</v>
      </c>
      <c r="N259" t="str" cm="1">
        <f t="array" ref="N259">_xlfn.IFS(M259&lt;=599,"520-599",M259&lt;=649,"600-649",M259&lt;=699,"650-699",M259&lt;=749,"700-749",M259&gt;=750,"750+")</f>
        <v>600-649</v>
      </c>
    </row>
    <row r="260" spans="1:14" x14ac:dyDescent="0.25">
      <c r="A260" t="s">
        <v>496</v>
      </c>
      <c r="B260" t="s">
        <v>495</v>
      </c>
      <c r="C260" s="1">
        <v>45478</v>
      </c>
      <c r="D260" t="s">
        <v>36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27</v>
      </c>
      <c r="K260">
        <v>0</v>
      </c>
      <c r="L260">
        <v>0</v>
      </c>
      <c r="M260">
        <v>620</v>
      </c>
      <c r="N260" t="str" cm="1">
        <f t="array" ref="N260">_xlfn.IFS(M260&lt;=599,"520-599",M260&lt;=649,"600-649",M260&lt;=699,"650-699",M260&lt;=749,"700-749",M260&gt;=750,"750+")</f>
        <v>600-649</v>
      </c>
    </row>
    <row r="261" spans="1:14" x14ac:dyDescent="0.25">
      <c r="A261" t="s">
        <v>497</v>
      </c>
      <c r="B261" t="s">
        <v>498</v>
      </c>
      <c r="C261" s="1">
        <v>45563</v>
      </c>
      <c r="D261" t="s">
        <v>30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62</v>
      </c>
      <c r="K261">
        <v>15</v>
      </c>
      <c r="L261">
        <v>0</v>
      </c>
      <c r="M261">
        <v>748</v>
      </c>
      <c r="N261" t="str" cm="1">
        <f t="array" ref="N261">_xlfn.IFS(M261&lt;=599,"520-599",M261&lt;=649,"600-649",M261&lt;=699,"650-699",M261&lt;=749,"700-749",M261&gt;=750,"750+")</f>
        <v>700-749</v>
      </c>
    </row>
    <row r="262" spans="1:14" x14ac:dyDescent="0.25">
      <c r="A262" t="s">
        <v>499</v>
      </c>
      <c r="B262" t="s">
        <v>500</v>
      </c>
      <c r="C262" s="1">
        <v>45310</v>
      </c>
      <c r="D262" t="s">
        <v>36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18</v>
      </c>
      <c r="K262">
        <v>59</v>
      </c>
      <c r="L262">
        <v>1</v>
      </c>
      <c r="M262">
        <v>721</v>
      </c>
      <c r="N262" t="str" cm="1">
        <f t="array" ref="N262">_xlfn.IFS(M262&lt;=599,"520-599",M262&lt;=649,"600-649",M262&lt;=699,"650-699",M262&lt;=749,"700-749",M262&gt;=750,"750+")</f>
        <v>700-749</v>
      </c>
    </row>
    <row r="263" spans="1:14" x14ac:dyDescent="0.25">
      <c r="A263" t="s">
        <v>501</v>
      </c>
      <c r="B263" t="s">
        <v>502</v>
      </c>
      <c r="C263" s="1">
        <v>45602</v>
      </c>
      <c r="D263" t="s">
        <v>14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62</v>
      </c>
      <c r="K263">
        <v>30</v>
      </c>
      <c r="L263">
        <v>0</v>
      </c>
      <c r="M263">
        <v>655</v>
      </c>
      <c r="N263" t="str" cm="1">
        <f t="array" ref="N263">_xlfn.IFS(M263&lt;=599,"520-599",M263&lt;=649,"600-649",M263&lt;=699,"650-699",M263&lt;=749,"700-749",M263&gt;=750,"750+")</f>
        <v>650-699</v>
      </c>
    </row>
    <row r="264" spans="1:14" x14ac:dyDescent="0.25">
      <c r="A264" t="s">
        <v>503</v>
      </c>
      <c r="B264" t="s">
        <v>504</v>
      </c>
      <c r="C264" s="1">
        <v>45406</v>
      </c>
      <c r="D264" t="s">
        <v>17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27</v>
      </c>
      <c r="K264">
        <v>0</v>
      </c>
      <c r="L264">
        <v>0</v>
      </c>
      <c r="M264">
        <v>610</v>
      </c>
      <c r="N264" t="str" cm="1">
        <f t="array" ref="N264">_xlfn.IFS(M264&lt;=599,"520-599",M264&lt;=649,"600-649",M264&lt;=699,"650-699",M264&lt;=749,"700-749",M264&gt;=750,"750+")</f>
        <v>600-649</v>
      </c>
    </row>
    <row r="265" spans="1:14" x14ac:dyDescent="0.25">
      <c r="A265" t="s">
        <v>505</v>
      </c>
      <c r="B265" t="s">
        <v>506</v>
      </c>
      <c r="C265" s="1">
        <v>45487</v>
      </c>
      <c r="D265" t="s">
        <v>14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27</v>
      </c>
      <c r="K265">
        <v>0</v>
      </c>
      <c r="L265">
        <v>0</v>
      </c>
      <c r="M265">
        <v>806</v>
      </c>
      <c r="N265" t="str" cm="1">
        <f t="array" ref="N265">_xlfn.IFS(M265&lt;=599,"520-599",M265&lt;=649,"600-649",M265&lt;=699,"650-699",M265&lt;=749,"700-749",M265&gt;=750,"750+")</f>
        <v>750+</v>
      </c>
    </row>
    <row r="266" spans="1:14" x14ac:dyDescent="0.25">
      <c r="A266" t="s">
        <v>507</v>
      </c>
      <c r="B266" t="s">
        <v>508</v>
      </c>
      <c r="C266" s="1">
        <v>45774</v>
      </c>
      <c r="D266" t="s">
        <v>36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18</v>
      </c>
      <c r="K266">
        <v>145</v>
      </c>
      <c r="L266">
        <v>1</v>
      </c>
      <c r="M266">
        <v>799</v>
      </c>
      <c r="N266" t="str" cm="1">
        <f t="array" ref="N266">_xlfn.IFS(M266&lt;=599,"520-599",M266&lt;=649,"600-649",M266&lt;=699,"650-699",M266&lt;=749,"700-749",M266&gt;=750,"750+")</f>
        <v>750+</v>
      </c>
    </row>
    <row r="267" spans="1:14" x14ac:dyDescent="0.25">
      <c r="A267" t="s">
        <v>509</v>
      </c>
      <c r="B267" t="s">
        <v>510</v>
      </c>
      <c r="C267" s="1">
        <v>45300</v>
      </c>
      <c r="D267" t="s">
        <v>38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18</v>
      </c>
      <c r="K267">
        <v>140</v>
      </c>
      <c r="L267">
        <v>1</v>
      </c>
      <c r="M267">
        <v>809</v>
      </c>
      <c r="N267" t="str" cm="1">
        <f t="array" ref="N267">_xlfn.IFS(M267&lt;=599,"520-599",M267&lt;=649,"600-649",M267&lt;=699,"650-699",M267&lt;=749,"700-749",M267&gt;=750,"750+")</f>
        <v>750+</v>
      </c>
    </row>
    <row r="268" spans="1:14" x14ac:dyDescent="0.25">
      <c r="A268" t="s">
        <v>511</v>
      </c>
      <c r="B268" t="s">
        <v>512</v>
      </c>
      <c r="C268" s="1">
        <v>45329</v>
      </c>
      <c r="D268" t="s">
        <v>14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27</v>
      </c>
      <c r="K268">
        <v>0</v>
      </c>
      <c r="L268">
        <v>0</v>
      </c>
      <c r="M268">
        <v>778</v>
      </c>
      <c r="N268" t="str" cm="1">
        <f t="array" ref="N268">_xlfn.IFS(M268&lt;=599,"520-599",M268&lt;=649,"600-649",M268&lt;=699,"650-699",M268&lt;=749,"700-749",M268&gt;=750,"750+")</f>
        <v>750+</v>
      </c>
    </row>
    <row r="269" spans="1:14" x14ac:dyDescent="0.25">
      <c r="A269" t="s">
        <v>513</v>
      </c>
      <c r="B269" t="s">
        <v>512</v>
      </c>
      <c r="C269" s="1">
        <v>45354</v>
      </c>
      <c r="D269" t="s">
        <v>47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27</v>
      </c>
      <c r="K269">
        <v>0</v>
      </c>
      <c r="L269">
        <v>0</v>
      </c>
      <c r="M269">
        <v>778</v>
      </c>
      <c r="N269" t="str" cm="1">
        <f t="array" ref="N269">_xlfn.IFS(M269&lt;=599,"520-599",M269&lt;=649,"600-649",M269&lt;=699,"650-699",M269&lt;=749,"700-749",M269&gt;=750,"750+")</f>
        <v>750+</v>
      </c>
    </row>
    <row r="270" spans="1:14" x14ac:dyDescent="0.25">
      <c r="A270" t="s">
        <v>514</v>
      </c>
      <c r="B270" t="s">
        <v>515</v>
      </c>
      <c r="C270" s="1">
        <v>45647</v>
      </c>
      <c r="D270" t="s">
        <v>17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27</v>
      </c>
      <c r="K270">
        <v>0</v>
      </c>
      <c r="L270">
        <v>0</v>
      </c>
      <c r="M270">
        <v>742</v>
      </c>
      <c r="N270" t="str" cm="1">
        <f t="array" ref="N270">_xlfn.IFS(M270&lt;=599,"520-599",M270&lt;=649,"600-649",M270&lt;=699,"650-699",M270&lt;=749,"700-749",M270&gt;=750,"750+")</f>
        <v>700-749</v>
      </c>
    </row>
    <row r="271" spans="1:14" x14ac:dyDescent="0.25">
      <c r="A271" t="s">
        <v>516</v>
      </c>
      <c r="B271" t="s">
        <v>517</v>
      </c>
      <c r="C271" s="1">
        <v>45639</v>
      </c>
      <c r="D271" t="s">
        <v>14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62</v>
      </c>
      <c r="K271">
        <v>15</v>
      </c>
      <c r="L271">
        <v>0</v>
      </c>
      <c r="M271">
        <v>570</v>
      </c>
      <c r="N271" t="str" cm="1">
        <f t="array" ref="N271">_xlfn.IFS(M271&lt;=599,"520-599",M271&lt;=649,"600-649",M271&lt;=699,"650-699",M271&lt;=749,"700-749",M271&gt;=750,"750+")</f>
        <v>520-599</v>
      </c>
    </row>
    <row r="272" spans="1:14" x14ac:dyDescent="0.25">
      <c r="A272" t="s">
        <v>518</v>
      </c>
      <c r="B272" t="s">
        <v>519</v>
      </c>
      <c r="C272" s="1">
        <v>45660</v>
      </c>
      <c r="D272" t="s">
        <v>24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15</v>
      </c>
      <c r="K272">
        <v>0</v>
      </c>
      <c r="L272">
        <v>0</v>
      </c>
      <c r="M272">
        <v>730</v>
      </c>
      <c r="N272" t="str" cm="1">
        <f t="array" ref="N272">_xlfn.IFS(M272&lt;=599,"520-599",M272&lt;=649,"600-649",M272&lt;=699,"650-699",M272&lt;=749,"700-749",M272&gt;=750,"750+")</f>
        <v>700-749</v>
      </c>
    </row>
    <row r="273" spans="1:14" x14ac:dyDescent="0.25">
      <c r="A273" t="s">
        <v>520</v>
      </c>
      <c r="B273" t="s">
        <v>521</v>
      </c>
      <c r="C273" s="1">
        <v>45496</v>
      </c>
      <c r="D273" t="s">
        <v>24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18</v>
      </c>
      <c r="K273">
        <v>155</v>
      </c>
      <c r="L273">
        <v>1</v>
      </c>
      <c r="M273">
        <v>610</v>
      </c>
      <c r="N273" t="str" cm="1">
        <f t="array" ref="N273">_xlfn.IFS(M273&lt;=599,"520-599",M273&lt;=649,"600-649",M273&lt;=699,"650-699",M273&lt;=749,"700-749",M273&gt;=750,"750+")</f>
        <v>600-649</v>
      </c>
    </row>
    <row r="274" spans="1:14" x14ac:dyDescent="0.25">
      <c r="A274" t="s">
        <v>522</v>
      </c>
      <c r="B274" t="s">
        <v>523</v>
      </c>
      <c r="C274" s="1">
        <v>45340</v>
      </c>
      <c r="D274" t="s">
        <v>17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27</v>
      </c>
      <c r="K274">
        <v>0</v>
      </c>
      <c r="L274">
        <v>0</v>
      </c>
      <c r="M274">
        <v>787</v>
      </c>
      <c r="N274" t="str" cm="1">
        <f t="array" ref="N274">_xlfn.IFS(M274&lt;=599,"520-599",M274&lt;=649,"600-649",M274&lt;=699,"650-699",M274&lt;=749,"700-749",M274&gt;=750,"750+")</f>
        <v>750+</v>
      </c>
    </row>
    <row r="275" spans="1:14" x14ac:dyDescent="0.25">
      <c r="A275" t="s">
        <v>524</v>
      </c>
      <c r="B275" t="s">
        <v>525</v>
      </c>
      <c r="C275" s="1">
        <v>45637</v>
      </c>
      <c r="D275" t="s">
        <v>33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18</v>
      </c>
      <c r="K275">
        <v>88</v>
      </c>
      <c r="L275">
        <v>1</v>
      </c>
      <c r="M275">
        <v>582</v>
      </c>
      <c r="N275" t="str" cm="1">
        <f t="array" ref="N275">_xlfn.IFS(M275&lt;=599,"520-599",M275&lt;=649,"600-649",M275&lt;=699,"650-699",M275&lt;=749,"700-749",M275&gt;=750,"750+")</f>
        <v>520-599</v>
      </c>
    </row>
    <row r="276" spans="1:14" x14ac:dyDescent="0.25">
      <c r="A276" t="s">
        <v>526</v>
      </c>
      <c r="B276" t="s">
        <v>527</v>
      </c>
      <c r="C276" s="1">
        <v>45565</v>
      </c>
      <c r="D276" t="s">
        <v>38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62</v>
      </c>
      <c r="K276">
        <v>15</v>
      </c>
      <c r="L276">
        <v>0</v>
      </c>
      <c r="M276">
        <v>758</v>
      </c>
      <c r="N276" t="str" cm="1">
        <f t="array" ref="N276">_xlfn.IFS(M276&lt;=599,"520-599",M276&lt;=649,"600-649",M276&lt;=699,"650-699",M276&lt;=749,"700-749",M276&gt;=750,"750+")</f>
        <v>750+</v>
      </c>
    </row>
    <row r="277" spans="1:14" x14ac:dyDescent="0.25">
      <c r="A277" t="s">
        <v>528</v>
      </c>
      <c r="B277" t="s">
        <v>529</v>
      </c>
      <c r="C277" s="1">
        <v>45405</v>
      </c>
      <c r="D277" t="s">
        <v>36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62</v>
      </c>
      <c r="K277">
        <v>0</v>
      </c>
      <c r="L277">
        <v>0</v>
      </c>
      <c r="M277">
        <v>683</v>
      </c>
      <c r="N277" t="str" cm="1">
        <f t="array" ref="N277">_xlfn.IFS(M277&lt;=599,"520-599",M277&lt;=649,"600-649",M277&lt;=699,"650-699",M277&lt;=749,"700-749",M277&gt;=750,"750+")</f>
        <v>650-699</v>
      </c>
    </row>
    <row r="278" spans="1:14" x14ac:dyDescent="0.25">
      <c r="A278" t="s">
        <v>530</v>
      </c>
      <c r="B278" t="s">
        <v>531</v>
      </c>
      <c r="C278" s="1">
        <v>45412</v>
      </c>
      <c r="D278" t="s">
        <v>36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62</v>
      </c>
      <c r="K278">
        <v>15</v>
      </c>
      <c r="L278">
        <v>0</v>
      </c>
      <c r="M278">
        <v>816</v>
      </c>
      <c r="N278" t="str" cm="1">
        <f t="array" ref="N278">_xlfn.IFS(M278&lt;=599,"520-599",M278&lt;=649,"600-649",M278&lt;=699,"650-699",M278&lt;=749,"700-749",M278&gt;=750,"750+")</f>
        <v>750+</v>
      </c>
    </row>
    <row r="279" spans="1:14" x14ac:dyDescent="0.25">
      <c r="A279" t="s">
        <v>532</v>
      </c>
      <c r="B279" t="s">
        <v>531</v>
      </c>
      <c r="C279" s="1">
        <v>45393</v>
      </c>
      <c r="D279" t="s">
        <v>24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18</v>
      </c>
      <c r="K279">
        <v>123</v>
      </c>
      <c r="L279">
        <v>1</v>
      </c>
      <c r="M279">
        <v>816</v>
      </c>
      <c r="N279" t="str" cm="1">
        <f t="array" ref="N279">_xlfn.IFS(M279&lt;=599,"520-599",M279&lt;=649,"600-649",M279&lt;=699,"650-699",M279&lt;=749,"700-749",M279&gt;=750,"750+")</f>
        <v>750+</v>
      </c>
    </row>
    <row r="280" spans="1:14" x14ac:dyDescent="0.25">
      <c r="A280" t="s">
        <v>533</v>
      </c>
      <c r="B280" t="s">
        <v>534</v>
      </c>
      <c r="C280" s="1">
        <v>45298</v>
      </c>
      <c r="D280" t="s">
        <v>33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27</v>
      </c>
      <c r="K280">
        <v>0</v>
      </c>
      <c r="L280">
        <v>0</v>
      </c>
      <c r="M280">
        <v>711</v>
      </c>
      <c r="N280" t="str" cm="1">
        <f t="array" ref="N280">_xlfn.IFS(M280&lt;=599,"520-599",M280&lt;=649,"600-649",M280&lt;=699,"650-699",M280&lt;=749,"700-749",M280&gt;=750,"750+")</f>
        <v>700-749</v>
      </c>
    </row>
    <row r="281" spans="1:14" x14ac:dyDescent="0.25">
      <c r="A281" t="s">
        <v>535</v>
      </c>
      <c r="B281" t="s">
        <v>536</v>
      </c>
      <c r="C281" s="1">
        <v>45543</v>
      </c>
      <c r="D281" t="s">
        <v>36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27</v>
      </c>
      <c r="K281">
        <v>0</v>
      </c>
      <c r="L281">
        <v>0</v>
      </c>
      <c r="M281">
        <v>772</v>
      </c>
      <c r="N281" t="str" cm="1">
        <f t="array" ref="N281">_xlfn.IFS(M281&lt;=599,"520-599",M281&lt;=649,"600-649",M281&lt;=699,"650-699",M281&lt;=749,"700-749",M281&gt;=750,"750+")</f>
        <v>750+</v>
      </c>
    </row>
    <row r="282" spans="1:14" x14ac:dyDescent="0.25">
      <c r="A282" t="s">
        <v>537</v>
      </c>
      <c r="B282" t="s">
        <v>538</v>
      </c>
      <c r="C282" s="1">
        <v>45820</v>
      </c>
      <c r="D282" t="s">
        <v>17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27</v>
      </c>
      <c r="K282">
        <v>0</v>
      </c>
      <c r="L282">
        <v>0</v>
      </c>
      <c r="M282">
        <v>820</v>
      </c>
      <c r="N282" t="str" cm="1">
        <f t="array" ref="N282">_xlfn.IFS(M282&lt;=599,"520-599",M282&lt;=649,"600-649",M282&lt;=699,"650-699",M282&lt;=749,"700-749",M282&gt;=750,"750+")</f>
        <v>750+</v>
      </c>
    </row>
    <row r="283" spans="1:14" x14ac:dyDescent="0.25">
      <c r="A283" t="s">
        <v>539</v>
      </c>
      <c r="B283" t="s">
        <v>540</v>
      </c>
      <c r="C283" s="1">
        <v>45614</v>
      </c>
      <c r="D283" t="s">
        <v>41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27</v>
      </c>
      <c r="K283">
        <v>0</v>
      </c>
      <c r="L283">
        <v>0</v>
      </c>
      <c r="M283">
        <v>642</v>
      </c>
      <c r="N283" t="str" cm="1">
        <f t="array" ref="N283">_xlfn.IFS(M283&lt;=599,"520-599",M283&lt;=649,"600-649",M283&lt;=699,"650-699",M283&lt;=749,"700-749",M283&gt;=750,"750+")</f>
        <v>600-649</v>
      </c>
    </row>
    <row r="284" spans="1:14" x14ac:dyDescent="0.25">
      <c r="A284" t="s">
        <v>541</v>
      </c>
      <c r="B284" t="s">
        <v>542</v>
      </c>
      <c r="C284" s="1">
        <v>45824</v>
      </c>
      <c r="D284" t="s">
        <v>41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15</v>
      </c>
      <c r="K284">
        <v>0</v>
      </c>
      <c r="L284">
        <v>0</v>
      </c>
      <c r="M284">
        <v>816</v>
      </c>
      <c r="N284" t="str" cm="1">
        <f t="array" ref="N284">_xlfn.IFS(M284&lt;=599,"520-599",M284&lt;=649,"600-649",M284&lt;=699,"650-699",M284&lt;=749,"700-749",M284&gt;=750,"750+")</f>
        <v>750+</v>
      </c>
    </row>
    <row r="285" spans="1:14" x14ac:dyDescent="0.25">
      <c r="A285" t="s">
        <v>543</v>
      </c>
      <c r="B285" t="s">
        <v>544</v>
      </c>
      <c r="C285" s="1">
        <v>45578</v>
      </c>
      <c r="D285" t="s">
        <v>24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27</v>
      </c>
      <c r="K285">
        <v>0</v>
      </c>
      <c r="L285">
        <v>0</v>
      </c>
      <c r="M285">
        <v>780</v>
      </c>
      <c r="N285" t="str" cm="1">
        <f t="array" ref="N285">_xlfn.IFS(M285&lt;=599,"520-599",M285&lt;=649,"600-649",M285&lt;=699,"650-699",M285&lt;=749,"700-749",M285&gt;=750,"750+")</f>
        <v>750+</v>
      </c>
    </row>
    <row r="286" spans="1:14" x14ac:dyDescent="0.25">
      <c r="A286" t="s">
        <v>545</v>
      </c>
      <c r="B286" t="s">
        <v>546</v>
      </c>
      <c r="C286" s="1">
        <v>45645</v>
      </c>
      <c r="D286" t="s">
        <v>38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27</v>
      </c>
      <c r="K286">
        <v>0</v>
      </c>
      <c r="L286">
        <v>0</v>
      </c>
      <c r="M286">
        <v>713</v>
      </c>
      <c r="N286" t="str" cm="1">
        <f t="array" ref="N286">_xlfn.IFS(M286&lt;=599,"520-599",M286&lt;=649,"600-649",M286&lt;=699,"650-699",M286&lt;=749,"700-749",M286&gt;=750,"750+")</f>
        <v>700-749</v>
      </c>
    </row>
    <row r="287" spans="1:14" x14ac:dyDescent="0.25">
      <c r="A287" t="s">
        <v>547</v>
      </c>
      <c r="B287" t="s">
        <v>548</v>
      </c>
      <c r="C287" s="1">
        <v>45421</v>
      </c>
      <c r="D287" t="s">
        <v>24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27</v>
      </c>
      <c r="K287">
        <v>0</v>
      </c>
      <c r="L287">
        <v>0</v>
      </c>
      <c r="M287">
        <v>729</v>
      </c>
      <c r="N287" t="str" cm="1">
        <f t="array" ref="N287">_xlfn.IFS(M287&lt;=599,"520-599",M287&lt;=649,"600-649",M287&lt;=699,"650-699",M287&lt;=749,"700-749",M287&gt;=750,"750+")</f>
        <v>700-749</v>
      </c>
    </row>
    <row r="288" spans="1:14" x14ac:dyDescent="0.25">
      <c r="A288" t="s">
        <v>549</v>
      </c>
      <c r="B288" t="s">
        <v>550</v>
      </c>
      <c r="C288" s="1">
        <v>45556</v>
      </c>
      <c r="D288" t="s">
        <v>24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15</v>
      </c>
      <c r="K288">
        <v>0</v>
      </c>
      <c r="L288">
        <v>0</v>
      </c>
      <c r="M288">
        <v>738</v>
      </c>
      <c r="N288" t="str" cm="1">
        <f t="array" ref="N288">_xlfn.IFS(M288&lt;=599,"520-599",M288&lt;=649,"600-649",M288&lt;=699,"650-699",M288&lt;=749,"700-749",M288&gt;=750,"750+")</f>
        <v>700-749</v>
      </c>
    </row>
    <row r="289" spans="1:14" x14ac:dyDescent="0.25">
      <c r="A289" t="s">
        <v>551</v>
      </c>
      <c r="B289" t="s">
        <v>552</v>
      </c>
      <c r="C289" s="1">
        <v>45654</v>
      </c>
      <c r="D289" t="s">
        <v>36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18</v>
      </c>
      <c r="K289">
        <v>61</v>
      </c>
      <c r="L289">
        <v>1</v>
      </c>
      <c r="M289">
        <v>671</v>
      </c>
      <c r="N289" t="str" cm="1">
        <f t="array" ref="N289">_xlfn.IFS(M289&lt;=599,"520-599",M289&lt;=649,"600-649",M289&lt;=699,"650-699",M289&lt;=749,"700-749",M289&gt;=750,"750+")</f>
        <v>650-699</v>
      </c>
    </row>
    <row r="290" spans="1:14" x14ac:dyDescent="0.25">
      <c r="A290" t="s">
        <v>553</v>
      </c>
      <c r="B290" t="s">
        <v>552</v>
      </c>
      <c r="C290" s="1">
        <v>45533</v>
      </c>
      <c r="D290" t="s">
        <v>14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62</v>
      </c>
      <c r="K290">
        <v>30</v>
      </c>
      <c r="L290">
        <v>0</v>
      </c>
      <c r="M290">
        <v>671</v>
      </c>
      <c r="N290" t="str" cm="1">
        <f t="array" ref="N290">_xlfn.IFS(M290&lt;=599,"520-599",M290&lt;=649,"600-649",M290&lt;=699,"650-699",M290&lt;=749,"700-749",M290&gt;=750,"750+")</f>
        <v>650-699</v>
      </c>
    </row>
    <row r="291" spans="1:14" x14ac:dyDescent="0.25">
      <c r="A291" t="s">
        <v>554</v>
      </c>
      <c r="B291" t="s">
        <v>555</v>
      </c>
      <c r="C291" s="1">
        <v>45435</v>
      </c>
      <c r="D291" t="s">
        <v>21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27</v>
      </c>
      <c r="K291">
        <v>0</v>
      </c>
      <c r="L291">
        <v>0</v>
      </c>
      <c r="M291">
        <v>795</v>
      </c>
      <c r="N291" t="str" cm="1">
        <f t="array" ref="N291">_xlfn.IFS(M291&lt;=599,"520-599",M291&lt;=649,"600-649",M291&lt;=699,"650-699",M291&lt;=749,"700-749",M291&gt;=750,"750+")</f>
        <v>750+</v>
      </c>
    </row>
    <row r="292" spans="1:14" x14ac:dyDescent="0.25">
      <c r="A292" t="s">
        <v>556</v>
      </c>
      <c r="B292" t="s">
        <v>555</v>
      </c>
      <c r="C292" s="1">
        <v>45442</v>
      </c>
      <c r="D292" t="s">
        <v>30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27</v>
      </c>
      <c r="K292">
        <v>0</v>
      </c>
      <c r="L292">
        <v>0</v>
      </c>
      <c r="M292">
        <v>795</v>
      </c>
      <c r="N292" t="str" cm="1">
        <f t="array" ref="N292">_xlfn.IFS(M292&lt;=599,"520-599",M292&lt;=649,"600-649",M292&lt;=699,"650-699",M292&lt;=749,"700-749",M292&gt;=750,"750+")</f>
        <v>750+</v>
      </c>
    </row>
    <row r="293" spans="1:14" x14ac:dyDescent="0.25">
      <c r="A293" t="s">
        <v>557</v>
      </c>
      <c r="B293" t="s">
        <v>558</v>
      </c>
      <c r="C293" s="1">
        <v>45704</v>
      </c>
      <c r="D293" t="s">
        <v>33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27</v>
      </c>
      <c r="K293">
        <v>0</v>
      </c>
      <c r="L293">
        <v>0</v>
      </c>
      <c r="M293">
        <v>554</v>
      </c>
      <c r="N293" t="str" cm="1">
        <f t="array" ref="N293">_xlfn.IFS(M293&lt;=599,"520-599",M293&lt;=649,"600-649",M293&lt;=699,"650-699",M293&lt;=749,"700-749",M293&gt;=750,"750+")</f>
        <v>520-599</v>
      </c>
    </row>
    <row r="294" spans="1:14" x14ac:dyDescent="0.25">
      <c r="A294" t="s">
        <v>559</v>
      </c>
      <c r="B294" t="s">
        <v>560</v>
      </c>
      <c r="C294" s="1">
        <v>45718</v>
      </c>
      <c r="D294" t="s">
        <v>14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27</v>
      </c>
      <c r="K294">
        <v>0</v>
      </c>
      <c r="L294">
        <v>0</v>
      </c>
      <c r="M294">
        <v>841</v>
      </c>
      <c r="N294" t="str" cm="1">
        <f t="array" ref="N294">_xlfn.IFS(M294&lt;=599,"520-599",M294&lt;=649,"600-649",M294&lt;=699,"650-699",M294&lt;=749,"700-749",M294&gt;=750,"750+")</f>
        <v>750+</v>
      </c>
    </row>
    <row r="295" spans="1:14" x14ac:dyDescent="0.25">
      <c r="A295" t="s">
        <v>561</v>
      </c>
      <c r="B295" t="s">
        <v>562</v>
      </c>
      <c r="C295" s="1">
        <v>45509</v>
      </c>
      <c r="D295" t="s">
        <v>33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27</v>
      </c>
      <c r="K295">
        <v>0</v>
      </c>
      <c r="L295">
        <v>0</v>
      </c>
      <c r="M295">
        <v>791</v>
      </c>
      <c r="N295" t="str" cm="1">
        <f t="array" ref="N295">_xlfn.IFS(M295&lt;=599,"520-599",M295&lt;=649,"600-649",M295&lt;=699,"650-699",M295&lt;=749,"700-749",M295&gt;=750,"750+")</f>
        <v>750+</v>
      </c>
    </row>
    <row r="296" spans="1:14" x14ac:dyDescent="0.25">
      <c r="A296" t="s">
        <v>563</v>
      </c>
      <c r="B296" t="s">
        <v>564</v>
      </c>
      <c r="C296" s="1">
        <v>45588</v>
      </c>
      <c r="D296" t="s">
        <v>36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18</v>
      </c>
      <c r="K296">
        <v>69</v>
      </c>
      <c r="L296">
        <v>1</v>
      </c>
      <c r="M296">
        <v>574</v>
      </c>
      <c r="N296" t="str" cm="1">
        <f t="array" ref="N296">_xlfn.IFS(M296&lt;=599,"520-599",M296&lt;=649,"600-649",M296&lt;=699,"650-699",M296&lt;=749,"700-749",M296&gt;=750,"750+")</f>
        <v>520-599</v>
      </c>
    </row>
    <row r="297" spans="1:14" x14ac:dyDescent="0.25">
      <c r="A297" t="s">
        <v>565</v>
      </c>
      <c r="B297" t="s">
        <v>566</v>
      </c>
      <c r="C297" s="1">
        <v>45438</v>
      </c>
      <c r="D297" t="s">
        <v>24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27</v>
      </c>
      <c r="K297">
        <v>0</v>
      </c>
      <c r="L297">
        <v>0</v>
      </c>
      <c r="M297">
        <v>737</v>
      </c>
      <c r="N297" t="str" cm="1">
        <f t="array" ref="N297">_xlfn.IFS(M297&lt;=599,"520-599",M297&lt;=649,"600-649",M297&lt;=699,"650-699",M297&lt;=749,"700-749",M297&gt;=750,"750+")</f>
        <v>700-749</v>
      </c>
    </row>
    <row r="298" spans="1:14" x14ac:dyDescent="0.25">
      <c r="A298" t="s">
        <v>567</v>
      </c>
      <c r="B298" t="s">
        <v>568</v>
      </c>
      <c r="C298" s="1">
        <v>45649</v>
      </c>
      <c r="D298" t="s">
        <v>24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18</v>
      </c>
      <c r="K298">
        <v>41</v>
      </c>
      <c r="L298">
        <v>1</v>
      </c>
      <c r="M298">
        <v>587</v>
      </c>
      <c r="N298" t="str" cm="1">
        <f t="array" ref="N298">_xlfn.IFS(M298&lt;=599,"520-599",M298&lt;=649,"600-649",M298&lt;=699,"650-699",M298&lt;=749,"700-749",M298&gt;=750,"750+")</f>
        <v>520-599</v>
      </c>
    </row>
    <row r="299" spans="1:14" x14ac:dyDescent="0.25">
      <c r="A299" t="s">
        <v>569</v>
      </c>
      <c r="B299" t="s">
        <v>568</v>
      </c>
      <c r="C299" s="1">
        <v>45678</v>
      </c>
      <c r="D299" t="s">
        <v>17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62</v>
      </c>
      <c r="K299">
        <v>0</v>
      </c>
      <c r="L299">
        <v>0</v>
      </c>
      <c r="M299">
        <v>587</v>
      </c>
      <c r="N299" t="str" cm="1">
        <f t="array" ref="N299">_xlfn.IFS(M299&lt;=599,"520-599",M299&lt;=649,"600-649",M299&lt;=699,"650-699",M299&lt;=749,"700-749",M299&gt;=750,"750+")</f>
        <v>520-599</v>
      </c>
    </row>
    <row r="300" spans="1:14" x14ac:dyDescent="0.25">
      <c r="A300" t="s">
        <v>570</v>
      </c>
      <c r="B300" t="s">
        <v>571</v>
      </c>
      <c r="C300" s="1">
        <v>45625</v>
      </c>
      <c r="D300" t="s">
        <v>21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18</v>
      </c>
      <c r="K300">
        <v>134</v>
      </c>
      <c r="L300">
        <v>1</v>
      </c>
      <c r="M300">
        <v>694</v>
      </c>
      <c r="N300" t="str" cm="1">
        <f t="array" ref="N300">_xlfn.IFS(M300&lt;=599,"520-599",M300&lt;=649,"600-649",M300&lt;=699,"650-699",M300&lt;=749,"700-749",M300&gt;=750,"750+")</f>
        <v>650-699</v>
      </c>
    </row>
    <row r="301" spans="1:14" x14ac:dyDescent="0.25">
      <c r="A301" t="s">
        <v>572</v>
      </c>
      <c r="B301" t="s">
        <v>573</v>
      </c>
      <c r="C301" s="1">
        <v>45382</v>
      </c>
      <c r="D301" t="s">
        <v>17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27</v>
      </c>
      <c r="K301">
        <v>0</v>
      </c>
      <c r="L301">
        <v>0</v>
      </c>
      <c r="M301">
        <v>568</v>
      </c>
      <c r="N301" t="str" cm="1">
        <f t="array" ref="N301">_xlfn.IFS(M301&lt;=599,"520-599",M301&lt;=649,"600-649",M301&lt;=699,"650-699",M301&lt;=749,"700-749",M301&gt;=750,"750+")</f>
        <v>520-599</v>
      </c>
    </row>
    <row r="302" spans="1:14" x14ac:dyDescent="0.25">
      <c r="A302" t="s">
        <v>574</v>
      </c>
      <c r="B302" t="s">
        <v>575</v>
      </c>
      <c r="C302" s="1">
        <v>45346</v>
      </c>
      <c r="D302" t="s">
        <v>24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15</v>
      </c>
      <c r="K302">
        <v>0</v>
      </c>
      <c r="L302">
        <v>0</v>
      </c>
      <c r="M302">
        <v>728</v>
      </c>
      <c r="N302" t="str" cm="1">
        <f t="array" ref="N302">_xlfn.IFS(M302&lt;=599,"520-599",M302&lt;=649,"600-649",M302&lt;=699,"650-699",M302&lt;=749,"700-749",M302&gt;=750,"750+")</f>
        <v>700-749</v>
      </c>
    </row>
    <row r="303" spans="1:14" x14ac:dyDescent="0.25">
      <c r="A303" t="s">
        <v>576</v>
      </c>
      <c r="B303" t="s">
        <v>577</v>
      </c>
      <c r="C303" s="1">
        <v>45573</v>
      </c>
      <c r="D303" t="s">
        <v>41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15</v>
      </c>
      <c r="K303">
        <v>0</v>
      </c>
      <c r="L303">
        <v>0</v>
      </c>
      <c r="M303">
        <v>606</v>
      </c>
      <c r="N303" t="str" cm="1">
        <f t="array" ref="N303">_xlfn.IFS(M303&lt;=599,"520-599",M303&lt;=649,"600-649",M303&lt;=699,"650-699",M303&lt;=749,"700-749",M303&gt;=750,"750+")</f>
        <v>600-649</v>
      </c>
    </row>
    <row r="304" spans="1:14" x14ac:dyDescent="0.25">
      <c r="A304" t="s">
        <v>578</v>
      </c>
      <c r="B304" t="s">
        <v>579</v>
      </c>
      <c r="C304" s="1">
        <v>45338</v>
      </c>
      <c r="D304" t="s">
        <v>14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62</v>
      </c>
      <c r="K304">
        <v>15</v>
      </c>
      <c r="L304">
        <v>0</v>
      </c>
      <c r="M304">
        <v>704</v>
      </c>
      <c r="N304" t="str" cm="1">
        <f t="array" ref="N304">_xlfn.IFS(M304&lt;=599,"520-599",M304&lt;=649,"600-649",M304&lt;=699,"650-699",M304&lt;=749,"700-749",M304&gt;=750,"750+")</f>
        <v>700-749</v>
      </c>
    </row>
    <row r="305" spans="1:14" x14ac:dyDescent="0.25">
      <c r="A305" t="s">
        <v>580</v>
      </c>
      <c r="B305" t="s">
        <v>579</v>
      </c>
      <c r="C305" s="1">
        <v>45385</v>
      </c>
      <c r="D305" t="s">
        <v>33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18</v>
      </c>
      <c r="K305">
        <v>55</v>
      </c>
      <c r="L305">
        <v>1</v>
      </c>
      <c r="M305">
        <v>704</v>
      </c>
      <c r="N305" t="str" cm="1">
        <f t="array" ref="N305">_xlfn.IFS(M305&lt;=599,"520-599",M305&lt;=649,"600-649",M305&lt;=699,"650-699",M305&lt;=749,"700-749",M305&gt;=750,"750+")</f>
        <v>700-749</v>
      </c>
    </row>
    <row r="306" spans="1:14" x14ac:dyDescent="0.25">
      <c r="A306" t="s">
        <v>581</v>
      </c>
      <c r="B306" t="s">
        <v>582</v>
      </c>
      <c r="C306" s="1">
        <v>45709</v>
      </c>
      <c r="D306" t="s">
        <v>24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15</v>
      </c>
      <c r="K306">
        <v>0</v>
      </c>
      <c r="L306">
        <v>0</v>
      </c>
      <c r="M306">
        <v>651</v>
      </c>
      <c r="N306" t="str" cm="1">
        <f t="array" ref="N306">_xlfn.IFS(M306&lt;=599,"520-599",M306&lt;=649,"600-649",M306&lt;=699,"650-699",M306&lt;=749,"700-749",M306&gt;=750,"750+")</f>
        <v>650-699</v>
      </c>
    </row>
    <row r="307" spans="1:14" x14ac:dyDescent="0.25">
      <c r="A307" t="s">
        <v>583</v>
      </c>
      <c r="B307" t="s">
        <v>584</v>
      </c>
      <c r="C307" s="1">
        <v>45623</v>
      </c>
      <c r="D307" t="s">
        <v>41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62</v>
      </c>
      <c r="K307">
        <v>15</v>
      </c>
      <c r="L307">
        <v>0</v>
      </c>
      <c r="M307">
        <v>656</v>
      </c>
      <c r="N307" t="str" cm="1">
        <f t="array" ref="N307">_xlfn.IFS(M307&lt;=599,"520-599",M307&lt;=649,"600-649",M307&lt;=699,"650-699",M307&lt;=749,"700-749",M307&gt;=750,"750+")</f>
        <v>650-699</v>
      </c>
    </row>
    <row r="308" spans="1:14" x14ac:dyDescent="0.25">
      <c r="A308" t="s">
        <v>585</v>
      </c>
      <c r="B308" t="s">
        <v>586</v>
      </c>
      <c r="C308" s="1">
        <v>45808</v>
      </c>
      <c r="D308" t="s">
        <v>38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27</v>
      </c>
      <c r="K308">
        <v>0</v>
      </c>
      <c r="L308">
        <v>0</v>
      </c>
      <c r="M308">
        <v>537</v>
      </c>
      <c r="N308" t="str" cm="1">
        <f t="array" ref="N308">_xlfn.IFS(M308&lt;=599,"520-599",M308&lt;=649,"600-649",M308&lt;=699,"650-699",M308&lt;=749,"700-749",M308&gt;=750,"750+")</f>
        <v>520-599</v>
      </c>
    </row>
    <row r="309" spans="1:14" x14ac:dyDescent="0.25">
      <c r="A309" t="s">
        <v>587</v>
      </c>
      <c r="B309" t="s">
        <v>588</v>
      </c>
      <c r="C309" s="1">
        <v>45311</v>
      </c>
      <c r="D309" t="s">
        <v>17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18</v>
      </c>
      <c r="K309">
        <v>180</v>
      </c>
      <c r="L309">
        <v>1</v>
      </c>
      <c r="M309">
        <v>582</v>
      </c>
      <c r="N309" t="str" cm="1">
        <f t="array" ref="N309">_xlfn.IFS(M309&lt;=599,"520-599",M309&lt;=649,"600-649",M309&lt;=699,"650-699",M309&lt;=749,"700-749",M309&gt;=750,"750+")</f>
        <v>520-599</v>
      </c>
    </row>
    <row r="310" spans="1:14" x14ac:dyDescent="0.25">
      <c r="A310" t="s">
        <v>589</v>
      </c>
      <c r="B310" t="s">
        <v>590</v>
      </c>
      <c r="C310" s="1">
        <v>45708</v>
      </c>
      <c r="D310" t="s">
        <v>38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27</v>
      </c>
      <c r="K310">
        <v>0</v>
      </c>
      <c r="L310">
        <v>0</v>
      </c>
      <c r="M310">
        <v>583</v>
      </c>
      <c r="N310" t="str" cm="1">
        <f t="array" ref="N310">_xlfn.IFS(M310&lt;=599,"520-599",M310&lt;=649,"600-649",M310&lt;=699,"650-699",M310&lt;=749,"700-749",M310&gt;=750,"750+")</f>
        <v>520-599</v>
      </c>
    </row>
    <row r="311" spans="1:14" x14ac:dyDescent="0.25">
      <c r="A311" t="s">
        <v>591</v>
      </c>
      <c r="B311" t="s">
        <v>592</v>
      </c>
      <c r="C311" s="1">
        <v>45725</v>
      </c>
      <c r="D311" t="s">
        <v>33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27</v>
      </c>
      <c r="K311">
        <v>0</v>
      </c>
      <c r="L311">
        <v>0</v>
      </c>
      <c r="M311">
        <v>599</v>
      </c>
      <c r="N311" t="str" cm="1">
        <f t="array" ref="N311">_xlfn.IFS(M311&lt;=599,"520-599",M311&lt;=649,"600-649",M311&lt;=699,"650-699",M311&lt;=749,"700-749",M311&gt;=750,"750+")</f>
        <v>520-599</v>
      </c>
    </row>
    <row r="312" spans="1:14" x14ac:dyDescent="0.25">
      <c r="A312" t="s">
        <v>593</v>
      </c>
      <c r="B312" t="s">
        <v>594</v>
      </c>
      <c r="C312" s="1">
        <v>45785</v>
      </c>
      <c r="D312" t="s">
        <v>47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62</v>
      </c>
      <c r="K312">
        <v>0</v>
      </c>
      <c r="L312">
        <v>0</v>
      </c>
      <c r="M312">
        <v>783</v>
      </c>
      <c r="N312" t="str" cm="1">
        <f t="array" ref="N312">_xlfn.IFS(M312&lt;=599,"520-599",M312&lt;=649,"600-649",M312&lt;=699,"650-699",M312&lt;=749,"700-749",M312&gt;=750,"750+")</f>
        <v>750+</v>
      </c>
    </row>
    <row r="313" spans="1:14" x14ac:dyDescent="0.25">
      <c r="A313" t="s">
        <v>595</v>
      </c>
      <c r="B313" t="s">
        <v>594</v>
      </c>
      <c r="C313" s="1">
        <v>45457</v>
      </c>
      <c r="D313" t="s">
        <v>30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27</v>
      </c>
      <c r="K313">
        <v>0</v>
      </c>
      <c r="L313">
        <v>0</v>
      </c>
      <c r="M313">
        <v>783</v>
      </c>
      <c r="N313" t="str" cm="1">
        <f t="array" ref="N313">_xlfn.IFS(M313&lt;=599,"520-599",M313&lt;=649,"600-649",M313&lt;=699,"650-699",M313&lt;=749,"700-749",M313&gt;=750,"750+")</f>
        <v>750+</v>
      </c>
    </row>
    <row r="314" spans="1:14" x14ac:dyDescent="0.25">
      <c r="A314" t="s">
        <v>596</v>
      </c>
      <c r="B314" t="s">
        <v>597</v>
      </c>
      <c r="C314" s="1">
        <v>45507</v>
      </c>
      <c r="D314" t="s">
        <v>36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62</v>
      </c>
      <c r="K314">
        <v>30</v>
      </c>
      <c r="L314">
        <v>0</v>
      </c>
      <c r="M314">
        <v>693</v>
      </c>
      <c r="N314" t="str" cm="1">
        <f t="array" ref="N314">_xlfn.IFS(M314&lt;=599,"520-599",M314&lt;=649,"600-649",M314&lt;=699,"650-699",M314&lt;=749,"700-749",M314&gt;=750,"750+")</f>
        <v>650-699</v>
      </c>
    </row>
    <row r="315" spans="1:14" x14ac:dyDescent="0.25">
      <c r="A315" t="s">
        <v>598</v>
      </c>
      <c r="B315" t="s">
        <v>599</v>
      </c>
      <c r="C315" s="1">
        <v>45621</v>
      </c>
      <c r="D315" t="s">
        <v>30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27</v>
      </c>
      <c r="K315">
        <v>0</v>
      </c>
      <c r="L315">
        <v>0</v>
      </c>
      <c r="M315">
        <v>632</v>
      </c>
      <c r="N315" t="str" cm="1">
        <f t="array" ref="N315">_xlfn.IFS(M315&lt;=599,"520-599",M315&lt;=649,"600-649",M315&lt;=699,"650-699",M315&lt;=749,"700-749",M315&gt;=750,"750+")</f>
        <v>600-649</v>
      </c>
    </row>
    <row r="316" spans="1:14" x14ac:dyDescent="0.25">
      <c r="A316" t="s">
        <v>600</v>
      </c>
      <c r="B316" t="s">
        <v>601</v>
      </c>
      <c r="C316" s="1">
        <v>45301</v>
      </c>
      <c r="D316" t="s">
        <v>33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15</v>
      </c>
      <c r="K316">
        <v>0</v>
      </c>
      <c r="L316">
        <v>0</v>
      </c>
      <c r="M316">
        <v>696</v>
      </c>
      <c r="N316" t="str" cm="1">
        <f t="array" ref="N316">_xlfn.IFS(M316&lt;=599,"520-599",M316&lt;=649,"600-649",M316&lt;=699,"650-699",M316&lt;=749,"700-749",M316&gt;=750,"750+")</f>
        <v>650-699</v>
      </c>
    </row>
    <row r="317" spans="1:14" x14ac:dyDescent="0.25">
      <c r="A317" t="s">
        <v>602</v>
      </c>
      <c r="B317" t="s">
        <v>603</v>
      </c>
      <c r="C317" s="1">
        <v>45747</v>
      </c>
      <c r="D317" t="s">
        <v>17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15</v>
      </c>
      <c r="K317">
        <v>0</v>
      </c>
      <c r="L317">
        <v>0</v>
      </c>
      <c r="M317">
        <v>801</v>
      </c>
      <c r="N317" t="str" cm="1">
        <f t="array" ref="N317">_xlfn.IFS(M317&lt;=599,"520-599",M317&lt;=649,"600-649",M317&lt;=699,"650-699",M317&lt;=749,"700-749",M317&gt;=750,"750+")</f>
        <v>750+</v>
      </c>
    </row>
    <row r="318" spans="1:14" x14ac:dyDescent="0.25">
      <c r="A318" t="s">
        <v>604</v>
      </c>
      <c r="B318" t="s">
        <v>605</v>
      </c>
      <c r="C318" s="1">
        <v>45671</v>
      </c>
      <c r="D318" t="s">
        <v>30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27</v>
      </c>
      <c r="K318">
        <v>0</v>
      </c>
      <c r="L318">
        <v>0</v>
      </c>
      <c r="M318">
        <v>759</v>
      </c>
      <c r="N318" t="str" cm="1">
        <f t="array" ref="N318">_xlfn.IFS(M318&lt;=599,"520-599",M318&lt;=649,"600-649",M318&lt;=699,"650-699",M318&lt;=749,"700-749",M318&gt;=750,"750+")</f>
        <v>750+</v>
      </c>
    </row>
    <row r="319" spans="1:14" x14ac:dyDescent="0.25">
      <c r="A319" t="s">
        <v>606</v>
      </c>
      <c r="B319" t="s">
        <v>605</v>
      </c>
      <c r="C319" s="1">
        <v>45602</v>
      </c>
      <c r="D319" t="s">
        <v>41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15</v>
      </c>
      <c r="K319">
        <v>0</v>
      </c>
      <c r="L319">
        <v>0</v>
      </c>
      <c r="M319">
        <v>759</v>
      </c>
      <c r="N319" t="str" cm="1">
        <f t="array" ref="N319">_xlfn.IFS(M319&lt;=599,"520-599",M319&lt;=649,"600-649",M319&lt;=699,"650-699",M319&lt;=749,"700-749",M319&gt;=750,"750+")</f>
        <v>750+</v>
      </c>
    </row>
    <row r="320" spans="1:14" x14ac:dyDescent="0.25">
      <c r="A320" t="s">
        <v>607</v>
      </c>
      <c r="B320" t="s">
        <v>608</v>
      </c>
      <c r="C320" s="1">
        <v>45492</v>
      </c>
      <c r="D320" t="s">
        <v>41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27</v>
      </c>
      <c r="K320">
        <v>0</v>
      </c>
      <c r="L320">
        <v>0</v>
      </c>
      <c r="M320">
        <v>841</v>
      </c>
      <c r="N320" t="str" cm="1">
        <f t="array" ref="N320">_xlfn.IFS(M320&lt;=599,"520-599",M320&lt;=649,"600-649",M320&lt;=699,"650-699",M320&lt;=749,"700-749",M320&gt;=750,"750+")</f>
        <v>750+</v>
      </c>
    </row>
    <row r="321" spans="1:14" x14ac:dyDescent="0.25">
      <c r="A321" t="s">
        <v>609</v>
      </c>
      <c r="B321" t="s">
        <v>608</v>
      </c>
      <c r="C321" s="1">
        <v>45471</v>
      </c>
      <c r="D321" t="s">
        <v>24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18</v>
      </c>
      <c r="K321">
        <v>62</v>
      </c>
      <c r="L321">
        <v>1</v>
      </c>
      <c r="M321">
        <v>841</v>
      </c>
      <c r="N321" t="str" cm="1">
        <f t="array" ref="N321">_xlfn.IFS(M321&lt;=599,"520-599",M321&lt;=649,"600-649",M321&lt;=699,"650-699",M321&lt;=749,"700-749",M321&gt;=750,"750+")</f>
        <v>750+</v>
      </c>
    </row>
    <row r="322" spans="1:14" x14ac:dyDescent="0.25">
      <c r="A322" t="s">
        <v>610</v>
      </c>
      <c r="B322" t="s">
        <v>611</v>
      </c>
      <c r="C322" s="1">
        <v>45572</v>
      </c>
      <c r="D322" t="s">
        <v>33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15</v>
      </c>
      <c r="K322">
        <v>0</v>
      </c>
      <c r="L322">
        <v>0</v>
      </c>
      <c r="M322">
        <v>819</v>
      </c>
      <c r="N322" t="str" cm="1">
        <f t="array" ref="N322">_xlfn.IFS(M322&lt;=599,"520-599",M322&lt;=649,"600-649",M322&lt;=699,"650-699",M322&lt;=749,"700-749",M322&gt;=750,"750+")</f>
        <v>750+</v>
      </c>
    </row>
    <row r="323" spans="1:14" x14ac:dyDescent="0.25">
      <c r="A323" t="s">
        <v>612</v>
      </c>
      <c r="B323" t="s">
        <v>613</v>
      </c>
      <c r="C323" s="1">
        <v>45729</v>
      </c>
      <c r="D323" t="s">
        <v>21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62</v>
      </c>
      <c r="K323">
        <v>15</v>
      </c>
      <c r="L323">
        <v>0</v>
      </c>
      <c r="M323">
        <v>734</v>
      </c>
      <c r="N323" t="str" cm="1">
        <f t="array" ref="N323">_xlfn.IFS(M323&lt;=599,"520-599",M323&lt;=649,"600-649",M323&lt;=699,"650-699",M323&lt;=749,"700-749",M323&gt;=750,"750+")</f>
        <v>700-749</v>
      </c>
    </row>
    <row r="324" spans="1:14" x14ac:dyDescent="0.25">
      <c r="A324" t="s">
        <v>614</v>
      </c>
      <c r="B324" t="s">
        <v>615</v>
      </c>
      <c r="C324" s="1">
        <v>45769</v>
      </c>
      <c r="D324" t="s">
        <v>17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27</v>
      </c>
      <c r="K324">
        <v>0</v>
      </c>
      <c r="L324">
        <v>0</v>
      </c>
      <c r="M324">
        <v>829</v>
      </c>
      <c r="N324" t="str" cm="1">
        <f t="array" ref="N324">_xlfn.IFS(M324&lt;=599,"520-599",M324&lt;=649,"600-649",M324&lt;=699,"650-699",M324&lt;=749,"700-749",M324&gt;=750,"750+")</f>
        <v>750+</v>
      </c>
    </row>
    <row r="325" spans="1:14" x14ac:dyDescent="0.25">
      <c r="A325" t="s">
        <v>616</v>
      </c>
      <c r="B325" t="s">
        <v>615</v>
      </c>
      <c r="C325" s="1">
        <v>45297</v>
      </c>
      <c r="D325" t="s">
        <v>38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15</v>
      </c>
      <c r="K325">
        <v>0</v>
      </c>
      <c r="L325">
        <v>0</v>
      </c>
      <c r="M325">
        <v>829</v>
      </c>
      <c r="N325" t="str" cm="1">
        <f t="array" ref="N325">_xlfn.IFS(M325&lt;=599,"520-599",M325&lt;=649,"600-649",M325&lt;=699,"650-699",M325&lt;=749,"700-749",M325&gt;=750,"750+")</f>
        <v>750+</v>
      </c>
    </row>
    <row r="326" spans="1:14" x14ac:dyDescent="0.25">
      <c r="A326" t="s">
        <v>617</v>
      </c>
      <c r="B326" t="s">
        <v>618</v>
      </c>
      <c r="C326" s="1">
        <v>45493</v>
      </c>
      <c r="D326" t="s">
        <v>38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18</v>
      </c>
      <c r="K326">
        <v>109</v>
      </c>
      <c r="L326">
        <v>1</v>
      </c>
      <c r="M326">
        <v>583</v>
      </c>
      <c r="N326" t="str" cm="1">
        <f t="array" ref="N326">_xlfn.IFS(M326&lt;=599,"520-599",M326&lt;=649,"600-649",M326&lt;=699,"650-699",M326&lt;=749,"700-749",M326&gt;=750,"750+")</f>
        <v>520-599</v>
      </c>
    </row>
    <row r="327" spans="1:14" x14ac:dyDescent="0.25">
      <c r="A327" t="s">
        <v>619</v>
      </c>
      <c r="B327" t="s">
        <v>618</v>
      </c>
      <c r="C327" s="1">
        <v>45316</v>
      </c>
      <c r="D327" t="s">
        <v>36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27</v>
      </c>
      <c r="K327">
        <v>0</v>
      </c>
      <c r="L327">
        <v>0</v>
      </c>
      <c r="M327">
        <v>583</v>
      </c>
      <c r="N327" t="str" cm="1">
        <f t="array" ref="N327">_xlfn.IFS(M327&lt;=599,"520-599",M327&lt;=649,"600-649",M327&lt;=699,"650-699",M327&lt;=749,"700-749",M327&gt;=750,"750+")</f>
        <v>520-599</v>
      </c>
    </row>
    <row r="328" spans="1:14" x14ac:dyDescent="0.25">
      <c r="A328" t="s">
        <v>620</v>
      </c>
      <c r="B328" t="s">
        <v>621</v>
      </c>
      <c r="C328" s="1">
        <v>45824</v>
      </c>
      <c r="D328" t="s">
        <v>36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62</v>
      </c>
      <c r="K328">
        <v>15</v>
      </c>
      <c r="L328">
        <v>0</v>
      </c>
      <c r="M328">
        <v>801</v>
      </c>
      <c r="N328" t="str" cm="1">
        <f t="array" ref="N328">_xlfn.IFS(M328&lt;=599,"520-599",M328&lt;=649,"600-649",M328&lt;=699,"650-699",M328&lt;=749,"700-749",M328&gt;=750,"750+")</f>
        <v>750+</v>
      </c>
    </row>
    <row r="329" spans="1:14" x14ac:dyDescent="0.25">
      <c r="A329" t="s">
        <v>622</v>
      </c>
      <c r="B329" t="s">
        <v>623</v>
      </c>
      <c r="C329" s="1">
        <v>45326</v>
      </c>
      <c r="D329" t="s">
        <v>36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18</v>
      </c>
      <c r="K329">
        <v>46</v>
      </c>
      <c r="L329">
        <v>1</v>
      </c>
      <c r="M329">
        <v>541</v>
      </c>
      <c r="N329" t="str" cm="1">
        <f t="array" ref="N329">_xlfn.IFS(M329&lt;=599,"520-599",M329&lt;=649,"600-649",M329&lt;=699,"650-699",M329&lt;=749,"700-749",M329&gt;=750,"750+")</f>
        <v>520-599</v>
      </c>
    </row>
    <row r="330" spans="1:14" x14ac:dyDescent="0.25">
      <c r="A330" t="s">
        <v>624</v>
      </c>
      <c r="B330" t="s">
        <v>625</v>
      </c>
      <c r="C330" s="1">
        <v>45734</v>
      </c>
      <c r="D330" t="s">
        <v>41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18</v>
      </c>
      <c r="K330">
        <v>44</v>
      </c>
      <c r="L330">
        <v>1</v>
      </c>
      <c r="M330">
        <v>743</v>
      </c>
      <c r="N330" t="str" cm="1">
        <f t="array" ref="N330">_xlfn.IFS(M330&lt;=599,"520-599",M330&lt;=649,"600-649",M330&lt;=699,"650-699",M330&lt;=749,"700-749",M330&gt;=750,"750+")</f>
        <v>700-749</v>
      </c>
    </row>
    <row r="331" spans="1:14" x14ac:dyDescent="0.25">
      <c r="A331" t="s">
        <v>626</v>
      </c>
      <c r="B331" t="s">
        <v>627</v>
      </c>
      <c r="C331" s="1">
        <v>45530</v>
      </c>
      <c r="D331" t="s">
        <v>24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62</v>
      </c>
      <c r="K331">
        <v>0</v>
      </c>
      <c r="L331">
        <v>0</v>
      </c>
      <c r="M331">
        <v>636</v>
      </c>
      <c r="N331" t="str" cm="1">
        <f t="array" ref="N331">_xlfn.IFS(M331&lt;=599,"520-599",M331&lt;=649,"600-649",M331&lt;=699,"650-699",M331&lt;=749,"700-749",M331&gt;=750,"750+")</f>
        <v>600-649</v>
      </c>
    </row>
    <row r="332" spans="1:14" x14ac:dyDescent="0.25">
      <c r="A332" t="s">
        <v>628</v>
      </c>
      <c r="B332" t="s">
        <v>629</v>
      </c>
      <c r="C332" s="1">
        <v>45318</v>
      </c>
      <c r="D332" t="s">
        <v>14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27</v>
      </c>
      <c r="K332">
        <v>0</v>
      </c>
      <c r="L332">
        <v>0</v>
      </c>
      <c r="M332">
        <v>582</v>
      </c>
      <c r="N332" t="str" cm="1">
        <f t="array" ref="N332">_xlfn.IFS(M332&lt;=599,"520-599",M332&lt;=649,"600-649",M332&lt;=699,"650-699",M332&lt;=749,"700-749",M332&gt;=750,"750+")</f>
        <v>520-599</v>
      </c>
    </row>
    <row r="333" spans="1:14" x14ac:dyDescent="0.25">
      <c r="A333" t="s">
        <v>630</v>
      </c>
      <c r="B333" t="s">
        <v>631</v>
      </c>
      <c r="C333" s="1">
        <v>45421</v>
      </c>
      <c r="D333" t="s">
        <v>47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27</v>
      </c>
      <c r="K333">
        <v>0</v>
      </c>
      <c r="L333">
        <v>0</v>
      </c>
      <c r="M333">
        <v>850</v>
      </c>
      <c r="N333" t="str" cm="1">
        <f t="array" ref="N333">_xlfn.IFS(M333&lt;=599,"520-599",M333&lt;=649,"600-649",M333&lt;=699,"650-699",M333&lt;=749,"700-749",M333&gt;=750,"750+")</f>
        <v>750+</v>
      </c>
    </row>
    <row r="334" spans="1:14" x14ac:dyDescent="0.25">
      <c r="A334" t="s">
        <v>632</v>
      </c>
      <c r="B334" t="s">
        <v>633</v>
      </c>
      <c r="C334" s="1">
        <v>45611</v>
      </c>
      <c r="D334" t="s">
        <v>14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62</v>
      </c>
      <c r="K334">
        <v>0</v>
      </c>
      <c r="L334">
        <v>0</v>
      </c>
      <c r="M334">
        <v>692</v>
      </c>
      <c r="N334" t="str" cm="1">
        <f t="array" ref="N334">_xlfn.IFS(M334&lt;=599,"520-599",M334&lt;=649,"600-649",M334&lt;=699,"650-699",M334&lt;=749,"700-749",M334&gt;=750,"750+")</f>
        <v>650-699</v>
      </c>
    </row>
    <row r="335" spans="1:14" x14ac:dyDescent="0.25">
      <c r="A335" t="s">
        <v>634</v>
      </c>
      <c r="B335" t="s">
        <v>635</v>
      </c>
      <c r="C335" s="1">
        <v>45643</v>
      </c>
      <c r="D335" t="s">
        <v>47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62</v>
      </c>
      <c r="K335">
        <v>30</v>
      </c>
      <c r="L335">
        <v>0</v>
      </c>
      <c r="M335">
        <v>840</v>
      </c>
      <c r="N335" t="str" cm="1">
        <f t="array" ref="N335">_xlfn.IFS(M335&lt;=599,"520-599",M335&lt;=649,"600-649",M335&lt;=699,"650-699",M335&lt;=749,"700-749",M335&gt;=750,"750+")</f>
        <v>750+</v>
      </c>
    </row>
    <row r="336" spans="1:14" x14ac:dyDescent="0.25">
      <c r="A336" t="s">
        <v>636</v>
      </c>
      <c r="B336" t="s">
        <v>637</v>
      </c>
      <c r="C336" s="1">
        <v>45724</v>
      </c>
      <c r="D336" t="s">
        <v>33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62</v>
      </c>
      <c r="K336">
        <v>30</v>
      </c>
      <c r="L336">
        <v>0</v>
      </c>
      <c r="M336">
        <v>615</v>
      </c>
      <c r="N336" t="str" cm="1">
        <f t="array" ref="N336">_xlfn.IFS(M336&lt;=599,"520-599",M336&lt;=649,"600-649",M336&lt;=699,"650-699",M336&lt;=749,"700-749",M336&gt;=750,"750+")</f>
        <v>600-649</v>
      </c>
    </row>
    <row r="337" spans="1:14" x14ac:dyDescent="0.25">
      <c r="A337" t="s">
        <v>638</v>
      </c>
      <c r="B337" t="s">
        <v>639</v>
      </c>
      <c r="C337" s="1">
        <v>45631</v>
      </c>
      <c r="D337" t="s">
        <v>36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27</v>
      </c>
      <c r="K337">
        <v>0</v>
      </c>
      <c r="L337">
        <v>0</v>
      </c>
      <c r="M337">
        <v>629</v>
      </c>
      <c r="N337" t="str" cm="1">
        <f t="array" ref="N337">_xlfn.IFS(M337&lt;=599,"520-599",M337&lt;=649,"600-649",M337&lt;=699,"650-699",M337&lt;=749,"700-749",M337&gt;=750,"750+")</f>
        <v>600-649</v>
      </c>
    </row>
    <row r="338" spans="1:14" x14ac:dyDescent="0.25">
      <c r="A338" t="s">
        <v>640</v>
      </c>
      <c r="B338" t="s">
        <v>641</v>
      </c>
      <c r="C338" s="1">
        <v>45295</v>
      </c>
      <c r="D338" t="s">
        <v>30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27</v>
      </c>
      <c r="K338">
        <v>0</v>
      </c>
      <c r="L338">
        <v>0</v>
      </c>
      <c r="M338">
        <v>577</v>
      </c>
      <c r="N338" t="str" cm="1">
        <f t="array" ref="N338">_xlfn.IFS(M338&lt;=599,"520-599",M338&lt;=649,"600-649",M338&lt;=699,"650-699",M338&lt;=749,"700-749",M338&gt;=750,"750+")</f>
        <v>520-599</v>
      </c>
    </row>
    <row r="339" spans="1:14" x14ac:dyDescent="0.25">
      <c r="A339" t="s">
        <v>642</v>
      </c>
      <c r="B339" t="s">
        <v>643</v>
      </c>
      <c r="C339" s="1">
        <v>45676</v>
      </c>
      <c r="D339" t="s">
        <v>14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15</v>
      </c>
      <c r="K339">
        <v>0</v>
      </c>
      <c r="L339">
        <v>0</v>
      </c>
      <c r="M339">
        <v>783</v>
      </c>
      <c r="N339" t="str" cm="1">
        <f t="array" ref="N339">_xlfn.IFS(M339&lt;=599,"520-599",M339&lt;=649,"600-649",M339&lt;=699,"650-699",M339&lt;=749,"700-749",M339&gt;=750,"750+")</f>
        <v>750+</v>
      </c>
    </row>
    <row r="340" spans="1:14" x14ac:dyDescent="0.25">
      <c r="A340" t="s">
        <v>644</v>
      </c>
      <c r="B340" t="s">
        <v>645</v>
      </c>
      <c r="C340" s="1">
        <v>45491</v>
      </c>
      <c r="D340" t="s">
        <v>36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62</v>
      </c>
      <c r="K340">
        <v>15</v>
      </c>
      <c r="L340">
        <v>0</v>
      </c>
      <c r="M340">
        <v>765</v>
      </c>
      <c r="N340" t="str" cm="1">
        <f t="array" ref="N340">_xlfn.IFS(M340&lt;=599,"520-599",M340&lt;=649,"600-649",M340&lt;=699,"650-699",M340&lt;=749,"700-749",M340&gt;=750,"750+")</f>
        <v>750+</v>
      </c>
    </row>
    <row r="341" spans="1:14" x14ac:dyDescent="0.25">
      <c r="A341" t="s">
        <v>646</v>
      </c>
      <c r="B341" t="s">
        <v>647</v>
      </c>
      <c r="C341" s="1">
        <v>45639</v>
      </c>
      <c r="D341" t="s">
        <v>38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27</v>
      </c>
      <c r="K341">
        <v>0</v>
      </c>
      <c r="L341">
        <v>0</v>
      </c>
      <c r="M341">
        <v>703</v>
      </c>
      <c r="N341" t="str" cm="1">
        <f t="array" ref="N341">_xlfn.IFS(M341&lt;=599,"520-599",M341&lt;=649,"600-649",M341&lt;=699,"650-699",M341&lt;=749,"700-749",M341&gt;=750,"750+")</f>
        <v>700-749</v>
      </c>
    </row>
    <row r="342" spans="1:14" x14ac:dyDescent="0.25">
      <c r="A342" t="s">
        <v>648</v>
      </c>
      <c r="B342" t="s">
        <v>647</v>
      </c>
      <c r="C342" s="1">
        <v>45432</v>
      </c>
      <c r="D342" t="s">
        <v>33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27</v>
      </c>
      <c r="K342">
        <v>0</v>
      </c>
      <c r="L342">
        <v>0</v>
      </c>
      <c r="M342">
        <v>703</v>
      </c>
      <c r="N342" t="str" cm="1">
        <f t="array" ref="N342">_xlfn.IFS(M342&lt;=599,"520-599",M342&lt;=649,"600-649",M342&lt;=699,"650-699",M342&lt;=749,"700-749",M342&gt;=750,"750+")</f>
        <v>700-749</v>
      </c>
    </row>
    <row r="343" spans="1:14" x14ac:dyDescent="0.25">
      <c r="A343" t="s">
        <v>649</v>
      </c>
      <c r="B343" t="s">
        <v>650</v>
      </c>
      <c r="C343" s="1">
        <v>45831</v>
      </c>
      <c r="D343" t="s">
        <v>24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62</v>
      </c>
      <c r="K343">
        <v>30</v>
      </c>
      <c r="L343">
        <v>0</v>
      </c>
      <c r="M343">
        <v>754</v>
      </c>
      <c r="N343" t="str" cm="1">
        <f t="array" ref="N343">_xlfn.IFS(M343&lt;=599,"520-599",M343&lt;=649,"600-649",M343&lt;=699,"650-699",M343&lt;=749,"700-749",M343&gt;=750,"750+")</f>
        <v>750+</v>
      </c>
    </row>
    <row r="344" spans="1:14" x14ac:dyDescent="0.25">
      <c r="A344" t="s">
        <v>651</v>
      </c>
      <c r="B344" t="s">
        <v>650</v>
      </c>
      <c r="C344" s="1">
        <v>45488</v>
      </c>
      <c r="D344" t="s">
        <v>36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27</v>
      </c>
      <c r="K344">
        <v>0</v>
      </c>
      <c r="L344">
        <v>0</v>
      </c>
      <c r="M344">
        <v>754</v>
      </c>
      <c r="N344" t="str" cm="1">
        <f t="array" ref="N344">_xlfn.IFS(M344&lt;=599,"520-599",M344&lt;=649,"600-649",M344&lt;=699,"650-699",M344&lt;=749,"700-749",M344&gt;=750,"750+")</f>
        <v>750+</v>
      </c>
    </row>
    <row r="345" spans="1:14" x14ac:dyDescent="0.25">
      <c r="A345" t="s">
        <v>652</v>
      </c>
      <c r="B345" t="s">
        <v>653</v>
      </c>
      <c r="C345" s="1">
        <v>45593</v>
      </c>
      <c r="D345" t="s">
        <v>38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27</v>
      </c>
      <c r="K345">
        <v>0</v>
      </c>
      <c r="L345">
        <v>0</v>
      </c>
      <c r="M345">
        <v>621</v>
      </c>
      <c r="N345" t="str" cm="1">
        <f t="array" ref="N345">_xlfn.IFS(M345&lt;=599,"520-599",M345&lt;=649,"600-649",M345&lt;=699,"650-699",M345&lt;=749,"700-749",M345&gt;=750,"750+")</f>
        <v>600-649</v>
      </c>
    </row>
    <row r="346" spans="1:14" x14ac:dyDescent="0.25">
      <c r="A346" t="s">
        <v>654</v>
      </c>
      <c r="B346" t="s">
        <v>655</v>
      </c>
      <c r="C346" s="1">
        <v>45375</v>
      </c>
      <c r="D346" t="s">
        <v>33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62</v>
      </c>
      <c r="K346">
        <v>0</v>
      </c>
      <c r="L346">
        <v>0</v>
      </c>
      <c r="M346">
        <v>745</v>
      </c>
      <c r="N346" t="str" cm="1">
        <f t="array" ref="N346">_xlfn.IFS(M346&lt;=599,"520-599",M346&lt;=649,"600-649",M346&lt;=699,"650-699",M346&lt;=749,"700-749",M346&gt;=750,"750+")</f>
        <v>700-749</v>
      </c>
    </row>
    <row r="347" spans="1:14" x14ac:dyDescent="0.25">
      <c r="A347" t="s">
        <v>656</v>
      </c>
      <c r="B347" t="s">
        <v>657</v>
      </c>
      <c r="C347" s="1">
        <v>45823</v>
      </c>
      <c r="D347" t="s">
        <v>17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27</v>
      </c>
      <c r="K347">
        <v>0</v>
      </c>
      <c r="L347">
        <v>0</v>
      </c>
      <c r="M347">
        <v>736</v>
      </c>
      <c r="N347" t="str" cm="1">
        <f t="array" ref="N347">_xlfn.IFS(M347&lt;=599,"520-599",M347&lt;=649,"600-649",M347&lt;=699,"650-699",M347&lt;=749,"700-749",M347&gt;=750,"750+")</f>
        <v>700-749</v>
      </c>
    </row>
    <row r="348" spans="1:14" x14ac:dyDescent="0.25">
      <c r="A348" t="s">
        <v>658</v>
      </c>
      <c r="B348" t="s">
        <v>659</v>
      </c>
      <c r="C348" s="1">
        <v>45504</v>
      </c>
      <c r="D348" t="s">
        <v>14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15</v>
      </c>
      <c r="K348">
        <v>0</v>
      </c>
      <c r="L348">
        <v>0</v>
      </c>
      <c r="M348">
        <v>736</v>
      </c>
      <c r="N348" t="str" cm="1">
        <f t="array" ref="N348">_xlfn.IFS(M348&lt;=599,"520-599",M348&lt;=649,"600-649",M348&lt;=699,"650-699",M348&lt;=749,"700-749",M348&gt;=750,"750+")</f>
        <v>700-749</v>
      </c>
    </row>
    <row r="349" spans="1:14" x14ac:dyDescent="0.25">
      <c r="A349" t="s">
        <v>660</v>
      </c>
      <c r="B349" t="s">
        <v>661</v>
      </c>
      <c r="C349" s="1">
        <v>45675</v>
      </c>
      <c r="D349" t="s">
        <v>24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18</v>
      </c>
      <c r="K349">
        <v>51</v>
      </c>
      <c r="L349">
        <v>1</v>
      </c>
      <c r="M349">
        <v>582</v>
      </c>
      <c r="N349" t="str" cm="1">
        <f t="array" ref="N349">_xlfn.IFS(M349&lt;=599,"520-599",M349&lt;=649,"600-649",M349&lt;=699,"650-699",M349&lt;=749,"700-749",M349&gt;=750,"750+")</f>
        <v>520-599</v>
      </c>
    </row>
    <row r="350" spans="1:14" x14ac:dyDescent="0.25">
      <c r="A350" t="s">
        <v>662</v>
      </c>
      <c r="B350" t="s">
        <v>663</v>
      </c>
      <c r="C350" s="1">
        <v>45768</v>
      </c>
      <c r="D350" t="s">
        <v>36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27</v>
      </c>
      <c r="K350">
        <v>0</v>
      </c>
      <c r="L350">
        <v>0</v>
      </c>
      <c r="M350">
        <v>783</v>
      </c>
      <c r="N350" t="str" cm="1">
        <f t="array" ref="N350">_xlfn.IFS(M350&lt;=599,"520-599",M350&lt;=649,"600-649",M350&lt;=699,"650-699",M350&lt;=749,"700-749",M350&gt;=750,"750+")</f>
        <v>750+</v>
      </c>
    </row>
    <row r="351" spans="1:14" x14ac:dyDescent="0.25">
      <c r="A351" t="s">
        <v>664</v>
      </c>
      <c r="B351" t="s">
        <v>665</v>
      </c>
      <c r="C351" s="1">
        <v>45744</v>
      </c>
      <c r="D351" t="s">
        <v>30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18</v>
      </c>
      <c r="K351">
        <v>49</v>
      </c>
      <c r="L351">
        <v>1</v>
      </c>
      <c r="M351">
        <v>574</v>
      </c>
      <c r="N351" t="str" cm="1">
        <f t="array" ref="N351">_xlfn.IFS(M351&lt;=599,"520-599",M351&lt;=649,"600-649",M351&lt;=699,"650-699",M351&lt;=749,"700-749",M351&gt;=750,"750+")</f>
        <v>520-599</v>
      </c>
    </row>
    <row r="352" spans="1:14" x14ac:dyDescent="0.25">
      <c r="A352" t="s">
        <v>666</v>
      </c>
      <c r="B352" t="s">
        <v>667</v>
      </c>
      <c r="C352" s="1">
        <v>45575</v>
      </c>
      <c r="D352" t="s">
        <v>36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27</v>
      </c>
      <c r="K352">
        <v>0</v>
      </c>
      <c r="L352">
        <v>0</v>
      </c>
      <c r="M352">
        <v>648</v>
      </c>
      <c r="N352" t="str" cm="1">
        <f t="array" ref="N352">_xlfn.IFS(M352&lt;=599,"520-599",M352&lt;=649,"600-649",M352&lt;=699,"650-699",M352&lt;=749,"700-749",M352&gt;=750,"750+")</f>
        <v>600-649</v>
      </c>
    </row>
    <row r="353" spans="1:14" x14ac:dyDescent="0.25">
      <c r="A353" t="s">
        <v>668</v>
      </c>
      <c r="B353" t="s">
        <v>669</v>
      </c>
      <c r="C353" s="1">
        <v>45573</v>
      </c>
      <c r="D353" t="s">
        <v>38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18</v>
      </c>
      <c r="K353">
        <v>65</v>
      </c>
      <c r="L353">
        <v>1</v>
      </c>
      <c r="M353">
        <v>609</v>
      </c>
      <c r="N353" t="str" cm="1">
        <f t="array" ref="N353">_xlfn.IFS(M353&lt;=599,"520-599",M353&lt;=649,"600-649",M353&lt;=699,"650-699",M353&lt;=749,"700-749",M353&gt;=750,"750+")</f>
        <v>600-649</v>
      </c>
    </row>
    <row r="354" spans="1:14" x14ac:dyDescent="0.25">
      <c r="A354" t="s">
        <v>670</v>
      </c>
      <c r="B354" t="s">
        <v>671</v>
      </c>
      <c r="C354" s="1">
        <v>45646</v>
      </c>
      <c r="D354" t="s">
        <v>21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27</v>
      </c>
      <c r="K354">
        <v>0</v>
      </c>
      <c r="L354">
        <v>0</v>
      </c>
      <c r="M354">
        <v>774</v>
      </c>
      <c r="N354" t="str" cm="1">
        <f t="array" ref="N354">_xlfn.IFS(M354&lt;=599,"520-599",M354&lt;=649,"600-649",M354&lt;=699,"650-699",M354&lt;=749,"700-749",M354&gt;=750,"750+")</f>
        <v>750+</v>
      </c>
    </row>
    <row r="355" spans="1:14" x14ac:dyDescent="0.25">
      <c r="A355" t="s">
        <v>672</v>
      </c>
      <c r="B355" t="s">
        <v>671</v>
      </c>
      <c r="C355" s="1">
        <v>45444</v>
      </c>
      <c r="D355" t="s">
        <v>47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15</v>
      </c>
      <c r="K355">
        <v>0</v>
      </c>
      <c r="L355">
        <v>0</v>
      </c>
      <c r="M355">
        <v>774</v>
      </c>
      <c r="N355" t="str" cm="1">
        <f t="array" ref="N355">_xlfn.IFS(M355&lt;=599,"520-599",M355&lt;=649,"600-649",M355&lt;=699,"650-699",M355&lt;=749,"700-749",M355&gt;=750,"750+")</f>
        <v>750+</v>
      </c>
    </row>
    <row r="356" spans="1:14" x14ac:dyDescent="0.25">
      <c r="A356" t="s">
        <v>673</v>
      </c>
      <c r="B356" t="s">
        <v>674</v>
      </c>
      <c r="C356" s="1">
        <v>45764</v>
      </c>
      <c r="D356" t="s">
        <v>38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15</v>
      </c>
      <c r="K356">
        <v>0</v>
      </c>
      <c r="L356">
        <v>0</v>
      </c>
      <c r="M356">
        <v>761</v>
      </c>
      <c r="N356" t="str" cm="1">
        <f t="array" ref="N356">_xlfn.IFS(M356&lt;=599,"520-599",M356&lt;=649,"600-649",M356&lt;=699,"650-699",M356&lt;=749,"700-749",M356&gt;=750,"750+")</f>
        <v>750+</v>
      </c>
    </row>
    <row r="357" spans="1:14" x14ac:dyDescent="0.25">
      <c r="A357" t="s">
        <v>675</v>
      </c>
      <c r="B357" t="s">
        <v>676</v>
      </c>
      <c r="C357" s="1">
        <v>45434</v>
      </c>
      <c r="D357" t="s">
        <v>17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15</v>
      </c>
      <c r="K357">
        <v>0</v>
      </c>
      <c r="L357">
        <v>0</v>
      </c>
      <c r="M357">
        <v>720</v>
      </c>
      <c r="N357" t="str" cm="1">
        <f t="array" ref="N357">_xlfn.IFS(M357&lt;=599,"520-599",M357&lt;=649,"600-649",M357&lt;=699,"650-699",M357&lt;=749,"700-749",M357&gt;=750,"750+")</f>
        <v>700-749</v>
      </c>
    </row>
    <row r="358" spans="1:14" x14ac:dyDescent="0.25">
      <c r="A358" t="s">
        <v>677</v>
      </c>
      <c r="B358" t="s">
        <v>678</v>
      </c>
      <c r="C358" s="1">
        <v>45598</v>
      </c>
      <c r="D358" t="s">
        <v>30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15</v>
      </c>
      <c r="K358">
        <v>0</v>
      </c>
      <c r="L358">
        <v>0</v>
      </c>
      <c r="M358">
        <v>644</v>
      </c>
      <c r="N358" t="str" cm="1">
        <f t="array" ref="N358">_xlfn.IFS(M358&lt;=599,"520-599",M358&lt;=649,"600-649",M358&lt;=699,"650-699",M358&lt;=749,"700-749",M358&gt;=750,"750+")</f>
        <v>600-649</v>
      </c>
    </row>
    <row r="359" spans="1:14" x14ac:dyDescent="0.25">
      <c r="A359" t="s">
        <v>679</v>
      </c>
      <c r="B359" t="s">
        <v>680</v>
      </c>
      <c r="C359" s="1">
        <v>45692</v>
      </c>
      <c r="D359" t="s">
        <v>33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27</v>
      </c>
      <c r="K359">
        <v>0</v>
      </c>
      <c r="L359">
        <v>0</v>
      </c>
      <c r="M359">
        <v>831</v>
      </c>
      <c r="N359" t="str" cm="1">
        <f t="array" ref="N359">_xlfn.IFS(M359&lt;=599,"520-599",M359&lt;=649,"600-649",M359&lt;=699,"650-699",M359&lt;=749,"700-749",M359&gt;=750,"750+")</f>
        <v>750+</v>
      </c>
    </row>
    <row r="360" spans="1:14" x14ac:dyDescent="0.25">
      <c r="A360" t="s">
        <v>681</v>
      </c>
      <c r="B360" t="s">
        <v>680</v>
      </c>
      <c r="C360" s="1">
        <v>45754</v>
      </c>
      <c r="D360" t="s">
        <v>21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27</v>
      </c>
      <c r="K360">
        <v>0</v>
      </c>
      <c r="L360">
        <v>0</v>
      </c>
      <c r="M360">
        <v>831</v>
      </c>
      <c r="N360" t="str" cm="1">
        <f t="array" ref="N360">_xlfn.IFS(M360&lt;=599,"520-599",M360&lt;=649,"600-649",M360&lt;=699,"650-699",M360&lt;=749,"700-749",M360&gt;=750,"750+")</f>
        <v>750+</v>
      </c>
    </row>
    <row r="361" spans="1:14" x14ac:dyDescent="0.25">
      <c r="A361" t="s">
        <v>682</v>
      </c>
      <c r="B361" t="s">
        <v>683</v>
      </c>
      <c r="C361" s="1">
        <v>45495</v>
      </c>
      <c r="D361" t="s">
        <v>33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18</v>
      </c>
      <c r="K361">
        <v>128</v>
      </c>
      <c r="L361">
        <v>1</v>
      </c>
      <c r="M361">
        <v>846</v>
      </c>
      <c r="N361" t="str" cm="1">
        <f t="array" ref="N361">_xlfn.IFS(M361&lt;=599,"520-599",M361&lt;=649,"600-649",M361&lt;=699,"650-699",M361&lt;=749,"700-749",M361&gt;=750,"750+")</f>
        <v>750+</v>
      </c>
    </row>
    <row r="362" spans="1:14" x14ac:dyDescent="0.25">
      <c r="A362" t="s">
        <v>684</v>
      </c>
      <c r="B362" t="s">
        <v>685</v>
      </c>
      <c r="C362" s="1">
        <v>45822</v>
      </c>
      <c r="D362" t="s">
        <v>38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18</v>
      </c>
      <c r="K362">
        <v>113</v>
      </c>
      <c r="L362">
        <v>1</v>
      </c>
      <c r="M362">
        <v>725</v>
      </c>
      <c r="N362" t="str" cm="1">
        <f t="array" ref="N362">_xlfn.IFS(M362&lt;=599,"520-599",M362&lt;=649,"600-649",M362&lt;=699,"650-699",M362&lt;=749,"700-749",M362&gt;=750,"750+")</f>
        <v>700-749</v>
      </c>
    </row>
    <row r="363" spans="1:14" x14ac:dyDescent="0.25">
      <c r="A363" t="s">
        <v>686</v>
      </c>
      <c r="B363" t="s">
        <v>687</v>
      </c>
      <c r="C363" s="1">
        <v>45781</v>
      </c>
      <c r="D363" t="s">
        <v>17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15</v>
      </c>
      <c r="K363">
        <v>0</v>
      </c>
      <c r="L363">
        <v>0</v>
      </c>
      <c r="M363">
        <v>576</v>
      </c>
      <c r="N363" t="str" cm="1">
        <f t="array" ref="N363">_xlfn.IFS(M363&lt;=599,"520-599",M363&lt;=649,"600-649",M363&lt;=699,"650-699",M363&lt;=749,"700-749",M363&gt;=750,"750+")</f>
        <v>520-599</v>
      </c>
    </row>
    <row r="364" spans="1:14" x14ac:dyDescent="0.25">
      <c r="A364" t="s">
        <v>688</v>
      </c>
      <c r="B364" t="s">
        <v>687</v>
      </c>
      <c r="C364" s="1">
        <v>45778</v>
      </c>
      <c r="D364" t="s">
        <v>38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18</v>
      </c>
      <c r="K364">
        <v>177</v>
      </c>
      <c r="L364">
        <v>1</v>
      </c>
      <c r="M364">
        <v>576</v>
      </c>
      <c r="N364" t="str" cm="1">
        <f t="array" ref="N364">_xlfn.IFS(M364&lt;=599,"520-599",M364&lt;=649,"600-649",M364&lt;=699,"650-699",M364&lt;=749,"700-749",M364&gt;=750,"750+")</f>
        <v>520-599</v>
      </c>
    </row>
    <row r="365" spans="1:14" x14ac:dyDescent="0.25">
      <c r="A365" t="s">
        <v>689</v>
      </c>
      <c r="B365" t="s">
        <v>690</v>
      </c>
      <c r="C365" s="1">
        <v>45299</v>
      </c>
      <c r="D365" t="s">
        <v>47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15</v>
      </c>
      <c r="K365">
        <v>0</v>
      </c>
      <c r="L365">
        <v>0</v>
      </c>
      <c r="M365">
        <v>814</v>
      </c>
      <c r="N365" t="str" cm="1">
        <f t="array" ref="N365">_xlfn.IFS(M365&lt;=599,"520-599",M365&lt;=649,"600-649",M365&lt;=699,"650-699",M365&lt;=749,"700-749",M365&gt;=750,"750+")</f>
        <v>750+</v>
      </c>
    </row>
    <row r="366" spans="1:14" x14ac:dyDescent="0.25">
      <c r="A366" t="s">
        <v>691</v>
      </c>
      <c r="B366" t="s">
        <v>690</v>
      </c>
      <c r="C366" s="1">
        <v>45763</v>
      </c>
      <c r="D366" t="s">
        <v>47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27</v>
      </c>
      <c r="K366">
        <v>0</v>
      </c>
      <c r="L366">
        <v>0</v>
      </c>
      <c r="M366">
        <v>814</v>
      </c>
      <c r="N366" t="str" cm="1">
        <f t="array" ref="N366">_xlfn.IFS(M366&lt;=599,"520-599",M366&lt;=649,"600-649",M366&lt;=699,"650-699",M366&lt;=749,"700-749",M366&gt;=750,"750+")</f>
        <v>750+</v>
      </c>
    </row>
    <row r="367" spans="1:14" x14ac:dyDescent="0.25">
      <c r="A367" t="s">
        <v>692</v>
      </c>
      <c r="B367" t="s">
        <v>693</v>
      </c>
      <c r="C367" s="1">
        <v>45471</v>
      </c>
      <c r="D367" t="s">
        <v>14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18</v>
      </c>
      <c r="K367">
        <v>75</v>
      </c>
      <c r="L367">
        <v>1</v>
      </c>
      <c r="M367">
        <v>560</v>
      </c>
      <c r="N367" t="str" cm="1">
        <f t="array" ref="N367">_xlfn.IFS(M367&lt;=599,"520-599",M367&lt;=649,"600-649",M367&lt;=699,"650-699",M367&lt;=749,"700-749",M367&gt;=750,"750+")</f>
        <v>520-599</v>
      </c>
    </row>
    <row r="368" spans="1:14" x14ac:dyDescent="0.25">
      <c r="A368" t="s">
        <v>694</v>
      </c>
      <c r="B368" t="s">
        <v>695</v>
      </c>
      <c r="C368" s="1">
        <v>45389</v>
      </c>
      <c r="D368" t="s">
        <v>17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62</v>
      </c>
      <c r="K368">
        <v>15</v>
      </c>
      <c r="L368">
        <v>0</v>
      </c>
      <c r="M368">
        <v>850</v>
      </c>
      <c r="N368" t="str" cm="1">
        <f t="array" ref="N368">_xlfn.IFS(M368&lt;=599,"520-599",M368&lt;=649,"600-649",M368&lt;=699,"650-699",M368&lt;=749,"700-749",M368&gt;=750,"750+")</f>
        <v>750+</v>
      </c>
    </row>
    <row r="369" spans="1:14" x14ac:dyDescent="0.25">
      <c r="A369" t="s">
        <v>696</v>
      </c>
      <c r="B369" t="s">
        <v>695</v>
      </c>
      <c r="C369" s="1">
        <v>45360</v>
      </c>
      <c r="D369" t="s">
        <v>33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27</v>
      </c>
      <c r="K369">
        <v>0</v>
      </c>
      <c r="L369">
        <v>0</v>
      </c>
      <c r="M369">
        <v>850</v>
      </c>
      <c r="N369" t="str" cm="1">
        <f t="array" ref="N369">_xlfn.IFS(M369&lt;=599,"520-599",M369&lt;=649,"600-649",M369&lt;=699,"650-699",M369&lt;=749,"700-749",M369&gt;=750,"750+")</f>
        <v>750+</v>
      </c>
    </row>
    <row r="370" spans="1:14" x14ac:dyDescent="0.25">
      <c r="A370" t="s">
        <v>697</v>
      </c>
      <c r="B370" t="s">
        <v>698</v>
      </c>
      <c r="C370" s="1">
        <v>45625</v>
      </c>
      <c r="D370" t="s">
        <v>21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27</v>
      </c>
      <c r="K370">
        <v>0</v>
      </c>
      <c r="L370">
        <v>0</v>
      </c>
      <c r="M370">
        <v>850</v>
      </c>
      <c r="N370" t="str" cm="1">
        <f t="array" ref="N370">_xlfn.IFS(M370&lt;=599,"520-599",M370&lt;=649,"600-649",M370&lt;=699,"650-699",M370&lt;=749,"700-749",M370&gt;=750,"750+")</f>
        <v>750+</v>
      </c>
    </row>
    <row r="371" spans="1:14" x14ac:dyDescent="0.25">
      <c r="A371" t="s">
        <v>699</v>
      </c>
      <c r="B371" t="s">
        <v>700</v>
      </c>
      <c r="C371" s="1">
        <v>45700</v>
      </c>
      <c r="D371" t="s">
        <v>41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27</v>
      </c>
      <c r="K371">
        <v>0</v>
      </c>
      <c r="L371">
        <v>0</v>
      </c>
      <c r="M371">
        <v>838</v>
      </c>
      <c r="N371" t="str" cm="1">
        <f t="array" ref="N371">_xlfn.IFS(M371&lt;=599,"520-599",M371&lt;=649,"600-649",M371&lt;=699,"650-699",M371&lt;=749,"700-749",M371&gt;=750,"750+")</f>
        <v>750+</v>
      </c>
    </row>
    <row r="372" spans="1:14" x14ac:dyDescent="0.25">
      <c r="A372" t="s">
        <v>701</v>
      </c>
      <c r="B372" t="s">
        <v>702</v>
      </c>
      <c r="C372" s="1">
        <v>45376</v>
      </c>
      <c r="D372" t="s">
        <v>33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15</v>
      </c>
      <c r="K372">
        <v>0</v>
      </c>
      <c r="L372">
        <v>0</v>
      </c>
      <c r="M372">
        <v>779</v>
      </c>
      <c r="N372" t="str" cm="1">
        <f t="array" ref="N372">_xlfn.IFS(M372&lt;=599,"520-599",M372&lt;=649,"600-649",M372&lt;=699,"650-699",M372&lt;=749,"700-749",M372&gt;=750,"750+")</f>
        <v>750+</v>
      </c>
    </row>
    <row r="373" spans="1:14" x14ac:dyDescent="0.25">
      <c r="A373" t="s">
        <v>703</v>
      </c>
      <c r="B373" t="s">
        <v>704</v>
      </c>
      <c r="C373" s="1">
        <v>45473</v>
      </c>
      <c r="D373" t="s">
        <v>24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18</v>
      </c>
      <c r="K373">
        <v>166</v>
      </c>
      <c r="L373">
        <v>1</v>
      </c>
      <c r="M373">
        <v>585</v>
      </c>
      <c r="N373" t="str" cm="1">
        <f t="array" ref="N373">_xlfn.IFS(M373&lt;=599,"520-599",M373&lt;=649,"600-649",M373&lt;=699,"650-699",M373&lt;=749,"700-749",M373&gt;=750,"750+")</f>
        <v>520-599</v>
      </c>
    </row>
    <row r="374" spans="1:14" x14ac:dyDescent="0.25">
      <c r="A374" t="s">
        <v>705</v>
      </c>
      <c r="B374" t="s">
        <v>706</v>
      </c>
      <c r="C374" s="1">
        <v>45658</v>
      </c>
      <c r="D374" t="s">
        <v>33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15</v>
      </c>
      <c r="K374">
        <v>0</v>
      </c>
      <c r="L374">
        <v>0</v>
      </c>
      <c r="M374">
        <v>779</v>
      </c>
      <c r="N374" t="str" cm="1">
        <f t="array" ref="N374">_xlfn.IFS(M374&lt;=599,"520-599",M374&lt;=649,"600-649",M374&lt;=699,"650-699",M374&lt;=749,"700-749",M374&gt;=750,"750+")</f>
        <v>750+</v>
      </c>
    </row>
    <row r="375" spans="1:14" x14ac:dyDescent="0.25">
      <c r="A375" t="s">
        <v>707</v>
      </c>
      <c r="B375" t="s">
        <v>708</v>
      </c>
      <c r="C375" s="1">
        <v>45397</v>
      </c>
      <c r="D375" t="s">
        <v>14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18</v>
      </c>
      <c r="K375">
        <v>108</v>
      </c>
      <c r="L375">
        <v>1</v>
      </c>
      <c r="M375">
        <v>589</v>
      </c>
      <c r="N375" t="str" cm="1">
        <f t="array" ref="N375">_xlfn.IFS(M375&lt;=599,"520-599",M375&lt;=649,"600-649",M375&lt;=699,"650-699",M375&lt;=749,"700-749",M375&gt;=750,"750+")</f>
        <v>520-599</v>
      </c>
    </row>
    <row r="376" spans="1:14" x14ac:dyDescent="0.25">
      <c r="A376" t="s">
        <v>709</v>
      </c>
      <c r="B376" t="s">
        <v>710</v>
      </c>
      <c r="C376" s="1">
        <v>45675</v>
      </c>
      <c r="D376" t="s">
        <v>47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27</v>
      </c>
      <c r="K376">
        <v>0</v>
      </c>
      <c r="L376">
        <v>0</v>
      </c>
      <c r="M376">
        <v>621</v>
      </c>
      <c r="N376" t="str" cm="1">
        <f t="array" ref="N376">_xlfn.IFS(M376&lt;=599,"520-599",M376&lt;=649,"600-649",M376&lt;=699,"650-699",M376&lt;=749,"700-749",M376&gt;=750,"750+")</f>
        <v>600-649</v>
      </c>
    </row>
    <row r="377" spans="1:14" x14ac:dyDescent="0.25">
      <c r="A377" t="s">
        <v>711</v>
      </c>
      <c r="B377" t="s">
        <v>712</v>
      </c>
      <c r="C377" s="1">
        <v>45390</v>
      </c>
      <c r="D377" t="s">
        <v>41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27</v>
      </c>
      <c r="K377">
        <v>0</v>
      </c>
      <c r="L377">
        <v>0</v>
      </c>
      <c r="M377">
        <v>673</v>
      </c>
      <c r="N377" t="str" cm="1">
        <f t="array" ref="N377">_xlfn.IFS(M377&lt;=599,"520-599",M377&lt;=649,"600-649",M377&lt;=699,"650-699",M377&lt;=749,"700-749",M377&gt;=750,"750+")</f>
        <v>650-699</v>
      </c>
    </row>
    <row r="378" spans="1:14" x14ac:dyDescent="0.25">
      <c r="A378" t="s">
        <v>713</v>
      </c>
      <c r="B378" t="s">
        <v>714</v>
      </c>
      <c r="C378" s="1">
        <v>45486</v>
      </c>
      <c r="D378" t="s">
        <v>17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62</v>
      </c>
      <c r="K378">
        <v>15</v>
      </c>
      <c r="L378">
        <v>0</v>
      </c>
      <c r="M378">
        <v>730</v>
      </c>
      <c r="N378" t="str" cm="1">
        <f t="array" ref="N378">_xlfn.IFS(M378&lt;=599,"520-599",M378&lt;=649,"600-649",M378&lt;=699,"650-699",M378&lt;=749,"700-749",M378&gt;=750,"750+")</f>
        <v>700-749</v>
      </c>
    </row>
    <row r="379" spans="1:14" x14ac:dyDescent="0.25">
      <c r="A379" t="s">
        <v>715</v>
      </c>
      <c r="B379" t="s">
        <v>716</v>
      </c>
      <c r="C379" s="1">
        <v>45615</v>
      </c>
      <c r="D379" t="s">
        <v>38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18</v>
      </c>
      <c r="K379">
        <v>84</v>
      </c>
      <c r="L379">
        <v>1</v>
      </c>
      <c r="M379">
        <v>674</v>
      </c>
      <c r="N379" t="str" cm="1">
        <f t="array" ref="N379">_xlfn.IFS(M379&lt;=599,"520-599",M379&lt;=649,"600-649",M379&lt;=699,"650-699",M379&lt;=749,"700-749",M379&gt;=750,"750+")</f>
        <v>650-699</v>
      </c>
    </row>
    <row r="380" spans="1:14" x14ac:dyDescent="0.25">
      <c r="A380" t="s">
        <v>717</v>
      </c>
      <c r="B380" t="s">
        <v>718</v>
      </c>
      <c r="C380" s="1">
        <v>45360</v>
      </c>
      <c r="D380" t="s">
        <v>36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15</v>
      </c>
      <c r="K380">
        <v>0</v>
      </c>
      <c r="L380">
        <v>0</v>
      </c>
      <c r="M380">
        <v>819</v>
      </c>
      <c r="N380" t="str" cm="1">
        <f t="array" ref="N380">_xlfn.IFS(M380&lt;=599,"520-599",M380&lt;=649,"600-649",M380&lt;=699,"650-699",M380&lt;=749,"700-749",M380&gt;=750,"750+")</f>
        <v>750+</v>
      </c>
    </row>
    <row r="381" spans="1:14" x14ac:dyDescent="0.25">
      <c r="A381" t="s">
        <v>719</v>
      </c>
      <c r="B381" t="s">
        <v>720</v>
      </c>
      <c r="C381" s="1">
        <v>45389</v>
      </c>
      <c r="D381" t="s">
        <v>36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62</v>
      </c>
      <c r="K381">
        <v>30</v>
      </c>
      <c r="L381">
        <v>0</v>
      </c>
      <c r="M381">
        <v>701</v>
      </c>
      <c r="N381" t="str" cm="1">
        <f t="array" ref="N381">_xlfn.IFS(M381&lt;=599,"520-599",M381&lt;=649,"600-649",M381&lt;=699,"650-699",M381&lt;=749,"700-749",M381&gt;=750,"750+")</f>
        <v>700-749</v>
      </c>
    </row>
    <row r="382" spans="1:14" x14ac:dyDescent="0.25">
      <c r="A382" t="s">
        <v>721</v>
      </c>
      <c r="B382" t="s">
        <v>722</v>
      </c>
      <c r="C382" s="1">
        <v>45785</v>
      </c>
      <c r="D382" t="s">
        <v>33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18</v>
      </c>
      <c r="K382">
        <v>34</v>
      </c>
      <c r="L382">
        <v>1</v>
      </c>
      <c r="M382">
        <v>555</v>
      </c>
      <c r="N382" t="str" cm="1">
        <f t="array" ref="N382">_xlfn.IFS(M382&lt;=599,"520-599",M382&lt;=649,"600-649",M382&lt;=699,"650-699",M382&lt;=749,"700-749",M382&gt;=750,"750+")</f>
        <v>520-599</v>
      </c>
    </row>
    <row r="383" spans="1:14" x14ac:dyDescent="0.25">
      <c r="A383" t="s">
        <v>723</v>
      </c>
      <c r="B383" t="s">
        <v>724</v>
      </c>
      <c r="C383" s="1">
        <v>45305</v>
      </c>
      <c r="D383" t="s">
        <v>47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18</v>
      </c>
      <c r="K383">
        <v>61</v>
      </c>
      <c r="L383">
        <v>1</v>
      </c>
      <c r="M383">
        <v>578</v>
      </c>
      <c r="N383" t="str" cm="1">
        <f t="array" ref="N383">_xlfn.IFS(M383&lt;=599,"520-599",M383&lt;=649,"600-649",M383&lt;=699,"650-699",M383&lt;=749,"700-749",M383&gt;=750,"750+")</f>
        <v>520-599</v>
      </c>
    </row>
    <row r="384" spans="1:14" x14ac:dyDescent="0.25">
      <c r="A384" t="s">
        <v>725</v>
      </c>
      <c r="B384" t="s">
        <v>726</v>
      </c>
      <c r="C384" s="1">
        <v>45802</v>
      </c>
      <c r="D384" t="s">
        <v>17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27</v>
      </c>
      <c r="K384">
        <v>0</v>
      </c>
      <c r="L384">
        <v>0</v>
      </c>
      <c r="M384">
        <v>674</v>
      </c>
      <c r="N384" t="str" cm="1">
        <f t="array" ref="N384">_xlfn.IFS(M384&lt;=599,"520-599",M384&lt;=649,"600-649",M384&lt;=699,"650-699",M384&lt;=749,"700-749",M384&gt;=750,"750+")</f>
        <v>650-699</v>
      </c>
    </row>
    <row r="385" spans="1:14" x14ac:dyDescent="0.25">
      <c r="A385" t="s">
        <v>727</v>
      </c>
      <c r="B385" t="s">
        <v>728</v>
      </c>
      <c r="C385" s="1">
        <v>45617</v>
      </c>
      <c r="D385" t="s">
        <v>47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27</v>
      </c>
      <c r="K385">
        <v>0</v>
      </c>
      <c r="L385">
        <v>0</v>
      </c>
      <c r="M385">
        <v>628</v>
      </c>
      <c r="N385" t="str" cm="1">
        <f t="array" ref="N385">_xlfn.IFS(M385&lt;=599,"520-599",M385&lt;=649,"600-649",M385&lt;=699,"650-699",M385&lt;=749,"700-749",M385&gt;=750,"750+")</f>
        <v>600-649</v>
      </c>
    </row>
    <row r="386" spans="1:14" x14ac:dyDescent="0.25">
      <c r="A386" t="s">
        <v>729</v>
      </c>
      <c r="B386" t="s">
        <v>730</v>
      </c>
      <c r="C386" s="1">
        <v>45502</v>
      </c>
      <c r="D386" t="s">
        <v>24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62</v>
      </c>
      <c r="K386">
        <v>15</v>
      </c>
      <c r="L386">
        <v>0</v>
      </c>
      <c r="M386">
        <v>641</v>
      </c>
      <c r="N386" t="str" cm="1">
        <f t="array" ref="N386">_xlfn.IFS(M386&lt;=599,"520-599",M386&lt;=649,"600-649",M386&lt;=699,"650-699",M386&lt;=749,"700-749",M386&gt;=750,"750+")</f>
        <v>600-649</v>
      </c>
    </row>
    <row r="387" spans="1:14" x14ac:dyDescent="0.25">
      <c r="A387" t="s">
        <v>731</v>
      </c>
      <c r="B387" t="s">
        <v>730</v>
      </c>
      <c r="C387" s="1">
        <v>45682</v>
      </c>
      <c r="D387" t="s">
        <v>38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62</v>
      </c>
      <c r="K387">
        <v>0</v>
      </c>
      <c r="L387">
        <v>0</v>
      </c>
      <c r="M387">
        <v>641</v>
      </c>
      <c r="N387" t="str" cm="1">
        <f t="array" ref="N387">_xlfn.IFS(M387&lt;=599,"520-599",M387&lt;=649,"600-649",M387&lt;=699,"650-699",M387&lt;=749,"700-749",M387&gt;=750,"750+")</f>
        <v>600-649</v>
      </c>
    </row>
    <row r="388" spans="1:14" x14ac:dyDescent="0.25">
      <c r="A388" t="s">
        <v>732</v>
      </c>
      <c r="B388" t="s">
        <v>733</v>
      </c>
      <c r="C388" s="1">
        <v>45420</v>
      </c>
      <c r="D388" t="s">
        <v>14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18</v>
      </c>
      <c r="K388">
        <v>170</v>
      </c>
      <c r="L388">
        <v>1</v>
      </c>
      <c r="M388">
        <v>640</v>
      </c>
      <c r="N388" t="str" cm="1">
        <f t="array" ref="N388">_xlfn.IFS(M388&lt;=599,"520-599",M388&lt;=649,"600-649",M388&lt;=699,"650-699",M388&lt;=749,"700-749",M388&gt;=750,"750+")</f>
        <v>600-649</v>
      </c>
    </row>
    <row r="389" spans="1:14" x14ac:dyDescent="0.25">
      <c r="A389" t="s">
        <v>734</v>
      </c>
      <c r="B389" t="s">
        <v>735</v>
      </c>
      <c r="C389" s="1">
        <v>45494</v>
      </c>
      <c r="D389" t="s">
        <v>38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18</v>
      </c>
      <c r="K389">
        <v>75</v>
      </c>
      <c r="L389">
        <v>1</v>
      </c>
      <c r="M389">
        <v>619</v>
      </c>
      <c r="N389" t="str" cm="1">
        <f t="array" ref="N389">_xlfn.IFS(M389&lt;=599,"520-599",M389&lt;=649,"600-649",M389&lt;=699,"650-699",M389&lt;=749,"700-749",M389&gt;=750,"750+")</f>
        <v>600-649</v>
      </c>
    </row>
    <row r="390" spans="1:14" x14ac:dyDescent="0.25">
      <c r="A390" t="s">
        <v>736</v>
      </c>
      <c r="B390" t="s">
        <v>735</v>
      </c>
      <c r="C390" s="1">
        <v>45498</v>
      </c>
      <c r="D390" t="s">
        <v>47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18</v>
      </c>
      <c r="K390">
        <v>153</v>
      </c>
      <c r="L390">
        <v>1</v>
      </c>
      <c r="M390">
        <v>619</v>
      </c>
      <c r="N390" t="str" cm="1">
        <f t="array" ref="N390">_xlfn.IFS(M390&lt;=599,"520-599",M390&lt;=649,"600-649",M390&lt;=699,"650-699",M390&lt;=749,"700-749",M390&gt;=750,"750+")</f>
        <v>600-649</v>
      </c>
    </row>
    <row r="391" spans="1:14" x14ac:dyDescent="0.25">
      <c r="A391" t="s">
        <v>737</v>
      </c>
      <c r="B391" t="s">
        <v>738</v>
      </c>
      <c r="C391" s="1">
        <v>45735</v>
      </c>
      <c r="D391" t="s">
        <v>30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15</v>
      </c>
      <c r="K391">
        <v>0</v>
      </c>
      <c r="L391">
        <v>0</v>
      </c>
      <c r="M391">
        <v>592</v>
      </c>
      <c r="N391" t="str" cm="1">
        <f t="array" ref="N391">_xlfn.IFS(M391&lt;=599,"520-599",M391&lt;=649,"600-649",M391&lt;=699,"650-699",M391&lt;=749,"700-749",M391&gt;=750,"750+")</f>
        <v>520-599</v>
      </c>
    </row>
    <row r="392" spans="1:14" x14ac:dyDescent="0.25">
      <c r="A392" t="s">
        <v>739</v>
      </c>
      <c r="B392" t="s">
        <v>740</v>
      </c>
      <c r="C392" s="1">
        <v>45448</v>
      </c>
      <c r="D392" t="s">
        <v>17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27</v>
      </c>
      <c r="K392">
        <v>0</v>
      </c>
      <c r="L392">
        <v>0</v>
      </c>
      <c r="M392">
        <v>828</v>
      </c>
      <c r="N392" t="str" cm="1">
        <f t="array" ref="N392">_xlfn.IFS(M392&lt;=599,"520-599",M392&lt;=649,"600-649",M392&lt;=699,"650-699",M392&lt;=749,"700-749",M392&gt;=750,"750+")</f>
        <v>750+</v>
      </c>
    </row>
    <row r="393" spans="1:14" x14ac:dyDescent="0.25">
      <c r="A393" t="s">
        <v>741</v>
      </c>
      <c r="B393" t="s">
        <v>742</v>
      </c>
      <c r="C393" s="1">
        <v>45772</v>
      </c>
      <c r="D393" t="s">
        <v>24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18</v>
      </c>
      <c r="K393">
        <v>78</v>
      </c>
      <c r="L393">
        <v>1</v>
      </c>
      <c r="M393">
        <v>704</v>
      </c>
      <c r="N393" t="str" cm="1">
        <f t="array" ref="N393">_xlfn.IFS(M393&lt;=599,"520-599",M393&lt;=649,"600-649",M393&lt;=699,"650-699",M393&lt;=749,"700-749",M393&gt;=750,"750+")</f>
        <v>700-749</v>
      </c>
    </row>
    <row r="394" spans="1:14" x14ac:dyDescent="0.25">
      <c r="A394" t="s">
        <v>743</v>
      </c>
      <c r="B394" t="s">
        <v>744</v>
      </c>
      <c r="C394" s="1">
        <v>45696</v>
      </c>
      <c r="D394" t="s">
        <v>21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27</v>
      </c>
      <c r="K394">
        <v>0</v>
      </c>
      <c r="L394">
        <v>0</v>
      </c>
      <c r="M394">
        <v>748</v>
      </c>
      <c r="N394" t="str" cm="1">
        <f t="array" ref="N394">_xlfn.IFS(M394&lt;=599,"520-599",M394&lt;=649,"600-649",M394&lt;=699,"650-699",M394&lt;=749,"700-749",M394&gt;=750,"750+")</f>
        <v>700-749</v>
      </c>
    </row>
    <row r="395" spans="1:14" x14ac:dyDescent="0.25">
      <c r="A395" t="s">
        <v>745</v>
      </c>
      <c r="B395" t="s">
        <v>746</v>
      </c>
      <c r="C395" s="1">
        <v>45458</v>
      </c>
      <c r="D395" t="s">
        <v>47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18</v>
      </c>
      <c r="K395">
        <v>141</v>
      </c>
      <c r="L395">
        <v>1</v>
      </c>
      <c r="M395">
        <v>671</v>
      </c>
      <c r="N395" t="str" cm="1">
        <f t="array" ref="N395">_xlfn.IFS(M395&lt;=599,"520-599",M395&lt;=649,"600-649",M395&lt;=699,"650-699",M395&lt;=749,"700-749",M395&gt;=750,"750+")</f>
        <v>650-699</v>
      </c>
    </row>
    <row r="396" spans="1:14" x14ac:dyDescent="0.25">
      <c r="A396" t="s">
        <v>747</v>
      </c>
      <c r="B396" t="s">
        <v>748</v>
      </c>
      <c r="C396" s="1">
        <v>45686</v>
      </c>
      <c r="D396" t="s">
        <v>30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27</v>
      </c>
      <c r="K396">
        <v>0</v>
      </c>
      <c r="L396">
        <v>0</v>
      </c>
      <c r="M396">
        <v>799</v>
      </c>
      <c r="N396" t="str" cm="1">
        <f t="array" ref="N396">_xlfn.IFS(M396&lt;=599,"520-599",M396&lt;=649,"600-649",M396&lt;=699,"650-699",M396&lt;=749,"700-749",M396&gt;=750,"750+")</f>
        <v>750+</v>
      </c>
    </row>
    <row r="397" spans="1:14" x14ac:dyDescent="0.25">
      <c r="A397" t="s">
        <v>749</v>
      </c>
      <c r="B397" t="s">
        <v>748</v>
      </c>
      <c r="C397" s="1">
        <v>45443</v>
      </c>
      <c r="D397" t="s">
        <v>41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62</v>
      </c>
      <c r="K397">
        <v>0</v>
      </c>
      <c r="L397">
        <v>0</v>
      </c>
      <c r="M397">
        <v>799</v>
      </c>
      <c r="N397" t="str" cm="1">
        <f t="array" ref="N397">_xlfn.IFS(M397&lt;=599,"520-599",M397&lt;=649,"600-649",M397&lt;=699,"650-699",M397&lt;=749,"700-749",M397&gt;=750,"750+")</f>
        <v>750+</v>
      </c>
    </row>
    <row r="398" spans="1:14" x14ac:dyDescent="0.25">
      <c r="A398" t="s">
        <v>750</v>
      </c>
      <c r="B398" t="s">
        <v>751</v>
      </c>
      <c r="C398" s="1">
        <v>45386</v>
      </c>
      <c r="D398" t="s">
        <v>47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62</v>
      </c>
      <c r="K398">
        <v>15</v>
      </c>
      <c r="L398">
        <v>0</v>
      </c>
      <c r="M398">
        <v>793</v>
      </c>
      <c r="N398" t="str" cm="1">
        <f t="array" ref="N398">_xlfn.IFS(M398&lt;=599,"520-599",M398&lt;=649,"600-649",M398&lt;=699,"650-699",M398&lt;=749,"700-749",M398&gt;=750,"750+")</f>
        <v>750+</v>
      </c>
    </row>
    <row r="399" spans="1:14" x14ac:dyDescent="0.25">
      <c r="A399" t="s">
        <v>752</v>
      </c>
      <c r="B399" t="s">
        <v>753</v>
      </c>
      <c r="C399" s="1">
        <v>45729</v>
      </c>
      <c r="D399" t="s">
        <v>36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18</v>
      </c>
      <c r="K399">
        <v>107</v>
      </c>
      <c r="L399">
        <v>1</v>
      </c>
      <c r="M399">
        <v>678</v>
      </c>
      <c r="N399" t="str" cm="1">
        <f t="array" ref="N399">_xlfn.IFS(M399&lt;=599,"520-599",M399&lt;=649,"600-649",M399&lt;=699,"650-699",M399&lt;=749,"700-749",M399&gt;=750,"750+")</f>
        <v>650-699</v>
      </c>
    </row>
    <row r="400" spans="1:14" x14ac:dyDescent="0.25">
      <c r="A400" t="s">
        <v>754</v>
      </c>
      <c r="B400" t="s">
        <v>755</v>
      </c>
      <c r="C400" s="1">
        <v>45383</v>
      </c>
      <c r="D400" t="s">
        <v>21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18</v>
      </c>
      <c r="K400">
        <v>176</v>
      </c>
      <c r="L400">
        <v>1</v>
      </c>
      <c r="M400">
        <v>686</v>
      </c>
      <c r="N400" t="str" cm="1">
        <f t="array" ref="N400">_xlfn.IFS(M400&lt;=599,"520-599",M400&lt;=649,"600-649",M400&lt;=699,"650-699",M400&lt;=749,"700-749",M400&gt;=750,"750+")</f>
        <v>650-699</v>
      </c>
    </row>
    <row r="401" spans="1:14" x14ac:dyDescent="0.25">
      <c r="A401" t="s">
        <v>756</v>
      </c>
      <c r="B401" t="s">
        <v>757</v>
      </c>
      <c r="C401" s="1">
        <v>45699</v>
      </c>
      <c r="D401" t="s">
        <v>30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27</v>
      </c>
      <c r="K401">
        <v>0</v>
      </c>
      <c r="L401">
        <v>0</v>
      </c>
      <c r="M401">
        <v>630</v>
      </c>
      <c r="N401" t="str" cm="1">
        <f t="array" ref="N401">_xlfn.IFS(M401&lt;=599,"520-599",M401&lt;=649,"600-649",M401&lt;=699,"650-699",M401&lt;=749,"700-749",M401&gt;=750,"750+")</f>
        <v>600-649</v>
      </c>
    </row>
    <row r="402" spans="1:14" x14ac:dyDescent="0.25">
      <c r="A402" t="s">
        <v>758</v>
      </c>
      <c r="B402" t="s">
        <v>759</v>
      </c>
      <c r="C402" s="1">
        <v>45587</v>
      </c>
      <c r="D402" t="s">
        <v>36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27</v>
      </c>
      <c r="K402">
        <v>0</v>
      </c>
      <c r="L402">
        <v>0</v>
      </c>
      <c r="M402">
        <v>818</v>
      </c>
      <c r="N402" t="str" cm="1">
        <f t="array" ref="N402">_xlfn.IFS(M402&lt;=599,"520-599",M402&lt;=649,"600-649",M402&lt;=699,"650-699",M402&lt;=749,"700-749",M402&gt;=750,"750+")</f>
        <v>750+</v>
      </c>
    </row>
    <row r="403" spans="1:14" x14ac:dyDescent="0.25">
      <c r="A403" t="s">
        <v>760</v>
      </c>
      <c r="B403" t="s">
        <v>761</v>
      </c>
      <c r="C403" s="1">
        <v>45509</v>
      </c>
      <c r="D403" t="s">
        <v>38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18</v>
      </c>
      <c r="K403">
        <v>45</v>
      </c>
      <c r="L403">
        <v>1</v>
      </c>
      <c r="M403">
        <v>558</v>
      </c>
      <c r="N403" t="str" cm="1">
        <f t="array" ref="N403">_xlfn.IFS(M403&lt;=599,"520-599",M403&lt;=649,"600-649",M403&lt;=699,"650-699",M403&lt;=749,"700-749",M403&gt;=750,"750+")</f>
        <v>520-599</v>
      </c>
    </row>
    <row r="404" spans="1:14" x14ac:dyDescent="0.25">
      <c r="A404" t="s">
        <v>762</v>
      </c>
      <c r="B404" t="s">
        <v>763</v>
      </c>
      <c r="C404" s="1">
        <v>45403</v>
      </c>
      <c r="D404" t="s">
        <v>38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27</v>
      </c>
      <c r="K404">
        <v>0</v>
      </c>
      <c r="L404">
        <v>0</v>
      </c>
      <c r="M404">
        <v>700</v>
      </c>
      <c r="N404" t="str" cm="1">
        <f t="array" ref="N404">_xlfn.IFS(M404&lt;=599,"520-599",M404&lt;=649,"600-649",M404&lt;=699,"650-699",M404&lt;=749,"700-749",M404&gt;=750,"750+")</f>
        <v>700-749</v>
      </c>
    </row>
    <row r="405" spans="1:14" x14ac:dyDescent="0.25">
      <c r="A405" t="s">
        <v>764</v>
      </c>
      <c r="B405" t="s">
        <v>765</v>
      </c>
      <c r="C405" s="1">
        <v>45395</v>
      </c>
      <c r="D405" t="s">
        <v>24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18</v>
      </c>
      <c r="K405">
        <v>98</v>
      </c>
      <c r="L405">
        <v>1</v>
      </c>
      <c r="M405">
        <v>741</v>
      </c>
      <c r="N405" t="str" cm="1">
        <f t="array" ref="N405">_xlfn.IFS(M405&lt;=599,"520-599",M405&lt;=649,"600-649",M405&lt;=699,"650-699",M405&lt;=749,"700-749",M405&gt;=750,"750+")</f>
        <v>700-749</v>
      </c>
    </row>
    <row r="406" spans="1:14" x14ac:dyDescent="0.25">
      <c r="A406" t="s">
        <v>766</v>
      </c>
      <c r="B406" t="s">
        <v>767</v>
      </c>
      <c r="C406" s="1">
        <v>45826</v>
      </c>
      <c r="D406" t="s">
        <v>41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27</v>
      </c>
      <c r="K406">
        <v>0</v>
      </c>
      <c r="L406">
        <v>0</v>
      </c>
      <c r="M406">
        <v>794</v>
      </c>
      <c r="N406" t="str" cm="1">
        <f t="array" ref="N406">_xlfn.IFS(M406&lt;=599,"520-599",M406&lt;=649,"600-649",M406&lt;=699,"650-699",M406&lt;=749,"700-749",M406&gt;=750,"750+")</f>
        <v>750+</v>
      </c>
    </row>
    <row r="407" spans="1:14" x14ac:dyDescent="0.25">
      <c r="A407" t="s">
        <v>768</v>
      </c>
      <c r="B407" t="s">
        <v>769</v>
      </c>
      <c r="C407" s="1">
        <v>45636</v>
      </c>
      <c r="D407" t="s">
        <v>24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62</v>
      </c>
      <c r="K407">
        <v>15</v>
      </c>
      <c r="L407">
        <v>0</v>
      </c>
      <c r="M407">
        <v>634</v>
      </c>
      <c r="N407" t="str" cm="1">
        <f t="array" ref="N407">_xlfn.IFS(M407&lt;=599,"520-599",M407&lt;=649,"600-649",M407&lt;=699,"650-699",M407&lt;=749,"700-749",M407&gt;=750,"750+")</f>
        <v>600-649</v>
      </c>
    </row>
    <row r="408" spans="1:14" x14ac:dyDescent="0.25">
      <c r="A408" t="s">
        <v>770</v>
      </c>
      <c r="B408" t="s">
        <v>769</v>
      </c>
      <c r="C408" s="1">
        <v>45656</v>
      </c>
      <c r="D408" t="s">
        <v>38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27</v>
      </c>
      <c r="K408">
        <v>0</v>
      </c>
      <c r="L408">
        <v>0</v>
      </c>
      <c r="M408">
        <v>634</v>
      </c>
      <c r="N408" t="str" cm="1">
        <f t="array" ref="N408">_xlfn.IFS(M408&lt;=599,"520-599",M408&lt;=649,"600-649",M408&lt;=699,"650-699",M408&lt;=749,"700-749",M408&gt;=750,"750+")</f>
        <v>600-649</v>
      </c>
    </row>
    <row r="409" spans="1:14" x14ac:dyDescent="0.25">
      <c r="A409" t="s">
        <v>771</v>
      </c>
      <c r="B409" t="s">
        <v>772</v>
      </c>
      <c r="C409" s="1">
        <v>45417</v>
      </c>
      <c r="D409" t="s">
        <v>17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62</v>
      </c>
      <c r="K409">
        <v>0</v>
      </c>
      <c r="L409">
        <v>0</v>
      </c>
      <c r="M409">
        <v>820</v>
      </c>
      <c r="N409" t="str" cm="1">
        <f t="array" ref="N409">_xlfn.IFS(M409&lt;=599,"520-599",M409&lt;=649,"600-649",M409&lt;=699,"650-699",M409&lt;=749,"700-749",M409&gt;=750,"750+")</f>
        <v>750+</v>
      </c>
    </row>
    <row r="410" spans="1:14" x14ac:dyDescent="0.25">
      <c r="A410" t="s">
        <v>773</v>
      </c>
      <c r="B410" t="s">
        <v>772</v>
      </c>
      <c r="C410" s="1">
        <v>45484</v>
      </c>
      <c r="D410" t="s">
        <v>38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18</v>
      </c>
      <c r="K410">
        <v>112</v>
      </c>
      <c r="L410">
        <v>1</v>
      </c>
      <c r="M410">
        <v>820</v>
      </c>
      <c r="N410" t="str" cm="1">
        <f t="array" ref="N410">_xlfn.IFS(M410&lt;=599,"520-599",M410&lt;=649,"600-649",M410&lt;=699,"650-699",M410&lt;=749,"700-749",M410&gt;=750,"750+")</f>
        <v>750+</v>
      </c>
    </row>
    <row r="411" spans="1:14" x14ac:dyDescent="0.25">
      <c r="A411" t="s">
        <v>774</v>
      </c>
      <c r="B411" t="s">
        <v>775</v>
      </c>
      <c r="C411" s="1">
        <v>45531</v>
      </c>
      <c r="D411" t="s">
        <v>30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62</v>
      </c>
      <c r="K411">
        <v>0</v>
      </c>
      <c r="L411">
        <v>0</v>
      </c>
      <c r="M411">
        <v>704</v>
      </c>
      <c r="N411" t="str" cm="1">
        <f t="array" ref="N411">_xlfn.IFS(M411&lt;=599,"520-599",M411&lt;=649,"600-649",M411&lt;=699,"650-699",M411&lt;=749,"700-749",M411&gt;=750,"750+")</f>
        <v>700-749</v>
      </c>
    </row>
    <row r="412" spans="1:14" x14ac:dyDescent="0.25">
      <c r="A412" t="s">
        <v>776</v>
      </c>
      <c r="B412" t="s">
        <v>777</v>
      </c>
      <c r="C412" s="1">
        <v>45394</v>
      </c>
      <c r="D412" t="s">
        <v>17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27</v>
      </c>
      <c r="K412">
        <v>0</v>
      </c>
      <c r="L412">
        <v>0</v>
      </c>
      <c r="M412">
        <v>716</v>
      </c>
      <c r="N412" t="str" cm="1">
        <f t="array" ref="N412">_xlfn.IFS(M412&lt;=599,"520-599",M412&lt;=649,"600-649",M412&lt;=699,"650-699",M412&lt;=749,"700-749",M412&gt;=750,"750+")</f>
        <v>700-749</v>
      </c>
    </row>
    <row r="413" spans="1:14" x14ac:dyDescent="0.25">
      <c r="A413" t="s">
        <v>778</v>
      </c>
      <c r="B413" t="s">
        <v>779</v>
      </c>
      <c r="C413" s="1">
        <v>45801</v>
      </c>
      <c r="D413" t="s">
        <v>21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62</v>
      </c>
      <c r="K413">
        <v>0</v>
      </c>
      <c r="L413">
        <v>0</v>
      </c>
      <c r="M413">
        <v>754</v>
      </c>
      <c r="N413" t="str" cm="1">
        <f t="array" ref="N413">_xlfn.IFS(M413&lt;=599,"520-599",M413&lt;=649,"600-649",M413&lt;=699,"650-699",M413&lt;=749,"700-749",M413&gt;=750,"750+")</f>
        <v>750+</v>
      </c>
    </row>
    <row r="414" spans="1:14" x14ac:dyDescent="0.25">
      <c r="A414" t="s">
        <v>780</v>
      </c>
      <c r="B414" t="s">
        <v>781</v>
      </c>
      <c r="C414" s="1">
        <v>45538</v>
      </c>
      <c r="D414" t="s">
        <v>14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15</v>
      </c>
      <c r="K414">
        <v>0</v>
      </c>
      <c r="L414">
        <v>0</v>
      </c>
      <c r="M414">
        <v>830</v>
      </c>
      <c r="N414" t="str" cm="1">
        <f t="array" ref="N414">_xlfn.IFS(M414&lt;=599,"520-599",M414&lt;=649,"600-649",M414&lt;=699,"650-699",M414&lt;=749,"700-749",M414&gt;=750,"750+")</f>
        <v>750+</v>
      </c>
    </row>
    <row r="415" spans="1:14" x14ac:dyDescent="0.25">
      <c r="A415" t="s">
        <v>782</v>
      </c>
      <c r="B415" t="s">
        <v>783</v>
      </c>
      <c r="C415" s="1">
        <v>45626</v>
      </c>
      <c r="D415" t="s">
        <v>36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27</v>
      </c>
      <c r="K415">
        <v>0</v>
      </c>
      <c r="L415">
        <v>0</v>
      </c>
      <c r="M415">
        <v>572</v>
      </c>
      <c r="N415" t="str" cm="1">
        <f t="array" ref="N415">_xlfn.IFS(M415&lt;=599,"520-599",M415&lt;=649,"600-649",M415&lt;=699,"650-699",M415&lt;=749,"700-749",M415&gt;=750,"750+")</f>
        <v>520-599</v>
      </c>
    </row>
    <row r="416" spans="1:14" x14ac:dyDescent="0.25">
      <c r="A416" t="s">
        <v>784</v>
      </c>
      <c r="B416" t="s">
        <v>785</v>
      </c>
      <c r="C416" s="1">
        <v>45795</v>
      </c>
      <c r="D416" t="s">
        <v>14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18</v>
      </c>
      <c r="K416">
        <v>115</v>
      </c>
      <c r="L416">
        <v>1</v>
      </c>
      <c r="M416">
        <v>545</v>
      </c>
      <c r="N416" t="str" cm="1">
        <f t="array" ref="N416">_xlfn.IFS(M416&lt;=599,"520-599",M416&lt;=649,"600-649",M416&lt;=699,"650-699",M416&lt;=749,"700-749",M416&gt;=750,"750+")</f>
        <v>520-599</v>
      </c>
    </row>
    <row r="417" spans="1:14" x14ac:dyDescent="0.25">
      <c r="A417" t="s">
        <v>786</v>
      </c>
      <c r="B417" t="s">
        <v>787</v>
      </c>
      <c r="C417" s="1">
        <v>45682</v>
      </c>
      <c r="D417" t="s">
        <v>47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15</v>
      </c>
      <c r="K417">
        <v>0</v>
      </c>
      <c r="L417">
        <v>0</v>
      </c>
      <c r="M417">
        <v>808</v>
      </c>
      <c r="N417" t="str" cm="1">
        <f t="array" ref="N417">_xlfn.IFS(M417&lt;=599,"520-599",M417&lt;=649,"600-649",M417&lt;=699,"650-699",M417&lt;=749,"700-749",M417&gt;=750,"750+")</f>
        <v>750+</v>
      </c>
    </row>
    <row r="418" spans="1:14" x14ac:dyDescent="0.25">
      <c r="A418" t="s">
        <v>788</v>
      </c>
      <c r="B418" t="s">
        <v>787</v>
      </c>
      <c r="C418" s="1">
        <v>45406</v>
      </c>
      <c r="D418" t="s">
        <v>17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18</v>
      </c>
      <c r="K418">
        <v>78</v>
      </c>
      <c r="L418">
        <v>1</v>
      </c>
      <c r="M418">
        <v>808</v>
      </c>
      <c r="N418" t="str" cm="1">
        <f t="array" ref="N418">_xlfn.IFS(M418&lt;=599,"520-599",M418&lt;=649,"600-649",M418&lt;=699,"650-699",M418&lt;=749,"700-749",M418&gt;=750,"750+")</f>
        <v>750+</v>
      </c>
    </row>
    <row r="419" spans="1:14" x14ac:dyDescent="0.25">
      <c r="A419" t="s">
        <v>789</v>
      </c>
      <c r="B419" t="s">
        <v>790</v>
      </c>
      <c r="C419" s="1">
        <v>45293</v>
      </c>
      <c r="D419" t="s">
        <v>36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27</v>
      </c>
      <c r="K419">
        <v>0</v>
      </c>
      <c r="L419">
        <v>0</v>
      </c>
      <c r="M419">
        <v>781</v>
      </c>
      <c r="N419" t="str" cm="1">
        <f t="array" ref="N419">_xlfn.IFS(M419&lt;=599,"520-599",M419&lt;=649,"600-649",M419&lt;=699,"650-699",M419&lt;=749,"700-749",M419&gt;=750,"750+")</f>
        <v>750+</v>
      </c>
    </row>
    <row r="420" spans="1:14" x14ac:dyDescent="0.25">
      <c r="A420" t="s">
        <v>791</v>
      </c>
      <c r="B420" t="s">
        <v>792</v>
      </c>
      <c r="C420" s="1">
        <v>45519</v>
      </c>
      <c r="D420" t="s">
        <v>17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18</v>
      </c>
      <c r="K420">
        <v>32</v>
      </c>
      <c r="L420">
        <v>1</v>
      </c>
      <c r="M420">
        <v>635</v>
      </c>
      <c r="N420" t="str" cm="1">
        <f t="array" ref="N420">_xlfn.IFS(M420&lt;=599,"520-599",M420&lt;=649,"600-649",M420&lt;=699,"650-699",M420&lt;=749,"700-749",M420&gt;=750,"750+")</f>
        <v>600-649</v>
      </c>
    </row>
    <row r="421" spans="1:14" x14ac:dyDescent="0.25">
      <c r="A421" t="s">
        <v>793</v>
      </c>
      <c r="B421" t="s">
        <v>794</v>
      </c>
      <c r="C421" s="1">
        <v>45803</v>
      </c>
      <c r="D421" t="s">
        <v>14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27</v>
      </c>
      <c r="K421">
        <v>0</v>
      </c>
      <c r="L421">
        <v>0</v>
      </c>
      <c r="M421">
        <v>850</v>
      </c>
      <c r="N421" t="str" cm="1">
        <f t="array" ref="N421">_xlfn.IFS(M421&lt;=599,"520-599",M421&lt;=649,"600-649",M421&lt;=699,"650-699",M421&lt;=749,"700-749",M421&gt;=750,"750+")</f>
        <v>750+</v>
      </c>
    </row>
    <row r="422" spans="1:14" x14ac:dyDescent="0.25">
      <c r="A422" t="s">
        <v>795</v>
      </c>
      <c r="B422" t="s">
        <v>796</v>
      </c>
      <c r="C422" s="1">
        <v>45781</v>
      </c>
      <c r="D422" t="s">
        <v>41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27</v>
      </c>
      <c r="K422">
        <v>0</v>
      </c>
      <c r="L422">
        <v>0</v>
      </c>
      <c r="M422">
        <v>662</v>
      </c>
      <c r="N422" t="str" cm="1">
        <f t="array" ref="N422">_xlfn.IFS(M422&lt;=599,"520-599",M422&lt;=649,"600-649",M422&lt;=699,"650-699",M422&lt;=749,"700-749",M422&gt;=750,"750+")</f>
        <v>650-699</v>
      </c>
    </row>
    <row r="423" spans="1:14" x14ac:dyDescent="0.25">
      <c r="A423" t="s">
        <v>797</v>
      </c>
      <c r="B423" t="s">
        <v>798</v>
      </c>
      <c r="C423" s="1">
        <v>45522</v>
      </c>
      <c r="D423" t="s">
        <v>41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15</v>
      </c>
      <c r="K423">
        <v>0</v>
      </c>
      <c r="L423">
        <v>0</v>
      </c>
      <c r="M423">
        <v>836</v>
      </c>
      <c r="N423" t="str" cm="1">
        <f t="array" ref="N423">_xlfn.IFS(M423&lt;=599,"520-599",M423&lt;=649,"600-649",M423&lt;=699,"650-699",M423&lt;=749,"700-749",M423&gt;=750,"750+")</f>
        <v>750+</v>
      </c>
    </row>
    <row r="424" spans="1:14" x14ac:dyDescent="0.25">
      <c r="A424" t="s">
        <v>799</v>
      </c>
      <c r="B424" t="s">
        <v>798</v>
      </c>
      <c r="C424" s="1">
        <v>45455</v>
      </c>
      <c r="D424" t="s">
        <v>33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27</v>
      </c>
      <c r="K424">
        <v>0</v>
      </c>
      <c r="L424">
        <v>0</v>
      </c>
      <c r="M424">
        <v>836</v>
      </c>
      <c r="N424" t="str" cm="1">
        <f t="array" ref="N424">_xlfn.IFS(M424&lt;=599,"520-599",M424&lt;=649,"600-649",M424&lt;=699,"650-699",M424&lt;=749,"700-749",M424&gt;=750,"750+")</f>
        <v>750+</v>
      </c>
    </row>
    <row r="425" spans="1:14" x14ac:dyDescent="0.25">
      <c r="A425" t="s">
        <v>800</v>
      </c>
      <c r="B425" t="s">
        <v>801</v>
      </c>
      <c r="C425" s="1">
        <v>45581</v>
      </c>
      <c r="D425" t="s">
        <v>30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15</v>
      </c>
      <c r="K425">
        <v>0</v>
      </c>
      <c r="L425">
        <v>0</v>
      </c>
      <c r="M425">
        <v>650</v>
      </c>
      <c r="N425" t="str" cm="1">
        <f t="array" ref="N425">_xlfn.IFS(M425&lt;=599,"520-599",M425&lt;=649,"600-649",M425&lt;=699,"650-699",M425&lt;=749,"700-749",M425&gt;=750,"750+")</f>
        <v>650-699</v>
      </c>
    </row>
    <row r="426" spans="1:14" x14ac:dyDescent="0.25">
      <c r="A426" t="s">
        <v>802</v>
      </c>
      <c r="B426" t="s">
        <v>803</v>
      </c>
      <c r="C426" s="1">
        <v>45603</v>
      </c>
      <c r="D426" t="s">
        <v>33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27</v>
      </c>
      <c r="K426">
        <v>0</v>
      </c>
      <c r="L426">
        <v>0</v>
      </c>
      <c r="M426">
        <v>850</v>
      </c>
      <c r="N426" t="str" cm="1">
        <f t="array" ref="N426">_xlfn.IFS(M426&lt;=599,"520-599",M426&lt;=649,"600-649",M426&lt;=699,"650-699",M426&lt;=749,"700-749",M426&gt;=750,"750+")</f>
        <v>750+</v>
      </c>
    </row>
    <row r="427" spans="1:14" x14ac:dyDescent="0.25">
      <c r="A427" t="s">
        <v>804</v>
      </c>
      <c r="B427" t="s">
        <v>805</v>
      </c>
      <c r="C427" s="1">
        <v>45301</v>
      </c>
      <c r="D427" t="s">
        <v>24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62</v>
      </c>
      <c r="K427">
        <v>15</v>
      </c>
      <c r="L427">
        <v>0</v>
      </c>
      <c r="M427">
        <v>751</v>
      </c>
      <c r="N427" t="str" cm="1">
        <f t="array" ref="N427">_xlfn.IFS(M427&lt;=599,"520-599",M427&lt;=649,"600-649",M427&lt;=699,"650-699",M427&lt;=749,"700-749",M427&gt;=750,"750+")</f>
        <v>750+</v>
      </c>
    </row>
    <row r="428" spans="1:14" x14ac:dyDescent="0.25">
      <c r="A428" t="s">
        <v>806</v>
      </c>
      <c r="B428" t="s">
        <v>807</v>
      </c>
      <c r="C428" s="1">
        <v>45390</v>
      </c>
      <c r="D428" t="s">
        <v>33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18</v>
      </c>
      <c r="K428">
        <v>151</v>
      </c>
      <c r="L428">
        <v>1</v>
      </c>
      <c r="M428">
        <v>584</v>
      </c>
      <c r="N428" t="str" cm="1">
        <f t="array" ref="N428">_xlfn.IFS(M428&lt;=599,"520-599",M428&lt;=649,"600-649",M428&lt;=699,"650-699",M428&lt;=749,"700-749",M428&gt;=750,"750+")</f>
        <v>520-599</v>
      </c>
    </row>
    <row r="429" spans="1:14" x14ac:dyDescent="0.25">
      <c r="A429" t="s">
        <v>808</v>
      </c>
      <c r="B429" t="s">
        <v>809</v>
      </c>
      <c r="C429" s="1">
        <v>45444</v>
      </c>
      <c r="D429" t="s">
        <v>41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27</v>
      </c>
      <c r="K429">
        <v>0</v>
      </c>
      <c r="L429">
        <v>0</v>
      </c>
      <c r="M429">
        <v>850</v>
      </c>
      <c r="N429" t="str" cm="1">
        <f t="array" ref="N429">_xlfn.IFS(M429&lt;=599,"520-599",M429&lt;=649,"600-649",M429&lt;=699,"650-699",M429&lt;=749,"700-749",M429&gt;=750,"750+")</f>
        <v>750+</v>
      </c>
    </row>
    <row r="430" spans="1:14" x14ac:dyDescent="0.25">
      <c r="A430" t="s">
        <v>810</v>
      </c>
      <c r="B430" t="s">
        <v>811</v>
      </c>
      <c r="C430" s="1">
        <v>45676</v>
      </c>
      <c r="D430" t="s">
        <v>14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62</v>
      </c>
      <c r="K430">
        <v>30</v>
      </c>
      <c r="L430">
        <v>0</v>
      </c>
      <c r="M430">
        <v>579</v>
      </c>
      <c r="N430" t="str" cm="1">
        <f t="array" ref="N430">_xlfn.IFS(M430&lt;=599,"520-599",M430&lt;=649,"600-649",M430&lt;=699,"650-699",M430&lt;=749,"700-749",M430&gt;=750,"750+")</f>
        <v>520-599</v>
      </c>
    </row>
    <row r="431" spans="1:14" x14ac:dyDescent="0.25">
      <c r="A431" t="s">
        <v>812</v>
      </c>
      <c r="B431" t="s">
        <v>813</v>
      </c>
      <c r="C431" s="1">
        <v>45747</v>
      </c>
      <c r="D431" t="s">
        <v>14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27</v>
      </c>
      <c r="K431">
        <v>0</v>
      </c>
      <c r="L431">
        <v>0</v>
      </c>
      <c r="M431">
        <v>772</v>
      </c>
      <c r="N431" t="str" cm="1">
        <f t="array" ref="N431">_xlfn.IFS(M431&lt;=599,"520-599",M431&lt;=649,"600-649",M431&lt;=699,"650-699",M431&lt;=749,"700-749",M431&gt;=750,"750+")</f>
        <v>750+</v>
      </c>
    </row>
    <row r="432" spans="1:14" x14ac:dyDescent="0.25">
      <c r="A432" t="s">
        <v>814</v>
      </c>
      <c r="B432" t="s">
        <v>815</v>
      </c>
      <c r="C432" s="1">
        <v>45388</v>
      </c>
      <c r="D432" t="s">
        <v>21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27</v>
      </c>
      <c r="K432">
        <v>0</v>
      </c>
      <c r="L432">
        <v>0</v>
      </c>
      <c r="M432">
        <v>661</v>
      </c>
      <c r="N432" t="str" cm="1">
        <f t="array" ref="N432">_xlfn.IFS(M432&lt;=599,"520-599",M432&lt;=649,"600-649",M432&lt;=699,"650-699",M432&lt;=749,"700-749",M432&gt;=750,"750+")</f>
        <v>650-699</v>
      </c>
    </row>
    <row r="433" spans="1:14" x14ac:dyDescent="0.25">
      <c r="A433" t="s">
        <v>816</v>
      </c>
      <c r="B433" t="s">
        <v>817</v>
      </c>
      <c r="C433" s="1">
        <v>45481</v>
      </c>
      <c r="D433" t="s">
        <v>17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27</v>
      </c>
      <c r="K433">
        <v>0</v>
      </c>
      <c r="L433">
        <v>0</v>
      </c>
      <c r="M433">
        <v>786</v>
      </c>
      <c r="N433" t="str" cm="1">
        <f t="array" ref="N433">_xlfn.IFS(M433&lt;=599,"520-599",M433&lt;=649,"600-649",M433&lt;=699,"650-699",M433&lt;=749,"700-749",M433&gt;=750,"750+")</f>
        <v>750+</v>
      </c>
    </row>
    <row r="434" spans="1:14" x14ac:dyDescent="0.25">
      <c r="A434" t="s">
        <v>818</v>
      </c>
      <c r="B434" t="s">
        <v>819</v>
      </c>
      <c r="C434" s="1">
        <v>45419</v>
      </c>
      <c r="D434" t="s">
        <v>21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62</v>
      </c>
      <c r="K434">
        <v>0</v>
      </c>
      <c r="L434">
        <v>0</v>
      </c>
      <c r="M434">
        <v>850</v>
      </c>
      <c r="N434" t="str" cm="1">
        <f t="array" ref="N434">_xlfn.IFS(M434&lt;=599,"520-599",M434&lt;=649,"600-649",M434&lt;=699,"650-699",M434&lt;=749,"700-749",M434&gt;=750,"750+")</f>
        <v>750+</v>
      </c>
    </row>
    <row r="435" spans="1:14" x14ac:dyDescent="0.25">
      <c r="A435" t="s">
        <v>820</v>
      </c>
      <c r="B435" t="s">
        <v>819</v>
      </c>
      <c r="C435" s="1">
        <v>45749</v>
      </c>
      <c r="D435" t="s">
        <v>36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27</v>
      </c>
      <c r="K435">
        <v>0</v>
      </c>
      <c r="L435">
        <v>0</v>
      </c>
      <c r="M435">
        <v>850</v>
      </c>
      <c r="N435" t="str" cm="1">
        <f t="array" ref="N435">_xlfn.IFS(M435&lt;=599,"520-599",M435&lt;=649,"600-649",M435&lt;=699,"650-699",M435&lt;=749,"700-749",M435&gt;=750,"750+")</f>
        <v>750+</v>
      </c>
    </row>
    <row r="436" spans="1:14" x14ac:dyDescent="0.25">
      <c r="A436" t="s">
        <v>821</v>
      </c>
      <c r="B436" t="s">
        <v>822</v>
      </c>
      <c r="C436" s="1">
        <v>45419</v>
      </c>
      <c r="D436" t="s">
        <v>33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27</v>
      </c>
      <c r="K436">
        <v>0</v>
      </c>
      <c r="L436">
        <v>0</v>
      </c>
      <c r="M436">
        <v>813</v>
      </c>
      <c r="N436" t="str" cm="1">
        <f t="array" ref="N436">_xlfn.IFS(M436&lt;=599,"520-599",M436&lt;=649,"600-649",M436&lt;=699,"650-699",M436&lt;=749,"700-749",M436&gt;=750,"750+")</f>
        <v>750+</v>
      </c>
    </row>
    <row r="437" spans="1:14" x14ac:dyDescent="0.25">
      <c r="A437" t="s">
        <v>823</v>
      </c>
      <c r="B437" t="s">
        <v>824</v>
      </c>
      <c r="C437" s="1">
        <v>45592</v>
      </c>
      <c r="D437" t="s">
        <v>41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27</v>
      </c>
      <c r="K437">
        <v>0</v>
      </c>
      <c r="L437">
        <v>0</v>
      </c>
      <c r="M437">
        <v>637</v>
      </c>
      <c r="N437" t="str" cm="1">
        <f t="array" ref="N437">_xlfn.IFS(M437&lt;=599,"520-599",M437&lt;=649,"600-649",M437&lt;=699,"650-699",M437&lt;=749,"700-749",M437&gt;=750,"750+")</f>
        <v>600-649</v>
      </c>
    </row>
    <row r="438" spans="1:14" x14ac:dyDescent="0.25">
      <c r="A438" t="s">
        <v>825</v>
      </c>
      <c r="B438" t="s">
        <v>826</v>
      </c>
      <c r="C438" s="1">
        <v>45506</v>
      </c>
      <c r="D438" t="s">
        <v>21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27</v>
      </c>
      <c r="K438">
        <v>0</v>
      </c>
      <c r="L438">
        <v>0</v>
      </c>
      <c r="M438">
        <v>850</v>
      </c>
      <c r="N438" t="str" cm="1">
        <f t="array" ref="N438">_xlfn.IFS(M438&lt;=599,"520-599",M438&lt;=649,"600-649",M438&lt;=699,"650-699",M438&lt;=749,"700-749",M438&gt;=750,"750+")</f>
        <v>750+</v>
      </c>
    </row>
    <row r="439" spans="1:14" x14ac:dyDescent="0.25">
      <c r="A439" t="s">
        <v>827</v>
      </c>
      <c r="B439" t="s">
        <v>828</v>
      </c>
      <c r="C439" s="1">
        <v>45513</v>
      </c>
      <c r="D439" t="s">
        <v>33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15</v>
      </c>
      <c r="K439">
        <v>0</v>
      </c>
      <c r="L439">
        <v>0</v>
      </c>
      <c r="M439">
        <v>709</v>
      </c>
      <c r="N439" t="str" cm="1">
        <f t="array" ref="N439">_xlfn.IFS(M439&lt;=599,"520-599",M439&lt;=649,"600-649",M439&lt;=699,"650-699",M439&lt;=749,"700-749",M439&gt;=750,"750+")</f>
        <v>700-749</v>
      </c>
    </row>
    <row r="440" spans="1:14" x14ac:dyDescent="0.25">
      <c r="A440" t="s">
        <v>829</v>
      </c>
      <c r="B440" t="s">
        <v>830</v>
      </c>
      <c r="C440" s="1">
        <v>45377</v>
      </c>
      <c r="D440" t="s">
        <v>21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15</v>
      </c>
      <c r="K440">
        <v>0</v>
      </c>
      <c r="L440">
        <v>0</v>
      </c>
      <c r="M440">
        <v>817</v>
      </c>
      <c r="N440" t="str" cm="1">
        <f t="array" ref="N440">_xlfn.IFS(M440&lt;=599,"520-599",M440&lt;=649,"600-649",M440&lt;=699,"650-699",M440&lt;=749,"700-749",M440&gt;=750,"750+")</f>
        <v>750+</v>
      </c>
    </row>
    <row r="441" spans="1:14" x14ac:dyDescent="0.25">
      <c r="A441" t="s">
        <v>831</v>
      </c>
      <c r="B441" t="s">
        <v>832</v>
      </c>
      <c r="C441" s="1">
        <v>45815</v>
      </c>
      <c r="D441" t="s">
        <v>38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27</v>
      </c>
      <c r="K441">
        <v>0</v>
      </c>
      <c r="L441">
        <v>0</v>
      </c>
      <c r="M441">
        <v>544</v>
      </c>
      <c r="N441" t="str" cm="1">
        <f t="array" ref="N441">_xlfn.IFS(M441&lt;=599,"520-599",M441&lt;=649,"600-649",M441&lt;=699,"650-699",M441&lt;=749,"700-749",M441&gt;=750,"750+")</f>
        <v>520-599</v>
      </c>
    </row>
    <row r="442" spans="1:14" x14ac:dyDescent="0.25">
      <c r="A442" t="s">
        <v>833</v>
      </c>
      <c r="B442" t="s">
        <v>834</v>
      </c>
      <c r="C442" s="1">
        <v>45419</v>
      </c>
      <c r="D442" t="s">
        <v>17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27</v>
      </c>
      <c r="K442">
        <v>0</v>
      </c>
      <c r="L442">
        <v>0</v>
      </c>
      <c r="M442">
        <v>850</v>
      </c>
      <c r="N442" t="str" cm="1">
        <f t="array" ref="N442">_xlfn.IFS(M442&lt;=599,"520-599",M442&lt;=649,"600-649",M442&lt;=699,"650-699",M442&lt;=749,"700-749",M442&gt;=750,"750+")</f>
        <v>750+</v>
      </c>
    </row>
    <row r="443" spans="1:14" x14ac:dyDescent="0.25">
      <c r="A443" t="s">
        <v>835</v>
      </c>
      <c r="B443" t="s">
        <v>834</v>
      </c>
      <c r="C443" s="1">
        <v>45441</v>
      </c>
      <c r="D443" t="s">
        <v>30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27</v>
      </c>
      <c r="K443">
        <v>0</v>
      </c>
      <c r="L443">
        <v>0</v>
      </c>
      <c r="M443">
        <v>850</v>
      </c>
      <c r="N443" t="str" cm="1">
        <f t="array" ref="N443">_xlfn.IFS(M443&lt;=599,"520-599",M443&lt;=649,"600-649",M443&lt;=699,"650-699",M443&lt;=749,"700-749",M443&gt;=750,"750+")</f>
        <v>750+</v>
      </c>
    </row>
    <row r="444" spans="1:14" x14ac:dyDescent="0.25">
      <c r="A444" t="s">
        <v>836</v>
      </c>
      <c r="B444" t="s">
        <v>837</v>
      </c>
      <c r="C444" s="1">
        <v>45605</v>
      </c>
      <c r="D444" t="s">
        <v>38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27</v>
      </c>
      <c r="K444">
        <v>0</v>
      </c>
      <c r="L444">
        <v>0</v>
      </c>
      <c r="M444">
        <v>743</v>
      </c>
      <c r="N444" t="str" cm="1">
        <f t="array" ref="N444">_xlfn.IFS(M444&lt;=599,"520-599",M444&lt;=649,"600-649",M444&lt;=699,"650-699",M444&lt;=749,"700-749",M444&gt;=750,"750+")</f>
        <v>700-749</v>
      </c>
    </row>
    <row r="445" spans="1:14" x14ac:dyDescent="0.25">
      <c r="A445" t="s">
        <v>838</v>
      </c>
      <c r="B445" t="s">
        <v>839</v>
      </c>
      <c r="C445" s="1">
        <v>45341</v>
      </c>
      <c r="D445" t="s">
        <v>47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18</v>
      </c>
      <c r="K445">
        <v>129</v>
      </c>
      <c r="L445">
        <v>1</v>
      </c>
      <c r="M445">
        <v>580</v>
      </c>
      <c r="N445" t="str" cm="1">
        <f t="array" ref="N445">_xlfn.IFS(M445&lt;=599,"520-599",M445&lt;=649,"600-649",M445&lt;=699,"650-699",M445&lt;=749,"700-749",M445&gt;=750,"750+")</f>
        <v>520-599</v>
      </c>
    </row>
    <row r="446" spans="1:14" x14ac:dyDescent="0.25">
      <c r="A446" t="s">
        <v>840</v>
      </c>
      <c r="B446" t="s">
        <v>841</v>
      </c>
      <c r="C446" s="1">
        <v>45422</v>
      </c>
      <c r="D446" t="s">
        <v>21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18</v>
      </c>
      <c r="K446">
        <v>161</v>
      </c>
      <c r="L446">
        <v>1</v>
      </c>
      <c r="M446">
        <v>626</v>
      </c>
      <c r="N446" t="str" cm="1">
        <f t="array" ref="N446">_xlfn.IFS(M446&lt;=599,"520-599",M446&lt;=649,"600-649",M446&lt;=699,"650-699",M446&lt;=749,"700-749",M446&gt;=750,"750+")</f>
        <v>600-649</v>
      </c>
    </row>
    <row r="447" spans="1:14" x14ac:dyDescent="0.25">
      <c r="A447" t="s">
        <v>842</v>
      </c>
      <c r="B447" t="s">
        <v>843</v>
      </c>
      <c r="C447" s="1">
        <v>45671</v>
      </c>
      <c r="D447" t="s">
        <v>33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62</v>
      </c>
      <c r="K447">
        <v>0</v>
      </c>
      <c r="L447">
        <v>0</v>
      </c>
      <c r="M447">
        <v>543</v>
      </c>
      <c r="N447" t="str" cm="1">
        <f t="array" ref="N447">_xlfn.IFS(M447&lt;=599,"520-599",M447&lt;=649,"600-649",M447&lt;=699,"650-699",M447&lt;=749,"700-749",M447&gt;=750,"750+")</f>
        <v>520-599</v>
      </c>
    </row>
    <row r="448" spans="1:14" x14ac:dyDescent="0.25">
      <c r="A448" t="s">
        <v>844</v>
      </c>
      <c r="B448" t="s">
        <v>845</v>
      </c>
      <c r="C448" s="1">
        <v>45574</v>
      </c>
      <c r="D448" t="s">
        <v>33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15</v>
      </c>
      <c r="K448">
        <v>0</v>
      </c>
      <c r="L448">
        <v>0</v>
      </c>
      <c r="M448">
        <v>705</v>
      </c>
      <c r="N448" t="str" cm="1">
        <f t="array" ref="N448">_xlfn.IFS(M448&lt;=599,"520-599",M448&lt;=649,"600-649",M448&lt;=699,"650-699",M448&lt;=749,"700-749",M448&gt;=750,"750+")</f>
        <v>700-749</v>
      </c>
    </row>
    <row r="449" spans="1:14" x14ac:dyDescent="0.25">
      <c r="A449" t="s">
        <v>846</v>
      </c>
      <c r="B449" t="s">
        <v>847</v>
      </c>
      <c r="C449" s="1">
        <v>45612</v>
      </c>
      <c r="D449" t="s">
        <v>38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27</v>
      </c>
      <c r="K449">
        <v>0</v>
      </c>
      <c r="L449">
        <v>0</v>
      </c>
      <c r="M449">
        <v>815</v>
      </c>
      <c r="N449" t="str" cm="1">
        <f t="array" ref="N449">_xlfn.IFS(M449&lt;=599,"520-599",M449&lt;=649,"600-649",M449&lt;=699,"650-699",M449&lt;=749,"700-749",M449&gt;=750,"750+")</f>
        <v>750+</v>
      </c>
    </row>
    <row r="450" spans="1:14" x14ac:dyDescent="0.25">
      <c r="A450" t="s">
        <v>848</v>
      </c>
      <c r="B450" t="s">
        <v>847</v>
      </c>
      <c r="C450" s="1">
        <v>45584</v>
      </c>
      <c r="D450" t="s">
        <v>38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15</v>
      </c>
      <c r="K450">
        <v>0</v>
      </c>
      <c r="L450">
        <v>0</v>
      </c>
      <c r="M450">
        <v>815</v>
      </c>
      <c r="N450" t="str" cm="1">
        <f t="array" ref="N450">_xlfn.IFS(M450&lt;=599,"520-599",M450&lt;=649,"600-649",M450&lt;=699,"650-699",M450&lt;=749,"700-749",M450&gt;=750,"750+")</f>
        <v>750+</v>
      </c>
    </row>
    <row r="451" spans="1:14" x14ac:dyDescent="0.25">
      <c r="A451" t="s">
        <v>849</v>
      </c>
      <c r="B451" t="s">
        <v>850</v>
      </c>
      <c r="C451" s="1">
        <v>45819</v>
      </c>
      <c r="D451" t="s">
        <v>17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27</v>
      </c>
      <c r="K451">
        <v>0</v>
      </c>
      <c r="L451">
        <v>0</v>
      </c>
      <c r="M451">
        <v>716</v>
      </c>
      <c r="N451" t="str" cm="1">
        <f t="array" ref="N451">_xlfn.IFS(M451&lt;=599,"520-599",M451&lt;=649,"600-649",M451&lt;=699,"650-699",M451&lt;=749,"700-749",M451&gt;=750,"750+")</f>
        <v>700-749</v>
      </c>
    </row>
    <row r="452" spans="1:14" x14ac:dyDescent="0.25">
      <c r="A452" t="s">
        <v>851</v>
      </c>
      <c r="B452" t="s">
        <v>850</v>
      </c>
      <c r="C452" s="1">
        <v>45645</v>
      </c>
      <c r="D452" t="s">
        <v>36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15</v>
      </c>
      <c r="K452">
        <v>0</v>
      </c>
      <c r="L452">
        <v>0</v>
      </c>
      <c r="M452">
        <v>716</v>
      </c>
      <c r="N452" t="str" cm="1">
        <f t="array" ref="N452">_xlfn.IFS(M452&lt;=599,"520-599",M452&lt;=649,"600-649",M452&lt;=699,"650-699",M452&lt;=749,"700-749",M452&gt;=750,"750+")</f>
        <v>700-749</v>
      </c>
    </row>
    <row r="453" spans="1:14" x14ac:dyDescent="0.25">
      <c r="A453" t="s">
        <v>852</v>
      </c>
      <c r="B453" t="s">
        <v>853</v>
      </c>
      <c r="C453" s="1">
        <v>45828</v>
      </c>
      <c r="D453" t="s">
        <v>21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27</v>
      </c>
      <c r="K453">
        <v>0</v>
      </c>
      <c r="L453">
        <v>0</v>
      </c>
      <c r="M453">
        <v>585</v>
      </c>
      <c r="N453" t="str" cm="1">
        <f t="array" ref="N453">_xlfn.IFS(M453&lt;=599,"520-599",M453&lt;=649,"600-649",M453&lt;=699,"650-699",M453&lt;=749,"700-749",M453&gt;=750,"750+")</f>
        <v>520-599</v>
      </c>
    </row>
    <row r="454" spans="1:14" x14ac:dyDescent="0.25">
      <c r="A454" t="s">
        <v>854</v>
      </c>
      <c r="B454" t="s">
        <v>853</v>
      </c>
      <c r="C454" s="1">
        <v>45466</v>
      </c>
      <c r="D454" t="s">
        <v>33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18</v>
      </c>
      <c r="K454">
        <v>58</v>
      </c>
      <c r="L454">
        <v>1</v>
      </c>
      <c r="M454">
        <v>585</v>
      </c>
      <c r="N454" t="str" cm="1">
        <f t="array" ref="N454">_xlfn.IFS(M454&lt;=599,"520-599",M454&lt;=649,"600-649",M454&lt;=699,"650-699",M454&lt;=749,"700-749",M454&gt;=750,"750+")</f>
        <v>520-599</v>
      </c>
    </row>
    <row r="455" spans="1:14" x14ac:dyDescent="0.25">
      <c r="A455" t="s">
        <v>855</v>
      </c>
      <c r="B455" t="s">
        <v>856</v>
      </c>
      <c r="C455" s="1">
        <v>45786</v>
      </c>
      <c r="D455" t="s">
        <v>38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15</v>
      </c>
      <c r="K455">
        <v>0</v>
      </c>
      <c r="L455">
        <v>0</v>
      </c>
      <c r="M455">
        <v>725</v>
      </c>
      <c r="N455" t="str" cm="1">
        <f t="array" ref="N455">_xlfn.IFS(M455&lt;=599,"520-599",M455&lt;=649,"600-649",M455&lt;=699,"650-699",M455&lt;=749,"700-749",M455&gt;=750,"750+")</f>
        <v>700-749</v>
      </c>
    </row>
    <row r="456" spans="1:14" x14ac:dyDescent="0.25">
      <c r="A456" t="s">
        <v>857</v>
      </c>
      <c r="B456" t="s">
        <v>858</v>
      </c>
      <c r="C456" s="1">
        <v>45328</v>
      </c>
      <c r="D456" t="s">
        <v>38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62</v>
      </c>
      <c r="K456">
        <v>15</v>
      </c>
      <c r="L456">
        <v>0</v>
      </c>
      <c r="M456">
        <v>764</v>
      </c>
      <c r="N456" t="str" cm="1">
        <f t="array" ref="N456">_xlfn.IFS(M456&lt;=599,"520-599",M456&lt;=649,"600-649",M456&lt;=699,"650-699",M456&lt;=749,"700-749",M456&gt;=750,"750+")</f>
        <v>750+</v>
      </c>
    </row>
    <row r="457" spans="1:14" x14ac:dyDescent="0.25">
      <c r="A457" t="s">
        <v>859</v>
      </c>
      <c r="B457" t="s">
        <v>860</v>
      </c>
      <c r="C457" s="1">
        <v>45650</v>
      </c>
      <c r="D457" t="s">
        <v>41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27</v>
      </c>
      <c r="K457">
        <v>0</v>
      </c>
      <c r="L457">
        <v>0</v>
      </c>
      <c r="M457">
        <v>542</v>
      </c>
      <c r="N457" t="str" cm="1">
        <f t="array" ref="N457">_xlfn.IFS(M457&lt;=599,"520-599",M457&lt;=649,"600-649",M457&lt;=699,"650-699",M457&lt;=749,"700-749",M457&gt;=750,"750+")</f>
        <v>520-599</v>
      </c>
    </row>
    <row r="458" spans="1:14" x14ac:dyDescent="0.25">
      <c r="A458" t="s">
        <v>861</v>
      </c>
      <c r="B458" t="s">
        <v>862</v>
      </c>
      <c r="C458" s="1">
        <v>45791</v>
      </c>
      <c r="D458" t="s">
        <v>14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18</v>
      </c>
      <c r="K458">
        <v>94</v>
      </c>
      <c r="L458">
        <v>1</v>
      </c>
      <c r="M458">
        <v>844</v>
      </c>
      <c r="N458" t="str" cm="1">
        <f t="array" ref="N458">_xlfn.IFS(M458&lt;=599,"520-599",M458&lt;=649,"600-649",M458&lt;=699,"650-699",M458&lt;=749,"700-749",M458&gt;=750,"750+")</f>
        <v>750+</v>
      </c>
    </row>
    <row r="459" spans="1:14" x14ac:dyDescent="0.25">
      <c r="A459" t="s">
        <v>863</v>
      </c>
      <c r="B459" t="s">
        <v>864</v>
      </c>
      <c r="C459" s="1">
        <v>45567</v>
      </c>
      <c r="D459" t="s">
        <v>17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18</v>
      </c>
      <c r="K459">
        <v>142</v>
      </c>
      <c r="L459">
        <v>1</v>
      </c>
      <c r="M459">
        <v>532</v>
      </c>
      <c r="N459" t="str" cm="1">
        <f t="array" ref="N459">_xlfn.IFS(M459&lt;=599,"520-599",M459&lt;=649,"600-649",M459&lt;=699,"650-699",M459&lt;=749,"700-749",M459&gt;=750,"750+")</f>
        <v>520-599</v>
      </c>
    </row>
    <row r="460" spans="1:14" x14ac:dyDescent="0.25">
      <c r="A460" t="s">
        <v>865</v>
      </c>
      <c r="B460" t="s">
        <v>866</v>
      </c>
      <c r="C460" s="1">
        <v>45495</v>
      </c>
      <c r="D460" t="s">
        <v>14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27</v>
      </c>
      <c r="K460">
        <v>0</v>
      </c>
      <c r="L460">
        <v>0</v>
      </c>
      <c r="M460">
        <v>709</v>
      </c>
      <c r="N460" t="str" cm="1">
        <f t="array" ref="N460">_xlfn.IFS(M460&lt;=599,"520-599",M460&lt;=649,"600-649",M460&lt;=699,"650-699",M460&lt;=749,"700-749",M460&gt;=750,"750+")</f>
        <v>700-749</v>
      </c>
    </row>
    <row r="461" spans="1:14" x14ac:dyDescent="0.25">
      <c r="A461" t="s">
        <v>867</v>
      </c>
      <c r="B461" t="s">
        <v>868</v>
      </c>
      <c r="C461" s="1">
        <v>45564</v>
      </c>
      <c r="D461" t="s">
        <v>30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27</v>
      </c>
      <c r="K461">
        <v>0</v>
      </c>
      <c r="L461">
        <v>0</v>
      </c>
      <c r="M461">
        <v>840</v>
      </c>
      <c r="N461" t="str" cm="1">
        <f t="array" ref="N461">_xlfn.IFS(M461&lt;=599,"520-599",M461&lt;=649,"600-649",M461&lt;=699,"650-699",M461&lt;=749,"700-749",M461&gt;=750,"750+")</f>
        <v>750+</v>
      </c>
    </row>
    <row r="462" spans="1:14" x14ac:dyDescent="0.25">
      <c r="A462" t="s">
        <v>869</v>
      </c>
      <c r="B462" t="s">
        <v>870</v>
      </c>
      <c r="C462" s="1">
        <v>45690</v>
      </c>
      <c r="D462" t="s">
        <v>33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62</v>
      </c>
      <c r="K462">
        <v>30</v>
      </c>
      <c r="L462">
        <v>0</v>
      </c>
      <c r="M462">
        <v>751</v>
      </c>
      <c r="N462" t="str" cm="1">
        <f t="array" ref="N462">_xlfn.IFS(M462&lt;=599,"520-599",M462&lt;=649,"600-649",M462&lt;=699,"650-699",M462&lt;=749,"700-749",M462&gt;=750,"750+")</f>
        <v>750+</v>
      </c>
    </row>
    <row r="463" spans="1:14" x14ac:dyDescent="0.25">
      <c r="A463" t="s">
        <v>871</v>
      </c>
      <c r="B463" t="s">
        <v>872</v>
      </c>
      <c r="C463" s="1">
        <v>45642</v>
      </c>
      <c r="D463" t="s">
        <v>30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18</v>
      </c>
      <c r="K463">
        <v>32</v>
      </c>
      <c r="L463">
        <v>1</v>
      </c>
      <c r="M463">
        <v>554</v>
      </c>
      <c r="N463" t="str" cm="1">
        <f t="array" ref="N463">_xlfn.IFS(M463&lt;=599,"520-599",M463&lt;=649,"600-649",M463&lt;=699,"650-699",M463&lt;=749,"700-749",M463&gt;=750,"750+")</f>
        <v>520-599</v>
      </c>
    </row>
    <row r="464" spans="1:14" x14ac:dyDescent="0.25">
      <c r="A464" t="s">
        <v>873</v>
      </c>
      <c r="B464" t="s">
        <v>874</v>
      </c>
      <c r="C464" s="1">
        <v>45448</v>
      </c>
      <c r="D464" t="s">
        <v>24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27</v>
      </c>
      <c r="K464">
        <v>0</v>
      </c>
      <c r="L464">
        <v>0</v>
      </c>
      <c r="M464">
        <v>560</v>
      </c>
      <c r="N464" t="str" cm="1">
        <f t="array" ref="N464">_xlfn.IFS(M464&lt;=599,"520-599",M464&lt;=649,"600-649",M464&lt;=699,"650-699",M464&lt;=749,"700-749",M464&gt;=750,"750+")</f>
        <v>520-599</v>
      </c>
    </row>
    <row r="465" spans="1:14" x14ac:dyDescent="0.25">
      <c r="A465" t="s">
        <v>875</v>
      </c>
      <c r="B465" t="s">
        <v>876</v>
      </c>
      <c r="C465" s="1">
        <v>45397</v>
      </c>
      <c r="D465" t="s">
        <v>24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27</v>
      </c>
      <c r="K465">
        <v>0</v>
      </c>
      <c r="L465">
        <v>0</v>
      </c>
      <c r="M465">
        <v>850</v>
      </c>
      <c r="N465" t="str" cm="1">
        <f t="array" ref="N465">_xlfn.IFS(M465&lt;=599,"520-599",M465&lt;=649,"600-649",M465&lt;=699,"650-699",M465&lt;=749,"700-749",M465&gt;=750,"750+")</f>
        <v>750+</v>
      </c>
    </row>
    <row r="466" spans="1:14" x14ac:dyDescent="0.25">
      <c r="A466" t="s">
        <v>877</v>
      </c>
      <c r="B466" t="s">
        <v>878</v>
      </c>
      <c r="C466" s="1">
        <v>45331</v>
      </c>
      <c r="D466" t="s">
        <v>47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18</v>
      </c>
      <c r="K466">
        <v>79</v>
      </c>
      <c r="L466">
        <v>1</v>
      </c>
      <c r="M466">
        <v>593</v>
      </c>
      <c r="N466" t="str" cm="1">
        <f t="array" ref="N466">_xlfn.IFS(M466&lt;=599,"520-599",M466&lt;=649,"600-649",M466&lt;=699,"650-699",M466&lt;=749,"700-749",M466&gt;=750,"750+")</f>
        <v>520-599</v>
      </c>
    </row>
    <row r="467" spans="1:14" x14ac:dyDescent="0.25">
      <c r="A467" t="s">
        <v>879</v>
      </c>
      <c r="B467" t="s">
        <v>878</v>
      </c>
      <c r="C467" s="1">
        <v>45681</v>
      </c>
      <c r="D467" t="s">
        <v>33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18</v>
      </c>
      <c r="K467">
        <v>108</v>
      </c>
      <c r="L467">
        <v>1</v>
      </c>
      <c r="M467">
        <v>593</v>
      </c>
      <c r="N467" t="str" cm="1">
        <f t="array" ref="N467">_xlfn.IFS(M467&lt;=599,"520-599",M467&lt;=649,"600-649",M467&lt;=699,"650-699",M467&lt;=749,"700-749",M467&gt;=750,"750+")</f>
        <v>520-599</v>
      </c>
    </row>
    <row r="468" spans="1:14" x14ac:dyDescent="0.25">
      <c r="A468" t="s">
        <v>880</v>
      </c>
      <c r="B468" t="s">
        <v>881</v>
      </c>
      <c r="C468" s="1">
        <v>45344</v>
      </c>
      <c r="D468" t="s">
        <v>38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27</v>
      </c>
      <c r="K468">
        <v>0</v>
      </c>
      <c r="L468">
        <v>0</v>
      </c>
      <c r="M468">
        <v>792</v>
      </c>
      <c r="N468" t="str" cm="1">
        <f t="array" ref="N468">_xlfn.IFS(M468&lt;=599,"520-599",M468&lt;=649,"600-649",M468&lt;=699,"650-699",M468&lt;=749,"700-749",M468&gt;=750,"750+")</f>
        <v>750+</v>
      </c>
    </row>
    <row r="469" spans="1:14" x14ac:dyDescent="0.25">
      <c r="A469" t="s">
        <v>882</v>
      </c>
      <c r="B469" t="s">
        <v>883</v>
      </c>
      <c r="C469" s="1">
        <v>45345</v>
      </c>
      <c r="D469" t="s">
        <v>17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27</v>
      </c>
      <c r="K469">
        <v>0</v>
      </c>
      <c r="L469">
        <v>0</v>
      </c>
      <c r="M469">
        <v>660</v>
      </c>
      <c r="N469" t="str" cm="1">
        <f t="array" ref="N469">_xlfn.IFS(M469&lt;=599,"520-599",M469&lt;=649,"600-649",M469&lt;=699,"650-699",M469&lt;=749,"700-749",M469&gt;=750,"750+")</f>
        <v>650-699</v>
      </c>
    </row>
    <row r="470" spans="1:14" x14ac:dyDescent="0.25">
      <c r="A470" t="s">
        <v>884</v>
      </c>
      <c r="B470" t="s">
        <v>885</v>
      </c>
      <c r="C470" s="1">
        <v>45603</v>
      </c>
      <c r="D470" t="s">
        <v>47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18</v>
      </c>
      <c r="K470">
        <v>33</v>
      </c>
      <c r="L470">
        <v>1</v>
      </c>
      <c r="M470">
        <v>568</v>
      </c>
      <c r="N470" t="str" cm="1">
        <f t="array" ref="N470">_xlfn.IFS(M470&lt;=599,"520-599",M470&lt;=649,"600-649",M470&lt;=699,"650-699",M470&lt;=749,"700-749",M470&gt;=750,"750+")</f>
        <v>520-599</v>
      </c>
    </row>
    <row r="471" spans="1:14" x14ac:dyDescent="0.25">
      <c r="A471" t="s">
        <v>886</v>
      </c>
      <c r="B471" t="s">
        <v>887</v>
      </c>
      <c r="C471" s="1">
        <v>45833</v>
      </c>
      <c r="D471" t="s">
        <v>33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27</v>
      </c>
      <c r="K471">
        <v>0</v>
      </c>
      <c r="L471">
        <v>0</v>
      </c>
      <c r="M471">
        <v>555</v>
      </c>
      <c r="N471" t="str" cm="1">
        <f t="array" ref="N471">_xlfn.IFS(M471&lt;=599,"520-599",M471&lt;=649,"600-649",M471&lt;=699,"650-699",M471&lt;=749,"700-749",M471&gt;=750,"750+")</f>
        <v>520-599</v>
      </c>
    </row>
    <row r="472" spans="1:14" x14ac:dyDescent="0.25">
      <c r="A472" t="s">
        <v>888</v>
      </c>
      <c r="B472" t="s">
        <v>889</v>
      </c>
      <c r="C472" s="1">
        <v>45487</v>
      </c>
      <c r="D472" t="s">
        <v>36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18</v>
      </c>
      <c r="K472">
        <v>144</v>
      </c>
      <c r="L472">
        <v>1</v>
      </c>
      <c r="M472">
        <v>600</v>
      </c>
      <c r="N472" t="str" cm="1">
        <f t="array" ref="N472">_xlfn.IFS(M472&lt;=599,"520-599",M472&lt;=649,"600-649",M472&lt;=699,"650-699",M472&lt;=749,"700-749",M472&gt;=750,"750+")</f>
        <v>600-649</v>
      </c>
    </row>
    <row r="473" spans="1:14" x14ac:dyDescent="0.25">
      <c r="A473" t="s">
        <v>890</v>
      </c>
      <c r="B473" t="s">
        <v>891</v>
      </c>
      <c r="C473" s="1">
        <v>45498</v>
      </c>
      <c r="D473" t="s">
        <v>36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27</v>
      </c>
      <c r="K473">
        <v>0</v>
      </c>
      <c r="L473">
        <v>0</v>
      </c>
      <c r="M473">
        <v>730</v>
      </c>
      <c r="N473" t="str" cm="1">
        <f t="array" ref="N473">_xlfn.IFS(M473&lt;=599,"520-599",M473&lt;=649,"600-649",M473&lt;=699,"650-699",M473&lt;=749,"700-749",M473&gt;=750,"750+")</f>
        <v>700-749</v>
      </c>
    </row>
    <row r="474" spans="1:14" x14ac:dyDescent="0.25">
      <c r="A474" t="s">
        <v>892</v>
      </c>
      <c r="B474" t="s">
        <v>891</v>
      </c>
      <c r="C474" s="1">
        <v>45666</v>
      </c>
      <c r="D474" t="s">
        <v>17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15</v>
      </c>
      <c r="K474">
        <v>0</v>
      </c>
      <c r="L474">
        <v>0</v>
      </c>
      <c r="M474">
        <v>730</v>
      </c>
      <c r="N474" t="str" cm="1">
        <f t="array" ref="N474">_xlfn.IFS(M474&lt;=599,"520-599",M474&lt;=649,"600-649",M474&lt;=699,"650-699",M474&lt;=749,"700-749",M474&gt;=750,"750+")</f>
        <v>700-749</v>
      </c>
    </row>
    <row r="475" spans="1:14" x14ac:dyDescent="0.25">
      <c r="A475" t="s">
        <v>893</v>
      </c>
      <c r="B475" t="s">
        <v>894</v>
      </c>
      <c r="C475" s="1">
        <v>45572</v>
      </c>
      <c r="D475" t="s">
        <v>17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27</v>
      </c>
      <c r="K475">
        <v>0</v>
      </c>
      <c r="L475">
        <v>0</v>
      </c>
      <c r="M475">
        <v>592</v>
      </c>
      <c r="N475" t="str" cm="1">
        <f t="array" ref="N475">_xlfn.IFS(M475&lt;=599,"520-599",M475&lt;=649,"600-649",M475&lt;=699,"650-699",M475&lt;=749,"700-749",M475&gt;=750,"750+")</f>
        <v>520-599</v>
      </c>
    </row>
    <row r="476" spans="1:14" x14ac:dyDescent="0.25">
      <c r="A476" t="s">
        <v>895</v>
      </c>
      <c r="B476" t="s">
        <v>896</v>
      </c>
      <c r="C476" s="1">
        <v>45368</v>
      </c>
      <c r="D476" t="s">
        <v>38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27</v>
      </c>
      <c r="K476">
        <v>0</v>
      </c>
      <c r="L476">
        <v>0</v>
      </c>
      <c r="M476">
        <v>754</v>
      </c>
      <c r="N476" t="str" cm="1">
        <f t="array" ref="N476">_xlfn.IFS(M476&lt;=599,"520-599",M476&lt;=649,"600-649",M476&lt;=699,"650-699",M476&lt;=749,"700-749",M476&gt;=750,"750+")</f>
        <v>750+</v>
      </c>
    </row>
    <row r="477" spans="1:14" x14ac:dyDescent="0.25">
      <c r="A477" t="s">
        <v>897</v>
      </c>
      <c r="B477" t="s">
        <v>898</v>
      </c>
      <c r="C477" s="1">
        <v>45515</v>
      </c>
      <c r="D477" t="s">
        <v>17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15</v>
      </c>
      <c r="K477">
        <v>0</v>
      </c>
      <c r="L477">
        <v>0</v>
      </c>
      <c r="M477">
        <v>797</v>
      </c>
      <c r="N477" t="str" cm="1">
        <f t="array" ref="N477">_xlfn.IFS(M477&lt;=599,"520-599",M477&lt;=649,"600-649",M477&lt;=699,"650-699",M477&lt;=749,"700-749",M477&gt;=750,"750+")</f>
        <v>750+</v>
      </c>
    </row>
    <row r="478" spans="1:14" x14ac:dyDescent="0.25">
      <c r="A478" t="s">
        <v>899</v>
      </c>
      <c r="B478" t="s">
        <v>900</v>
      </c>
      <c r="C478" s="1">
        <v>45595</v>
      </c>
      <c r="D478" t="s">
        <v>21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27</v>
      </c>
      <c r="K478">
        <v>0</v>
      </c>
      <c r="L478">
        <v>0</v>
      </c>
      <c r="M478">
        <v>830</v>
      </c>
      <c r="N478" t="str" cm="1">
        <f t="array" ref="N478">_xlfn.IFS(M478&lt;=599,"520-599",M478&lt;=649,"600-649",M478&lt;=699,"650-699",M478&lt;=749,"700-749",M478&gt;=750,"750+")</f>
        <v>750+</v>
      </c>
    </row>
    <row r="479" spans="1:14" x14ac:dyDescent="0.25">
      <c r="A479" t="s">
        <v>901</v>
      </c>
      <c r="B479" t="s">
        <v>902</v>
      </c>
      <c r="C479" s="1">
        <v>45568</v>
      </c>
      <c r="D479" t="s">
        <v>38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15</v>
      </c>
      <c r="K479">
        <v>0</v>
      </c>
      <c r="L479">
        <v>0</v>
      </c>
      <c r="M479">
        <v>672</v>
      </c>
      <c r="N479" t="str" cm="1">
        <f t="array" ref="N479">_xlfn.IFS(M479&lt;=599,"520-599",M479&lt;=649,"600-649",M479&lt;=699,"650-699",M479&lt;=749,"700-749",M479&gt;=750,"750+")</f>
        <v>650-699</v>
      </c>
    </row>
    <row r="480" spans="1:14" x14ac:dyDescent="0.25">
      <c r="A480" t="s">
        <v>903</v>
      </c>
      <c r="B480" t="s">
        <v>904</v>
      </c>
      <c r="C480" s="1">
        <v>45669</v>
      </c>
      <c r="D480" t="s">
        <v>38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62</v>
      </c>
      <c r="K480">
        <v>15</v>
      </c>
      <c r="L480">
        <v>0</v>
      </c>
      <c r="M480">
        <v>605</v>
      </c>
      <c r="N480" t="str" cm="1">
        <f t="array" ref="N480">_xlfn.IFS(M480&lt;=599,"520-599",M480&lt;=649,"600-649",M480&lt;=699,"650-699",M480&lt;=749,"700-749",M480&gt;=750,"750+")</f>
        <v>600-649</v>
      </c>
    </row>
    <row r="481" spans="1:14" x14ac:dyDescent="0.25">
      <c r="A481" t="s">
        <v>905</v>
      </c>
      <c r="B481" t="s">
        <v>904</v>
      </c>
      <c r="C481" s="1">
        <v>45350</v>
      </c>
      <c r="D481" t="s">
        <v>24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27</v>
      </c>
      <c r="K481">
        <v>0</v>
      </c>
      <c r="L481">
        <v>0</v>
      </c>
      <c r="M481">
        <v>605</v>
      </c>
      <c r="N481" t="str" cm="1">
        <f t="array" ref="N481">_xlfn.IFS(M481&lt;=599,"520-599",M481&lt;=649,"600-649",M481&lt;=699,"650-699",M481&lt;=749,"700-749",M481&gt;=750,"750+")</f>
        <v>600-649</v>
      </c>
    </row>
    <row r="482" spans="1:14" x14ac:dyDescent="0.25">
      <c r="A482" t="s">
        <v>906</v>
      </c>
      <c r="B482" t="s">
        <v>907</v>
      </c>
      <c r="C482" s="1">
        <v>45400</v>
      </c>
      <c r="D482" t="s">
        <v>24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15</v>
      </c>
      <c r="K482">
        <v>0</v>
      </c>
      <c r="L482">
        <v>0</v>
      </c>
      <c r="M482">
        <v>789</v>
      </c>
      <c r="N482" t="str" cm="1">
        <f t="array" ref="N482">_xlfn.IFS(M482&lt;=599,"520-599",M482&lt;=649,"600-649",M482&lt;=699,"650-699",M482&lt;=749,"700-749",M482&gt;=750,"750+")</f>
        <v>750+</v>
      </c>
    </row>
    <row r="483" spans="1:14" x14ac:dyDescent="0.25">
      <c r="A483" t="s">
        <v>908</v>
      </c>
      <c r="B483" t="s">
        <v>909</v>
      </c>
      <c r="C483" s="1">
        <v>45500</v>
      </c>
      <c r="D483" t="s">
        <v>47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15</v>
      </c>
      <c r="K483">
        <v>0</v>
      </c>
      <c r="L483">
        <v>0</v>
      </c>
      <c r="M483">
        <v>780</v>
      </c>
      <c r="N483" t="str" cm="1">
        <f t="array" ref="N483">_xlfn.IFS(M483&lt;=599,"520-599",M483&lt;=649,"600-649",M483&lt;=699,"650-699",M483&lt;=749,"700-749",M483&gt;=750,"750+")</f>
        <v>750+</v>
      </c>
    </row>
    <row r="484" spans="1:14" x14ac:dyDescent="0.25">
      <c r="A484" t="s">
        <v>910</v>
      </c>
      <c r="B484" t="s">
        <v>911</v>
      </c>
      <c r="C484" s="1">
        <v>45387</v>
      </c>
      <c r="D484" t="s">
        <v>38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18</v>
      </c>
      <c r="K484">
        <v>147</v>
      </c>
      <c r="L484">
        <v>1</v>
      </c>
      <c r="M484">
        <v>571</v>
      </c>
      <c r="N484" t="str" cm="1">
        <f t="array" ref="N484">_xlfn.IFS(M484&lt;=599,"520-599",M484&lt;=649,"600-649",M484&lt;=699,"650-699",M484&lt;=749,"700-749",M484&gt;=750,"750+")</f>
        <v>520-599</v>
      </c>
    </row>
    <row r="485" spans="1:14" x14ac:dyDescent="0.25">
      <c r="A485" t="s">
        <v>912</v>
      </c>
      <c r="B485" t="s">
        <v>913</v>
      </c>
      <c r="C485" s="1">
        <v>45313</v>
      </c>
      <c r="D485" t="s">
        <v>33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62</v>
      </c>
      <c r="K485">
        <v>15</v>
      </c>
      <c r="L485">
        <v>0</v>
      </c>
      <c r="M485">
        <v>721</v>
      </c>
      <c r="N485" t="str" cm="1">
        <f t="array" ref="N485">_xlfn.IFS(M485&lt;=599,"520-599",M485&lt;=649,"600-649",M485&lt;=699,"650-699",M485&lt;=749,"700-749",M485&gt;=750,"750+")</f>
        <v>700-749</v>
      </c>
    </row>
    <row r="486" spans="1:14" x14ac:dyDescent="0.25">
      <c r="A486" t="s">
        <v>914</v>
      </c>
      <c r="B486" t="s">
        <v>915</v>
      </c>
      <c r="C486" s="1">
        <v>45704</v>
      </c>
      <c r="D486" t="s">
        <v>38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15</v>
      </c>
      <c r="K486">
        <v>0</v>
      </c>
      <c r="L486">
        <v>0</v>
      </c>
      <c r="M486">
        <v>766</v>
      </c>
      <c r="N486" t="str" cm="1">
        <f t="array" ref="N486">_xlfn.IFS(M486&lt;=599,"520-599",M486&lt;=649,"600-649",M486&lt;=699,"650-699",M486&lt;=749,"700-749",M486&gt;=750,"750+")</f>
        <v>750+</v>
      </c>
    </row>
    <row r="487" spans="1:14" x14ac:dyDescent="0.25">
      <c r="A487" t="s">
        <v>916</v>
      </c>
      <c r="B487" t="s">
        <v>917</v>
      </c>
      <c r="C487" s="1">
        <v>45336</v>
      </c>
      <c r="D487" t="s">
        <v>47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18</v>
      </c>
      <c r="K487">
        <v>51</v>
      </c>
      <c r="L487">
        <v>1</v>
      </c>
      <c r="M487">
        <v>604</v>
      </c>
      <c r="N487" t="str" cm="1">
        <f t="array" ref="N487">_xlfn.IFS(M487&lt;=599,"520-599",M487&lt;=649,"600-649",M487&lt;=699,"650-699",M487&lt;=749,"700-749",M487&gt;=750,"750+")</f>
        <v>600-649</v>
      </c>
    </row>
    <row r="488" spans="1:14" x14ac:dyDescent="0.25">
      <c r="A488" t="s">
        <v>918</v>
      </c>
      <c r="B488" t="s">
        <v>917</v>
      </c>
      <c r="C488" s="1">
        <v>45301</v>
      </c>
      <c r="D488" t="s">
        <v>24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15</v>
      </c>
      <c r="K488">
        <v>0</v>
      </c>
      <c r="L488">
        <v>0</v>
      </c>
      <c r="M488">
        <v>604</v>
      </c>
      <c r="N488" t="str" cm="1">
        <f t="array" ref="N488">_xlfn.IFS(M488&lt;=599,"520-599",M488&lt;=649,"600-649",M488&lt;=699,"650-699",M488&lt;=749,"700-749",M488&gt;=750,"750+")</f>
        <v>600-649</v>
      </c>
    </row>
    <row r="489" spans="1:14" x14ac:dyDescent="0.25">
      <c r="A489" t="s">
        <v>919</v>
      </c>
      <c r="B489" t="s">
        <v>920</v>
      </c>
      <c r="C489" s="1">
        <v>45459</v>
      </c>
      <c r="D489" t="s">
        <v>36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18</v>
      </c>
      <c r="K489">
        <v>152</v>
      </c>
      <c r="L489">
        <v>1</v>
      </c>
      <c r="M489">
        <v>591</v>
      </c>
      <c r="N489" t="str" cm="1">
        <f t="array" ref="N489">_xlfn.IFS(M489&lt;=599,"520-599",M489&lt;=649,"600-649",M489&lt;=699,"650-699",M489&lt;=749,"700-749",M489&gt;=750,"750+")</f>
        <v>520-599</v>
      </c>
    </row>
    <row r="490" spans="1:14" x14ac:dyDescent="0.25">
      <c r="A490" t="s">
        <v>921</v>
      </c>
      <c r="B490" t="s">
        <v>922</v>
      </c>
      <c r="C490" s="1">
        <v>45337</v>
      </c>
      <c r="D490" t="s">
        <v>41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18</v>
      </c>
      <c r="K490">
        <v>105</v>
      </c>
      <c r="L490">
        <v>1</v>
      </c>
      <c r="M490">
        <v>846</v>
      </c>
      <c r="N490" t="str" cm="1">
        <f t="array" ref="N490">_xlfn.IFS(M490&lt;=599,"520-599",M490&lt;=649,"600-649",M490&lt;=699,"650-699",M490&lt;=749,"700-749",M490&gt;=750,"750+")</f>
        <v>750+</v>
      </c>
    </row>
    <row r="491" spans="1:14" x14ac:dyDescent="0.25">
      <c r="A491" t="s">
        <v>923</v>
      </c>
      <c r="B491" t="s">
        <v>924</v>
      </c>
      <c r="C491" s="1">
        <v>45686</v>
      </c>
      <c r="D491" t="s">
        <v>17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18</v>
      </c>
      <c r="K491">
        <v>103</v>
      </c>
      <c r="L491">
        <v>1</v>
      </c>
      <c r="M491">
        <v>554</v>
      </c>
      <c r="N491" t="str" cm="1">
        <f t="array" ref="N491">_xlfn.IFS(M491&lt;=599,"520-599",M491&lt;=649,"600-649",M491&lt;=699,"650-699",M491&lt;=749,"700-749",M491&gt;=750,"750+")</f>
        <v>520-599</v>
      </c>
    </row>
    <row r="492" spans="1:14" x14ac:dyDescent="0.25">
      <c r="A492" t="s">
        <v>925</v>
      </c>
      <c r="B492" t="s">
        <v>926</v>
      </c>
      <c r="C492" s="1">
        <v>45404</v>
      </c>
      <c r="D492" t="s">
        <v>17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18</v>
      </c>
      <c r="K492">
        <v>102</v>
      </c>
      <c r="L492">
        <v>1</v>
      </c>
      <c r="M492">
        <v>593</v>
      </c>
      <c r="N492" t="str" cm="1">
        <f t="array" ref="N492">_xlfn.IFS(M492&lt;=599,"520-599",M492&lt;=649,"600-649",M492&lt;=699,"650-699",M492&lt;=749,"700-749",M492&gt;=750,"750+")</f>
        <v>520-599</v>
      </c>
    </row>
    <row r="493" spans="1:14" x14ac:dyDescent="0.25">
      <c r="A493" t="s">
        <v>927</v>
      </c>
      <c r="B493" t="s">
        <v>928</v>
      </c>
      <c r="C493" s="1">
        <v>45446</v>
      </c>
      <c r="D493" t="s">
        <v>47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18</v>
      </c>
      <c r="K493">
        <v>165</v>
      </c>
      <c r="L493">
        <v>1</v>
      </c>
      <c r="M493">
        <v>657</v>
      </c>
      <c r="N493" t="str" cm="1">
        <f t="array" ref="N493">_xlfn.IFS(M493&lt;=599,"520-599",M493&lt;=649,"600-649",M493&lt;=699,"650-699",M493&lt;=749,"700-749",M493&gt;=750,"750+")</f>
        <v>650-699</v>
      </c>
    </row>
    <row r="494" spans="1:14" x14ac:dyDescent="0.25">
      <c r="A494" t="s">
        <v>929</v>
      </c>
      <c r="B494" t="s">
        <v>930</v>
      </c>
      <c r="C494" s="1">
        <v>45585</v>
      </c>
      <c r="D494" t="s">
        <v>33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15</v>
      </c>
      <c r="K494">
        <v>0</v>
      </c>
      <c r="L494">
        <v>0</v>
      </c>
      <c r="M494">
        <v>787</v>
      </c>
      <c r="N494" t="str" cm="1">
        <f t="array" ref="N494">_xlfn.IFS(M494&lt;=599,"520-599",M494&lt;=649,"600-649",M494&lt;=699,"650-699",M494&lt;=749,"700-749",M494&gt;=750,"750+")</f>
        <v>750+</v>
      </c>
    </row>
    <row r="495" spans="1:14" x14ac:dyDescent="0.25">
      <c r="A495" t="s">
        <v>931</v>
      </c>
      <c r="B495" t="s">
        <v>932</v>
      </c>
      <c r="C495" s="1">
        <v>45444</v>
      </c>
      <c r="D495" t="s">
        <v>24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27</v>
      </c>
      <c r="K495">
        <v>0</v>
      </c>
      <c r="L495">
        <v>0</v>
      </c>
      <c r="M495">
        <v>688</v>
      </c>
      <c r="N495" t="str" cm="1">
        <f t="array" ref="N495">_xlfn.IFS(M495&lt;=599,"520-599",M495&lt;=649,"600-649",M495&lt;=699,"650-699",M495&lt;=749,"700-749",M495&gt;=750,"750+")</f>
        <v>650-699</v>
      </c>
    </row>
    <row r="496" spans="1:14" x14ac:dyDescent="0.25">
      <c r="A496" t="s">
        <v>933</v>
      </c>
      <c r="B496" t="s">
        <v>934</v>
      </c>
      <c r="C496" s="1">
        <v>45577</v>
      </c>
      <c r="D496" t="s">
        <v>14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18</v>
      </c>
      <c r="K496">
        <v>112</v>
      </c>
      <c r="L496">
        <v>1</v>
      </c>
      <c r="M496">
        <v>594</v>
      </c>
      <c r="N496" t="str" cm="1">
        <f t="array" ref="N496">_xlfn.IFS(M496&lt;=599,"520-599",M496&lt;=649,"600-649",M496&lt;=699,"650-699",M496&lt;=749,"700-749",M496&gt;=750,"750+")</f>
        <v>520-599</v>
      </c>
    </row>
    <row r="497" spans="1:14" x14ac:dyDescent="0.25">
      <c r="A497" t="s">
        <v>935</v>
      </c>
      <c r="B497" t="s">
        <v>936</v>
      </c>
      <c r="C497" s="1">
        <v>45715</v>
      </c>
      <c r="D497" t="s">
        <v>33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27</v>
      </c>
      <c r="K497">
        <v>0</v>
      </c>
      <c r="L497">
        <v>0</v>
      </c>
      <c r="M497">
        <v>686</v>
      </c>
      <c r="N497" t="str" cm="1">
        <f t="array" ref="N497">_xlfn.IFS(M497&lt;=599,"520-599",M497&lt;=649,"600-649",M497&lt;=699,"650-699",M497&lt;=749,"700-749",M497&gt;=750,"750+")</f>
        <v>650-699</v>
      </c>
    </row>
    <row r="498" spans="1:14" x14ac:dyDescent="0.25">
      <c r="A498" t="s">
        <v>937</v>
      </c>
      <c r="B498" t="s">
        <v>936</v>
      </c>
      <c r="C498" s="1">
        <v>45837</v>
      </c>
      <c r="D498" t="s">
        <v>38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27</v>
      </c>
      <c r="K498">
        <v>0</v>
      </c>
      <c r="L498">
        <v>0</v>
      </c>
      <c r="M498">
        <v>686</v>
      </c>
      <c r="N498" t="str" cm="1">
        <f t="array" ref="N498">_xlfn.IFS(M498&lt;=599,"520-599",M498&lt;=649,"600-649",M498&lt;=699,"650-699",M498&lt;=749,"700-749",M498&gt;=750,"750+")</f>
        <v>650-699</v>
      </c>
    </row>
    <row r="499" spans="1:14" x14ac:dyDescent="0.25">
      <c r="A499" t="s">
        <v>938</v>
      </c>
      <c r="B499" t="s">
        <v>939</v>
      </c>
      <c r="C499" s="1">
        <v>45532</v>
      </c>
      <c r="D499" t="s">
        <v>21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15</v>
      </c>
      <c r="K499">
        <v>0</v>
      </c>
      <c r="L499">
        <v>0</v>
      </c>
      <c r="M499">
        <v>622</v>
      </c>
      <c r="N499" t="str" cm="1">
        <f t="array" ref="N499">_xlfn.IFS(M499&lt;=599,"520-599",M499&lt;=649,"600-649",M499&lt;=699,"650-699",M499&lt;=749,"700-749",M499&gt;=750,"750+")</f>
        <v>600-649</v>
      </c>
    </row>
    <row r="500" spans="1:14" x14ac:dyDescent="0.25">
      <c r="A500" t="s">
        <v>940</v>
      </c>
      <c r="B500" t="s">
        <v>941</v>
      </c>
      <c r="C500" s="1">
        <v>45661</v>
      </c>
      <c r="D500" t="s">
        <v>14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62</v>
      </c>
      <c r="K500">
        <v>15</v>
      </c>
      <c r="L500">
        <v>0</v>
      </c>
      <c r="M500">
        <v>761</v>
      </c>
      <c r="N500" t="str" cm="1">
        <f t="array" ref="N500">_xlfn.IFS(M500&lt;=599,"520-599",M500&lt;=649,"600-649",M500&lt;=699,"650-699",M500&lt;=749,"700-749",M500&gt;=750,"750+")</f>
        <v>750+</v>
      </c>
    </row>
    <row r="501" spans="1:14" x14ac:dyDescent="0.25">
      <c r="A501" t="s">
        <v>942</v>
      </c>
      <c r="B501" t="s">
        <v>943</v>
      </c>
      <c r="C501" s="1">
        <v>45521</v>
      </c>
      <c r="D501" t="s">
        <v>33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18</v>
      </c>
      <c r="K501">
        <v>65</v>
      </c>
      <c r="L501">
        <v>1</v>
      </c>
      <c r="M501">
        <v>687</v>
      </c>
      <c r="N501" t="str" cm="1">
        <f t="array" ref="N501">_xlfn.IFS(M501&lt;=599,"520-599",M501&lt;=649,"600-649",M501&lt;=699,"650-699",M501&lt;=749,"700-749",M501&gt;=750,"750+")</f>
        <v>650-699</v>
      </c>
    </row>
    <row r="502" spans="1:14" x14ac:dyDescent="0.25">
      <c r="A502" t="s">
        <v>944</v>
      </c>
      <c r="B502" t="s">
        <v>945</v>
      </c>
      <c r="C502" s="1">
        <v>45400</v>
      </c>
      <c r="D502" t="s">
        <v>33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15</v>
      </c>
      <c r="K502">
        <v>0</v>
      </c>
      <c r="L502">
        <v>0</v>
      </c>
      <c r="M502">
        <v>648</v>
      </c>
      <c r="N502" t="str" cm="1">
        <f t="array" ref="N502">_xlfn.IFS(M502&lt;=599,"520-599",M502&lt;=649,"600-649",M502&lt;=699,"650-699",M502&lt;=749,"700-749",M502&gt;=750,"750+")</f>
        <v>600-649</v>
      </c>
    </row>
    <row r="503" spans="1:14" x14ac:dyDescent="0.25">
      <c r="A503" t="s">
        <v>946</v>
      </c>
      <c r="B503" t="s">
        <v>947</v>
      </c>
      <c r="C503" s="1">
        <v>45718</v>
      </c>
      <c r="D503" t="s">
        <v>41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15</v>
      </c>
      <c r="K503">
        <v>0</v>
      </c>
      <c r="L503">
        <v>0</v>
      </c>
      <c r="M503">
        <v>846</v>
      </c>
      <c r="N503" t="str" cm="1">
        <f t="array" ref="N503">_xlfn.IFS(M503&lt;=599,"520-599",M503&lt;=649,"600-649",M503&lt;=699,"650-699",M503&lt;=749,"700-749",M503&gt;=750,"750+")</f>
        <v>750+</v>
      </c>
    </row>
    <row r="504" spans="1:14" x14ac:dyDescent="0.25">
      <c r="A504" t="s">
        <v>948</v>
      </c>
      <c r="B504" t="s">
        <v>947</v>
      </c>
      <c r="C504" s="1">
        <v>45746</v>
      </c>
      <c r="D504" t="s">
        <v>21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27</v>
      </c>
      <c r="K504">
        <v>0</v>
      </c>
      <c r="L504">
        <v>0</v>
      </c>
      <c r="M504">
        <v>846</v>
      </c>
      <c r="N504" t="str" cm="1">
        <f t="array" ref="N504">_xlfn.IFS(M504&lt;=599,"520-599",M504&lt;=649,"600-649",M504&lt;=699,"650-699",M504&lt;=749,"700-749",M504&gt;=750,"750+")</f>
        <v>750+</v>
      </c>
    </row>
    <row r="505" spans="1:14" x14ac:dyDescent="0.25">
      <c r="A505" t="s">
        <v>949</v>
      </c>
      <c r="B505" t="s">
        <v>950</v>
      </c>
      <c r="C505" s="1">
        <v>45725</v>
      </c>
      <c r="D505" t="s">
        <v>41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62</v>
      </c>
      <c r="K505">
        <v>15</v>
      </c>
      <c r="L505">
        <v>0</v>
      </c>
      <c r="M505">
        <v>586</v>
      </c>
      <c r="N505" t="str" cm="1">
        <f t="array" ref="N505">_xlfn.IFS(M505&lt;=599,"520-599",M505&lt;=649,"600-649",M505&lt;=699,"650-699",M505&lt;=749,"700-749",M505&gt;=750,"750+")</f>
        <v>520-599</v>
      </c>
    </row>
    <row r="506" spans="1:14" x14ac:dyDescent="0.25">
      <c r="A506" t="s">
        <v>951</v>
      </c>
      <c r="B506" t="s">
        <v>952</v>
      </c>
      <c r="C506" s="1">
        <v>45570</v>
      </c>
      <c r="D506" t="s">
        <v>47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15</v>
      </c>
      <c r="K506">
        <v>0</v>
      </c>
      <c r="L506">
        <v>0</v>
      </c>
      <c r="M506">
        <v>619</v>
      </c>
      <c r="N506" t="str" cm="1">
        <f t="array" ref="N506">_xlfn.IFS(M506&lt;=599,"520-599",M506&lt;=649,"600-649",M506&lt;=699,"650-699",M506&lt;=749,"700-749",M506&gt;=750,"750+")</f>
        <v>600-649</v>
      </c>
    </row>
    <row r="507" spans="1:14" x14ac:dyDescent="0.25">
      <c r="A507" t="s">
        <v>953</v>
      </c>
      <c r="B507" t="s">
        <v>952</v>
      </c>
      <c r="C507" s="1">
        <v>45480</v>
      </c>
      <c r="D507" t="s">
        <v>33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62</v>
      </c>
      <c r="K507">
        <v>30</v>
      </c>
      <c r="L507">
        <v>0</v>
      </c>
      <c r="M507">
        <v>619</v>
      </c>
      <c r="N507" t="str" cm="1">
        <f t="array" ref="N507">_xlfn.IFS(M507&lt;=599,"520-599",M507&lt;=649,"600-649",M507&lt;=699,"650-699",M507&lt;=749,"700-749",M507&gt;=750,"750+")</f>
        <v>600-649</v>
      </c>
    </row>
    <row r="508" spans="1:14" x14ac:dyDescent="0.25">
      <c r="A508" t="s">
        <v>954</v>
      </c>
      <c r="B508" t="s">
        <v>955</v>
      </c>
      <c r="C508" s="1">
        <v>45460</v>
      </c>
      <c r="D508" t="s">
        <v>14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18</v>
      </c>
      <c r="K508">
        <v>125</v>
      </c>
      <c r="L508">
        <v>1</v>
      </c>
      <c r="M508">
        <v>828</v>
      </c>
      <c r="N508" t="str" cm="1">
        <f t="array" ref="N508">_xlfn.IFS(M508&lt;=599,"520-599",M508&lt;=649,"600-649",M508&lt;=699,"650-699",M508&lt;=749,"700-749",M508&gt;=750,"750+")</f>
        <v>750+</v>
      </c>
    </row>
    <row r="509" spans="1:14" x14ac:dyDescent="0.25">
      <c r="A509" t="s">
        <v>956</v>
      </c>
      <c r="B509" t="s">
        <v>957</v>
      </c>
      <c r="C509" s="1">
        <v>45635</v>
      </c>
      <c r="D509" t="s">
        <v>38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18</v>
      </c>
      <c r="K509">
        <v>102</v>
      </c>
      <c r="L509">
        <v>1</v>
      </c>
      <c r="M509">
        <v>808</v>
      </c>
      <c r="N509" t="str" cm="1">
        <f t="array" ref="N509">_xlfn.IFS(M509&lt;=599,"520-599",M509&lt;=649,"600-649",M509&lt;=699,"650-699",M509&lt;=749,"700-749",M509&gt;=750,"750+")</f>
        <v>750+</v>
      </c>
    </row>
    <row r="510" spans="1:14" x14ac:dyDescent="0.25">
      <c r="A510" t="s">
        <v>958</v>
      </c>
      <c r="B510" t="s">
        <v>959</v>
      </c>
      <c r="C510" s="1">
        <v>45498</v>
      </c>
      <c r="D510" t="s">
        <v>36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27</v>
      </c>
      <c r="K510">
        <v>0</v>
      </c>
      <c r="L510">
        <v>0</v>
      </c>
      <c r="M510">
        <v>850</v>
      </c>
      <c r="N510" t="str" cm="1">
        <f t="array" ref="N510">_xlfn.IFS(M510&lt;=599,"520-599",M510&lt;=649,"600-649",M510&lt;=699,"650-699",M510&lt;=749,"700-749",M510&gt;=750,"750+")</f>
        <v>750+</v>
      </c>
    </row>
    <row r="511" spans="1:14" x14ac:dyDescent="0.25">
      <c r="A511" t="s">
        <v>960</v>
      </c>
      <c r="B511" t="s">
        <v>961</v>
      </c>
      <c r="C511" s="1">
        <v>45614</v>
      </c>
      <c r="D511" t="s">
        <v>47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18</v>
      </c>
      <c r="K511">
        <v>109</v>
      </c>
      <c r="L511">
        <v>1</v>
      </c>
      <c r="M511">
        <v>850</v>
      </c>
      <c r="N511" t="str" cm="1">
        <f t="array" ref="N511">_xlfn.IFS(M511&lt;=599,"520-599",M511&lt;=649,"600-649",M511&lt;=699,"650-699",M511&lt;=749,"700-749",M511&gt;=750,"750+")</f>
        <v>750+</v>
      </c>
    </row>
    <row r="512" spans="1:14" x14ac:dyDescent="0.25">
      <c r="A512" t="s">
        <v>962</v>
      </c>
      <c r="B512" t="s">
        <v>961</v>
      </c>
      <c r="C512" s="1">
        <v>45614</v>
      </c>
      <c r="D512" t="s">
        <v>41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15</v>
      </c>
      <c r="K512">
        <v>0</v>
      </c>
      <c r="L512">
        <v>0</v>
      </c>
      <c r="M512">
        <v>850</v>
      </c>
      <c r="N512" t="str" cm="1">
        <f t="array" ref="N512">_xlfn.IFS(M512&lt;=599,"520-599",M512&lt;=649,"600-649",M512&lt;=699,"650-699",M512&lt;=749,"700-749",M512&gt;=750,"750+")</f>
        <v>750+</v>
      </c>
    </row>
    <row r="513" spans="1:14" x14ac:dyDescent="0.25">
      <c r="A513" t="s">
        <v>963</v>
      </c>
      <c r="B513" t="s">
        <v>964</v>
      </c>
      <c r="C513" s="1">
        <v>45445</v>
      </c>
      <c r="D513" t="s">
        <v>36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18</v>
      </c>
      <c r="K513">
        <v>127</v>
      </c>
      <c r="L513">
        <v>1</v>
      </c>
      <c r="M513">
        <v>661</v>
      </c>
      <c r="N513" t="str" cm="1">
        <f t="array" ref="N513">_xlfn.IFS(M513&lt;=599,"520-599",M513&lt;=649,"600-649",M513&lt;=699,"650-699",M513&lt;=749,"700-749",M513&gt;=750,"750+")</f>
        <v>650-699</v>
      </c>
    </row>
    <row r="514" spans="1:14" x14ac:dyDescent="0.25">
      <c r="A514" t="s">
        <v>965</v>
      </c>
      <c r="B514" t="s">
        <v>966</v>
      </c>
      <c r="C514" s="1">
        <v>45387</v>
      </c>
      <c r="D514" t="s">
        <v>41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27</v>
      </c>
      <c r="K514">
        <v>0</v>
      </c>
      <c r="L514">
        <v>0</v>
      </c>
      <c r="M514">
        <v>686</v>
      </c>
      <c r="N514" t="str" cm="1">
        <f t="array" ref="N514">_xlfn.IFS(M514&lt;=599,"520-599",M514&lt;=649,"600-649",M514&lt;=699,"650-699",M514&lt;=749,"700-749",M514&gt;=750,"750+")</f>
        <v>650-699</v>
      </c>
    </row>
    <row r="515" spans="1:14" x14ac:dyDescent="0.25">
      <c r="A515" t="s">
        <v>967</v>
      </c>
      <c r="B515" t="s">
        <v>968</v>
      </c>
      <c r="C515" s="1">
        <v>45827</v>
      </c>
      <c r="D515" t="s">
        <v>33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15</v>
      </c>
      <c r="K515">
        <v>0</v>
      </c>
      <c r="L515">
        <v>0</v>
      </c>
      <c r="M515">
        <v>847</v>
      </c>
      <c r="N515" t="str" cm="1">
        <f t="array" ref="N515">_xlfn.IFS(M515&lt;=599,"520-599",M515&lt;=649,"600-649",M515&lt;=699,"650-699",M515&lt;=749,"700-749",M515&gt;=750,"750+")</f>
        <v>750+</v>
      </c>
    </row>
    <row r="516" spans="1:14" x14ac:dyDescent="0.25">
      <c r="A516" t="s">
        <v>969</v>
      </c>
      <c r="B516" t="s">
        <v>970</v>
      </c>
      <c r="C516" s="1">
        <v>45688</v>
      </c>
      <c r="D516" t="s">
        <v>30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18</v>
      </c>
      <c r="K516">
        <v>49</v>
      </c>
      <c r="L516">
        <v>1</v>
      </c>
      <c r="M516">
        <v>576</v>
      </c>
      <c r="N516" t="str" cm="1">
        <f t="array" ref="N516">_xlfn.IFS(M516&lt;=599,"520-599",M516&lt;=649,"600-649",M516&lt;=699,"650-699",M516&lt;=749,"700-749",M516&gt;=750,"750+")</f>
        <v>520-599</v>
      </c>
    </row>
    <row r="517" spans="1:14" x14ac:dyDescent="0.25">
      <c r="A517" t="s">
        <v>971</v>
      </c>
      <c r="B517" t="s">
        <v>972</v>
      </c>
      <c r="C517" s="1">
        <v>45608</v>
      </c>
      <c r="D517" t="s">
        <v>47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62</v>
      </c>
      <c r="K517">
        <v>30</v>
      </c>
      <c r="L517">
        <v>0</v>
      </c>
      <c r="M517">
        <v>641</v>
      </c>
      <c r="N517" t="str" cm="1">
        <f t="array" ref="N517">_xlfn.IFS(M517&lt;=599,"520-599",M517&lt;=649,"600-649",M517&lt;=699,"650-699",M517&lt;=749,"700-749",M517&gt;=750,"750+")</f>
        <v>600-649</v>
      </c>
    </row>
    <row r="518" spans="1:14" x14ac:dyDescent="0.25">
      <c r="A518" t="s">
        <v>973</v>
      </c>
      <c r="B518" t="s">
        <v>972</v>
      </c>
      <c r="C518" s="1">
        <v>45457</v>
      </c>
      <c r="D518" t="s">
        <v>36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18</v>
      </c>
      <c r="K518">
        <v>177</v>
      </c>
      <c r="L518">
        <v>1</v>
      </c>
      <c r="M518">
        <v>641</v>
      </c>
      <c r="N518" t="str" cm="1">
        <f t="array" ref="N518">_xlfn.IFS(M518&lt;=599,"520-599",M518&lt;=649,"600-649",M518&lt;=699,"650-699",M518&lt;=749,"700-749",M518&gt;=750,"750+")</f>
        <v>600-649</v>
      </c>
    </row>
    <row r="519" spans="1:14" x14ac:dyDescent="0.25">
      <c r="A519" t="s">
        <v>974</v>
      </c>
      <c r="B519" t="s">
        <v>975</v>
      </c>
      <c r="C519" s="1">
        <v>45776</v>
      </c>
      <c r="D519" t="s">
        <v>36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27</v>
      </c>
      <c r="K519">
        <v>0</v>
      </c>
      <c r="L519">
        <v>0</v>
      </c>
      <c r="M519">
        <v>846</v>
      </c>
      <c r="N519" t="str" cm="1">
        <f t="array" ref="N519">_xlfn.IFS(M519&lt;=599,"520-599",M519&lt;=649,"600-649",M519&lt;=699,"650-699",M519&lt;=749,"700-749",M519&gt;=750,"750+")</f>
        <v>750+</v>
      </c>
    </row>
    <row r="520" spans="1:14" x14ac:dyDescent="0.25">
      <c r="A520" t="s">
        <v>976</v>
      </c>
      <c r="B520" t="s">
        <v>977</v>
      </c>
      <c r="C520" s="1">
        <v>45702</v>
      </c>
      <c r="D520" t="s">
        <v>36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62</v>
      </c>
      <c r="K520">
        <v>0</v>
      </c>
      <c r="L520">
        <v>0</v>
      </c>
      <c r="M520">
        <v>704</v>
      </c>
      <c r="N520" t="str" cm="1">
        <f t="array" ref="N520">_xlfn.IFS(M520&lt;=599,"520-599",M520&lt;=649,"600-649",M520&lt;=699,"650-699",M520&lt;=749,"700-749",M520&gt;=750,"750+")</f>
        <v>700-749</v>
      </c>
    </row>
    <row r="521" spans="1:14" x14ac:dyDescent="0.25">
      <c r="A521" t="s">
        <v>978</v>
      </c>
      <c r="B521" t="s">
        <v>977</v>
      </c>
      <c r="C521" s="1">
        <v>45715</v>
      </c>
      <c r="D521" t="s">
        <v>14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15</v>
      </c>
      <c r="K521">
        <v>0</v>
      </c>
      <c r="L521">
        <v>0</v>
      </c>
      <c r="M521">
        <v>704</v>
      </c>
      <c r="N521" t="str" cm="1">
        <f t="array" ref="N521">_xlfn.IFS(M521&lt;=599,"520-599",M521&lt;=649,"600-649",M521&lt;=699,"650-699",M521&lt;=749,"700-749",M521&gt;=750,"750+")</f>
        <v>700-749</v>
      </c>
    </row>
    <row r="522" spans="1:14" x14ac:dyDescent="0.25">
      <c r="A522" t="s">
        <v>979</v>
      </c>
      <c r="B522" t="s">
        <v>980</v>
      </c>
      <c r="C522" s="1">
        <v>45300</v>
      </c>
      <c r="D522" t="s">
        <v>47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27</v>
      </c>
      <c r="K522">
        <v>0</v>
      </c>
      <c r="L522">
        <v>0</v>
      </c>
      <c r="M522">
        <v>725</v>
      </c>
      <c r="N522" t="str" cm="1">
        <f t="array" ref="N522">_xlfn.IFS(M522&lt;=599,"520-599",M522&lt;=649,"600-649",M522&lt;=699,"650-699",M522&lt;=749,"700-749",M522&gt;=750,"750+")</f>
        <v>700-749</v>
      </c>
    </row>
    <row r="523" spans="1:14" x14ac:dyDescent="0.25">
      <c r="A523" t="s">
        <v>981</v>
      </c>
      <c r="B523" t="s">
        <v>982</v>
      </c>
      <c r="C523" s="1">
        <v>45771</v>
      </c>
      <c r="D523" t="s">
        <v>36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62</v>
      </c>
      <c r="K523">
        <v>15</v>
      </c>
      <c r="L523">
        <v>0</v>
      </c>
      <c r="M523">
        <v>809</v>
      </c>
      <c r="N523" t="str" cm="1">
        <f t="array" ref="N523">_xlfn.IFS(M523&lt;=599,"520-599",M523&lt;=649,"600-649",M523&lt;=699,"650-699",M523&lt;=749,"700-749",M523&gt;=750,"750+")</f>
        <v>750+</v>
      </c>
    </row>
    <row r="524" spans="1:14" x14ac:dyDescent="0.25">
      <c r="A524" t="s">
        <v>983</v>
      </c>
      <c r="B524" t="s">
        <v>984</v>
      </c>
      <c r="C524" s="1">
        <v>45628</v>
      </c>
      <c r="D524" t="s">
        <v>36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62</v>
      </c>
      <c r="K524">
        <v>0</v>
      </c>
      <c r="L524">
        <v>0</v>
      </c>
      <c r="M524">
        <v>721</v>
      </c>
      <c r="N524" t="str" cm="1">
        <f t="array" ref="N524">_xlfn.IFS(M524&lt;=599,"520-599",M524&lt;=649,"600-649",M524&lt;=699,"650-699",M524&lt;=749,"700-749",M524&gt;=750,"750+")</f>
        <v>700-749</v>
      </c>
    </row>
    <row r="525" spans="1:14" x14ac:dyDescent="0.25">
      <c r="A525" t="s">
        <v>985</v>
      </c>
      <c r="B525" t="s">
        <v>986</v>
      </c>
      <c r="C525" s="1">
        <v>45773</v>
      </c>
      <c r="D525" t="s">
        <v>14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18</v>
      </c>
      <c r="K525">
        <v>84</v>
      </c>
      <c r="L525">
        <v>1</v>
      </c>
      <c r="M525">
        <v>617</v>
      </c>
      <c r="N525" t="str" cm="1">
        <f t="array" ref="N525">_xlfn.IFS(M525&lt;=599,"520-599",M525&lt;=649,"600-649",M525&lt;=699,"650-699",M525&lt;=749,"700-749",M525&gt;=750,"750+")</f>
        <v>600-649</v>
      </c>
    </row>
    <row r="526" spans="1:14" x14ac:dyDescent="0.25">
      <c r="A526" t="s">
        <v>987</v>
      </c>
      <c r="B526" t="s">
        <v>988</v>
      </c>
      <c r="C526" s="1">
        <v>45662</v>
      </c>
      <c r="D526" t="s">
        <v>41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62</v>
      </c>
      <c r="K526">
        <v>30</v>
      </c>
      <c r="L526">
        <v>0</v>
      </c>
      <c r="M526">
        <v>564</v>
      </c>
      <c r="N526" t="str" cm="1">
        <f t="array" ref="N526">_xlfn.IFS(M526&lt;=599,"520-599",M526&lt;=649,"600-649",M526&lt;=699,"650-699",M526&lt;=749,"700-749",M526&gt;=750,"750+")</f>
        <v>520-599</v>
      </c>
    </row>
    <row r="527" spans="1:14" x14ac:dyDescent="0.25">
      <c r="A527" t="s">
        <v>989</v>
      </c>
      <c r="B527" t="s">
        <v>990</v>
      </c>
      <c r="C527" s="1">
        <v>45472</v>
      </c>
      <c r="D527" t="s">
        <v>41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18</v>
      </c>
      <c r="K527">
        <v>47</v>
      </c>
      <c r="L527">
        <v>1</v>
      </c>
      <c r="M527">
        <v>842</v>
      </c>
      <c r="N527" t="str" cm="1">
        <f t="array" ref="N527">_xlfn.IFS(M527&lt;=599,"520-599",M527&lt;=649,"600-649",M527&lt;=699,"650-699",M527&lt;=749,"700-749",M527&gt;=750,"750+")</f>
        <v>750+</v>
      </c>
    </row>
    <row r="528" spans="1:14" x14ac:dyDescent="0.25">
      <c r="A528" t="s">
        <v>991</v>
      </c>
      <c r="B528" t="s">
        <v>992</v>
      </c>
      <c r="C528" s="1">
        <v>45557</v>
      </c>
      <c r="D528" t="s">
        <v>36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15</v>
      </c>
      <c r="K528">
        <v>0</v>
      </c>
      <c r="L528">
        <v>0</v>
      </c>
      <c r="M528">
        <v>711</v>
      </c>
      <c r="N528" t="str" cm="1">
        <f t="array" ref="N528">_xlfn.IFS(M528&lt;=599,"520-599",M528&lt;=649,"600-649",M528&lt;=699,"650-699",M528&lt;=749,"700-749",M528&gt;=750,"750+")</f>
        <v>700-749</v>
      </c>
    </row>
    <row r="529" spans="1:14" x14ac:dyDescent="0.25">
      <c r="A529" t="s">
        <v>993</v>
      </c>
      <c r="B529" t="s">
        <v>994</v>
      </c>
      <c r="C529" s="1">
        <v>45456</v>
      </c>
      <c r="D529" t="s">
        <v>24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15</v>
      </c>
      <c r="K529">
        <v>0</v>
      </c>
      <c r="L529">
        <v>0</v>
      </c>
      <c r="M529">
        <v>714</v>
      </c>
      <c r="N529" t="str" cm="1">
        <f t="array" ref="N529">_xlfn.IFS(M529&lt;=599,"520-599",M529&lt;=649,"600-649",M529&lt;=699,"650-699",M529&lt;=749,"700-749",M529&gt;=750,"750+")</f>
        <v>700-749</v>
      </c>
    </row>
    <row r="530" spans="1:14" x14ac:dyDescent="0.25">
      <c r="A530" t="s">
        <v>995</v>
      </c>
      <c r="B530" t="s">
        <v>996</v>
      </c>
      <c r="C530" s="1">
        <v>45440</v>
      </c>
      <c r="D530" t="s">
        <v>41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62</v>
      </c>
      <c r="K530">
        <v>30</v>
      </c>
      <c r="L530">
        <v>0</v>
      </c>
      <c r="M530">
        <v>850</v>
      </c>
      <c r="N530" t="str" cm="1">
        <f t="array" ref="N530">_xlfn.IFS(M530&lt;=599,"520-599",M530&lt;=649,"600-649",M530&lt;=699,"650-699",M530&lt;=749,"700-749",M530&gt;=750,"750+")</f>
        <v>750+</v>
      </c>
    </row>
    <row r="531" spans="1:14" x14ac:dyDescent="0.25">
      <c r="A531" t="s">
        <v>997</v>
      </c>
      <c r="B531" t="s">
        <v>998</v>
      </c>
      <c r="C531" s="1">
        <v>45616</v>
      </c>
      <c r="D531" t="s">
        <v>30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18</v>
      </c>
      <c r="K531">
        <v>134</v>
      </c>
      <c r="L531">
        <v>1</v>
      </c>
      <c r="M531">
        <v>568</v>
      </c>
      <c r="N531" t="str" cm="1">
        <f t="array" ref="N531">_xlfn.IFS(M531&lt;=599,"520-599",M531&lt;=649,"600-649",M531&lt;=699,"650-699",M531&lt;=749,"700-749",M531&gt;=750,"750+")</f>
        <v>520-599</v>
      </c>
    </row>
    <row r="532" spans="1:14" x14ac:dyDescent="0.25">
      <c r="A532" t="s">
        <v>999</v>
      </c>
      <c r="B532" t="s">
        <v>1000</v>
      </c>
      <c r="C532" s="1">
        <v>45391</v>
      </c>
      <c r="D532" t="s">
        <v>41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18</v>
      </c>
      <c r="K532">
        <v>78</v>
      </c>
      <c r="L532">
        <v>1</v>
      </c>
      <c r="M532">
        <v>663</v>
      </c>
      <c r="N532" t="str" cm="1">
        <f t="array" ref="N532">_xlfn.IFS(M532&lt;=599,"520-599",M532&lt;=649,"600-649",M532&lt;=699,"650-699",M532&lt;=749,"700-749",M532&gt;=750,"750+")</f>
        <v>650-699</v>
      </c>
    </row>
    <row r="533" spans="1:14" x14ac:dyDescent="0.25">
      <c r="A533" t="s">
        <v>1001</v>
      </c>
      <c r="B533" t="s">
        <v>1002</v>
      </c>
      <c r="C533" s="1">
        <v>45487</v>
      </c>
      <c r="D533" t="s">
        <v>21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27</v>
      </c>
      <c r="K533">
        <v>0</v>
      </c>
      <c r="L533">
        <v>0</v>
      </c>
      <c r="M533">
        <v>683</v>
      </c>
      <c r="N533" t="str" cm="1">
        <f t="array" ref="N533">_xlfn.IFS(M533&lt;=599,"520-599",M533&lt;=649,"600-649",M533&lt;=699,"650-699",M533&lt;=749,"700-749",M533&gt;=750,"750+")</f>
        <v>650-699</v>
      </c>
    </row>
    <row r="534" spans="1:14" x14ac:dyDescent="0.25">
      <c r="A534" t="s">
        <v>1003</v>
      </c>
      <c r="B534" t="s">
        <v>1004</v>
      </c>
      <c r="C534" s="1">
        <v>45758</v>
      </c>
      <c r="D534" t="s">
        <v>41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15</v>
      </c>
      <c r="K534">
        <v>0</v>
      </c>
      <c r="L534">
        <v>0</v>
      </c>
      <c r="M534">
        <v>850</v>
      </c>
      <c r="N534" t="str" cm="1">
        <f t="array" ref="N534">_xlfn.IFS(M534&lt;=599,"520-599",M534&lt;=649,"600-649",M534&lt;=699,"650-699",M534&lt;=749,"700-749",M534&gt;=750,"750+")</f>
        <v>750+</v>
      </c>
    </row>
    <row r="535" spans="1:14" x14ac:dyDescent="0.25">
      <c r="A535" t="s">
        <v>1005</v>
      </c>
      <c r="B535" t="s">
        <v>1004</v>
      </c>
      <c r="C535" s="1">
        <v>45761</v>
      </c>
      <c r="D535" t="s">
        <v>17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27</v>
      </c>
      <c r="K535">
        <v>0</v>
      </c>
      <c r="L535">
        <v>0</v>
      </c>
      <c r="M535">
        <v>850</v>
      </c>
      <c r="N535" t="str" cm="1">
        <f t="array" ref="N535">_xlfn.IFS(M535&lt;=599,"520-599",M535&lt;=649,"600-649",M535&lt;=699,"650-699",M535&lt;=749,"700-749",M535&gt;=750,"750+")</f>
        <v>750+</v>
      </c>
    </row>
    <row r="536" spans="1:14" x14ac:dyDescent="0.25">
      <c r="A536" t="s">
        <v>1006</v>
      </c>
      <c r="B536" t="s">
        <v>1007</v>
      </c>
      <c r="C536" s="1">
        <v>45393</v>
      </c>
      <c r="D536" t="s">
        <v>17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27</v>
      </c>
      <c r="K536">
        <v>0</v>
      </c>
      <c r="L536">
        <v>0</v>
      </c>
      <c r="M536">
        <v>797</v>
      </c>
      <c r="N536" t="str" cm="1">
        <f t="array" ref="N536">_xlfn.IFS(M536&lt;=599,"520-599",M536&lt;=649,"600-649",M536&lt;=699,"650-699",M536&lt;=749,"700-749",M536&gt;=750,"750+")</f>
        <v>750+</v>
      </c>
    </row>
    <row r="537" spans="1:14" x14ac:dyDescent="0.25">
      <c r="A537" t="s">
        <v>1008</v>
      </c>
      <c r="B537" t="s">
        <v>1009</v>
      </c>
      <c r="C537" s="1">
        <v>45394</v>
      </c>
      <c r="D537" t="s">
        <v>47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15</v>
      </c>
      <c r="K537">
        <v>0</v>
      </c>
      <c r="L537">
        <v>0</v>
      </c>
      <c r="M537">
        <v>714</v>
      </c>
      <c r="N537" t="str" cm="1">
        <f t="array" ref="N537">_xlfn.IFS(M537&lt;=599,"520-599",M537&lt;=649,"600-649",M537&lt;=699,"650-699",M537&lt;=749,"700-749",M537&gt;=750,"750+")</f>
        <v>700-749</v>
      </c>
    </row>
    <row r="538" spans="1:14" x14ac:dyDescent="0.25">
      <c r="A538" t="s">
        <v>1010</v>
      </c>
      <c r="B538" t="s">
        <v>1011</v>
      </c>
      <c r="C538" s="1">
        <v>45492</v>
      </c>
      <c r="D538" t="s">
        <v>17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62</v>
      </c>
      <c r="K538">
        <v>30</v>
      </c>
      <c r="L538">
        <v>0</v>
      </c>
      <c r="M538">
        <v>670</v>
      </c>
      <c r="N538" t="str" cm="1">
        <f t="array" ref="N538">_xlfn.IFS(M538&lt;=599,"520-599",M538&lt;=649,"600-649",M538&lt;=699,"650-699",M538&lt;=749,"700-749",M538&gt;=750,"750+")</f>
        <v>650-699</v>
      </c>
    </row>
    <row r="539" spans="1:14" x14ac:dyDescent="0.25">
      <c r="A539" t="s">
        <v>1012</v>
      </c>
      <c r="B539" t="s">
        <v>1013</v>
      </c>
      <c r="C539" s="1">
        <v>45675</v>
      </c>
      <c r="D539" t="s">
        <v>14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27</v>
      </c>
      <c r="K539">
        <v>0</v>
      </c>
      <c r="L539">
        <v>0</v>
      </c>
      <c r="M539">
        <v>658</v>
      </c>
      <c r="N539" t="str" cm="1">
        <f t="array" ref="N539">_xlfn.IFS(M539&lt;=599,"520-599",M539&lt;=649,"600-649",M539&lt;=699,"650-699",M539&lt;=749,"700-749",M539&gt;=750,"750+")</f>
        <v>650-699</v>
      </c>
    </row>
    <row r="540" spans="1:14" x14ac:dyDescent="0.25">
      <c r="A540" t="s">
        <v>1014</v>
      </c>
      <c r="B540" t="s">
        <v>1015</v>
      </c>
      <c r="C540" s="1">
        <v>45296</v>
      </c>
      <c r="D540" t="s">
        <v>24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27</v>
      </c>
      <c r="K540">
        <v>0</v>
      </c>
      <c r="L540">
        <v>0</v>
      </c>
      <c r="M540">
        <v>791</v>
      </c>
      <c r="N540" t="str" cm="1">
        <f t="array" ref="N540">_xlfn.IFS(M540&lt;=599,"520-599",M540&lt;=649,"600-649",M540&lt;=699,"650-699",M540&lt;=749,"700-749",M540&gt;=750,"750+")</f>
        <v>750+</v>
      </c>
    </row>
    <row r="541" spans="1:14" x14ac:dyDescent="0.25">
      <c r="A541" t="s">
        <v>1016</v>
      </c>
      <c r="B541" t="s">
        <v>1017</v>
      </c>
      <c r="C541" s="1">
        <v>45466</v>
      </c>
      <c r="D541" t="s">
        <v>30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62</v>
      </c>
      <c r="K541">
        <v>30</v>
      </c>
      <c r="L541">
        <v>0</v>
      </c>
      <c r="M541">
        <v>590</v>
      </c>
      <c r="N541" t="str" cm="1">
        <f t="array" ref="N541">_xlfn.IFS(M541&lt;=599,"520-599",M541&lt;=649,"600-649",M541&lt;=699,"650-699",M541&lt;=749,"700-749",M541&gt;=750,"750+")</f>
        <v>520-599</v>
      </c>
    </row>
    <row r="542" spans="1:14" x14ac:dyDescent="0.25">
      <c r="A542" t="s">
        <v>1018</v>
      </c>
      <c r="B542" t="s">
        <v>1019</v>
      </c>
      <c r="C542" s="1">
        <v>45731</v>
      </c>
      <c r="D542" t="s">
        <v>38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18</v>
      </c>
      <c r="K542">
        <v>129</v>
      </c>
      <c r="L542">
        <v>1</v>
      </c>
      <c r="M542">
        <v>740</v>
      </c>
      <c r="N542" t="str" cm="1">
        <f t="array" ref="N542">_xlfn.IFS(M542&lt;=599,"520-599",M542&lt;=649,"600-649",M542&lt;=699,"650-699",M542&lt;=749,"700-749",M542&gt;=750,"750+")</f>
        <v>700-749</v>
      </c>
    </row>
    <row r="543" spans="1:14" x14ac:dyDescent="0.25">
      <c r="A543" t="s">
        <v>1020</v>
      </c>
      <c r="B543" t="s">
        <v>1019</v>
      </c>
      <c r="C543" s="1">
        <v>45393</v>
      </c>
      <c r="D543" t="s">
        <v>33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27</v>
      </c>
      <c r="K543">
        <v>0</v>
      </c>
      <c r="L543">
        <v>0</v>
      </c>
      <c r="M543">
        <v>740</v>
      </c>
      <c r="N543" t="str" cm="1">
        <f t="array" ref="N543">_xlfn.IFS(M543&lt;=599,"520-599",M543&lt;=649,"600-649",M543&lt;=699,"650-699",M543&lt;=749,"700-749",M543&gt;=750,"750+")</f>
        <v>700-749</v>
      </c>
    </row>
    <row r="544" spans="1:14" x14ac:dyDescent="0.25">
      <c r="A544" t="s">
        <v>1021</v>
      </c>
      <c r="B544" t="s">
        <v>1022</v>
      </c>
      <c r="C544" s="1">
        <v>45454</v>
      </c>
      <c r="D544" t="s">
        <v>17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27</v>
      </c>
      <c r="K544">
        <v>0</v>
      </c>
      <c r="L544">
        <v>0</v>
      </c>
      <c r="M544">
        <v>615</v>
      </c>
      <c r="N544" t="str" cm="1">
        <f t="array" ref="N544">_xlfn.IFS(M544&lt;=599,"520-599",M544&lt;=649,"600-649",M544&lt;=699,"650-699",M544&lt;=749,"700-749",M544&gt;=750,"750+")</f>
        <v>600-649</v>
      </c>
    </row>
    <row r="545" spans="1:14" x14ac:dyDescent="0.25">
      <c r="A545" t="s">
        <v>1023</v>
      </c>
      <c r="B545" t="s">
        <v>1024</v>
      </c>
      <c r="C545" s="1">
        <v>45372</v>
      </c>
      <c r="D545" t="s">
        <v>47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15</v>
      </c>
      <c r="K545">
        <v>0</v>
      </c>
      <c r="L545">
        <v>0</v>
      </c>
      <c r="M545">
        <v>685</v>
      </c>
      <c r="N545" t="str" cm="1">
        <f t="array" ref="N545">_xlfn.IFS(M545&lt;=599,"520-599",M545&lt;=649,"600-649",M545&lt;=699,"650-699",M545&lt;=749,"700-749",M545&gt;=750,"750+")</f>
        <v>650-699</v>
      </c>
    </row>
    <row r="546" spans="1:14" x14ac:dyDescent="0.25">
      <c r="A546" t="s">
        <v>1025</v>
      </c>
      <c r="B546" t="s">
        <v>1026</v>
      </c>
      <c r="C546" s="1">
        <v>45543</v>
      </c>
      <c r="D546" t="s">
        <v>30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27</v>
      </c>
      <c r="K546">
        <v>0</v>
      </c>
      <c r="L546">
        <v>0</v>
      </c>
      <c r="M546">
        <v>823</v>
      </c>
      <c r="N546" t="str" cm="1">
        <f t="array" ref="N546">_xlfn.IFS(M546&lt;=599,"520-599",M546&lt;=649,"600-649",M546&lt;=699,"650-699",M546&lt;=749,"700-749",M546&gt;=750,"750+")</f>
        <v>750+</v>
      </c>
    </row>
    <row r="547" spans="1:14" x14ac:dyDescent="0.25">
      <c r="A547" t="s">
        <v>1027</v>
      </c>
      <c r="B547" t="s">
        <v>1026</v>
      </c>
      <c r="C547" s="1">
        <v>45397</v>
      </c>
      <c r="D547" t="s">
        <v>24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62</v>
      </c>
      <c r="K547">
        <v>15</v>
      </c>
      <c r="L547">
        <v>0</v>
      </c>
      <c r="M547">
        <v>823</v>
      </c>
      <c r="N547" t="str" cm="1">
        <f t="array" ref="N547">_xlfn.IFS(M547&lt;=599,"520-599",M547&lt;=649,"600-649",M547&lt;=699,"650-699",M547&lt;=749,"700-749",M547&gt;=750,"750+")</f>
        <v>750+</v>
      </c>
    </row>
    <row r="548" spans="1:14" x14ac:dyDescent="0.25">
      <c r="A548" t="s">
        <v>1028</v>
      </c>
      <c r="B548" t="s">
        <v>1029</v>
      </c>
      <c r="C548" s="1">
        <v>45504</v>
      </c>
      <c r="D548" t="s">
        <v>24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27</v>
      </c>
      <c r="K548">
        <v>0</v>
      </c>
      <c r="L548">
        <v>0</v>
      </c>
      <c r="M548">
        <v>647</v>
      </c>
      <c r="N548" t="str" cm="1">
        <f t="array" ref="N548">_xlfn.IFS(M548&lt;=599,"520-599",M548&lt;=649,"600-649",M548&lt;=699,"650-699",M548&lt;=749,"700-749",M548&gt;=750,"750+")</f>
        <v>600-649</v>
      </c>
    </row>
    <row r="549" spans="1:14" x14ac:dyDescent="0.25">
      <c r="A549" t="s">
        <v>1030</v>
      </c>
      <c r="B549" t="s">
        <v>1031</v>
      </c>
      <c r="C549" s="1">
        <v>45753</v>
      </c>
      <c r="D549" t="s">
        <v>36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27</v>
      </c>
      <c r="K549">
        <v>0</v>
      </c>
      <c r="L549">
        <v>0</v>
      </c>
      <c r="M549">
        <v>625</v>
      </c>
      <c r="N549" t="str" cm="1">
        <f t="array" ref="N549">_xlfn.IFS(M549&lt;=599,"520-599",M549&lt;=649,"600-649",M549&lt;=699,"650-699",M549&lt;=749,"700-749",M549&gt;=750,"750+")</f>
        <v>600-649</v>
      </c>
    </row>
    <row r="550" spans="1:14" x14ac:dyDescent="0.25">
      <c r="A550" t="s">
        <v>1032</v>
      </c>
      <c r="B550" t="s">
        <v>1033</v>
      </c>
      <c r="C550" s="1">
        <v>45647</v>
      </c>
      <c r="D550" t="s">
        <v>47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27</v>
      </c>
      <c r="K550">
        <v>0</v>
      </c>
      <c r="L550">
        <v>0</v>
      </c>
      <c r="M550">
        <v>850</v>
      </c>
      <c r="N550" t="str" cm="1">
        <f t="array" ref="N550">_xlfn.IFS(M550&lt;=599,"520-599",M550&lt;=649,"600-649",M550&lt;=699,"650-699",M550&lt;=749,"700-749",M550&gt;=750,"750+")</f>
        <v>750+</v>
      </c>
    </row>
    <row r="551" spans="1:14" x14ac:dyDescent="0.25">
      <c r="A551" t="s">
        <v>1034</v>
      </c>
      <c r="B551" t="s">
        <v>1035</v>
      </c>
      <c r="C551" s="1">
        <v>45822</v>
      </c>
      <c r="D551" t="s">
        <v>24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15</v>
      </c>
      <c r="K551">
        <v>0</v>
      </c>
      <c r="L551">
        <v>0</v>
      </c>
      <c r="M551">
        <v>801</v>
      </c>
      <c r="N551" t="str" cm="1">
        <f t="array" ref="N551">_xlfn.IFS(M551&lt;=599,"520-599",M551&lt;=649,"600-649",M551&lt;=699,"650-699",M551&lt;=749,"700-749",M551&gt;=750,"750+")</f>
        <v>750+</v>
      </c>
    </row>
    <row r="552" spans="1:14" x14ac:dyDescent="0.25">
      <c r="A552" t="s">
        <v>1036</v>
      </c>
      <c r="B552" t="s">
        <v>1037</v>
      </c>
      <c r="C552" s="1">
        <v>45421</v>
      </c>
      <c r="D552" t="s">
        <v>38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15</v>
      </c>
      <c r="K552">
        <v>0</v>
      </c>
      <c r="L552">
        <v>0</v>
      </c>
      <c r="M552">
        <v>834</v>
      </c>
      <c r="N552" t="str" cm="1">
        <f t="array" ref="N552">_xlfn.IFS(M552&lt;=599,"520-599",M552&lt;=649,"600-649",M552&lt;=699,"650-699",M552&lt;=749,"700-749",M552&gt;=750,"750+")</f>
        <v>750+</v>
      </c>
    </row>
    <row r="553" spans="1:14" x14ac:dyDescent="0.25">
      <c r="A553" t="s">
        <v>1038</v>
      </c>
      <c r="B553" t="s">
        <v>1039</v>
      </c>
      <c r="C553" s="1">
        <v>45701</v>
      </c>
      <c r="D553" t="s">
        <v>21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27</v>
      </c>
      <c r="K553">
        <v>0</v>
      </c>
      <c r="L553">
        <v>0</v>
      </c>
      <c r="M553">
        <v>626</v>
      </c>
      <c r="N553" t="str" cm="1">
        <f t="array" ref="N553">_xlfn.IFS(M553&lt;=599,"520-599",M553&lt;=649,"600-649",M553&lt;=699,"650-699",M553&lt;=749,"700-749",M553&gt;=750,"750+")</f>
        <v>600-649</v>
      </c>
    </row>
    <row r="554" spans="1:14" x14ac:dyDescent="0.25">
      <c r="A554" t="s">
        <v>1040</v>
      </c>
      <c r="B554" t="s">
        <v>1041</v>
      </c>
      <c r="C554" s="1">
        <v>45502</v>
      </c>
      <c r="D554" t="s">
        <v>24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15</v>
      </c>
      <c r="K554">
        <v>0</v>
      </c>
      <c r="L554">
        <v>0</v>
      </c>
      <c r="M554">
        <v>691</v>
      </c>
      <c r="N554" t="str" cm="1">
        <f t="array" ref="N554">_xlfn.IFS(M554&lt;=599,"520-599",M554&lt;=649,"600-649",M554&lt;=699,"650-699",M554&lt;=749,"700-749",M554&gt;=750,"750+")</f>
        <v>650-699</v>
      </c>
    </row>
    <row r="555" spans="1:14" x14ac:dyDescent="0.25">
      <c r="A555" t="s">
        <v>1042</v>
      </c>
      <c r="B555" t="s">
        <v>1041</v>
      </c>
      <c r="C555" s="1">
        <v>45684</v>
      </c>
      <c r="D555" t="s">
        <v>17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27</v>
      </c>
      <c r="K555">
        <v>0</v>
      </c>
      <c r="L555">
        <v>0</v>
      </c>
      <c r="M555">
        <v>691</v>
      </c>
      <c r="N555" t="str" cm="1">
        <f t="array" ref="N555">_xlfn.IFS(M555&lt;=599,"520-599",M555&lt;=649,"600-649",M555&lt;=699,"650-699",M555&lt;=749,"700-749",M555&gt;=750,"750+")</f>
        <v>650-699</v>
      </c>
    </row>
    <row r="556" spans="1:14" x14ac:dyDescent="0.25">
      <c r="A556" t="s">
        <v>1043</v>
      </c>
      <c r="B556" t="s">
        <v>1044</v>
      </c>
      <c r="C556" s="1">
        <v>45711</v>
      </c>
      <c r="D556" t="s">
        <v>36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62</v>
      </c>
      <c r="K556">
        <v>0</v>
      </c>
      <c r="L556">
        <v>0</v>
      </c>
      <c r="M556">
        <v>681</v>
      </c>
      <c r="N556" t="str" cm="1">
        <f t="array" ref="N556">_xlfn.IFS(M556&lt;=599,"520-599",M556&lt;=649,"600-649",M556&lt;=699,"650-699",M556&lt;=749,"700-749",M556&gt;=750,"750+")</f>
        <v>650-699</v>
      </c>
    </row>
    <row r="557" spans="1:14" x14ac:dyDescent="0.25">
      <c r="A557" t="s">
        <v>1045</v>
      </c>
      <c r="B557" t="s">
        <v>1046</v>
      </c>
      <c r="C557" s="1">
        <v>45482</v>
      </c>
      <c r="D557" t="s">
        <v>30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62</v>
      </c>
      <c r="K557">
        <v>0</v>
      </c>
      <c r="L557">
        <v>0</v>
      </c>
      <c r="M557">
        <v>682</v>
      </c>
      <c r="N557" t="str" cm="1">
        <f t="array" ref="N557">_xlfn.IFS(M557&lt;=599,"520-599",M557&lt;=649,"600-649",M557&lt;=699,"650-699",M557&lt;=749,"700-749",M557&gt;=750,"750+")</f>
        <v>650-699</v>
      </c>
    </row>
    <row r="558" spans="1:14" x14ac:dyDescent="0.25">
      <c r="A558" t="s">
        <v>1047</v>
      </c>
      <c r="B558" t="s">
        <v>1046</v>
      </c>
      <c r="C558" s="1">
        <v>45303</v>
      </c>
      <c r="D558" t="s">
        <v>30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27</v>
      </c>
      <c r="K558">
        <v>0</v>
      </c>
      <c r="L558">
        <v>0</v>
      </c>
      <c r="M558">
        <v>682</v>
      </c>
      <c r="N558" t="str" cm="1">
        <f t="array" ref="N558">_xlfn.IFS(M558&lt;=599,"520-599",M558&lt;=649,"600-649",M558&lt;=699,"650-699",M558&lt;=749,"700-749",M558&gt;=750,"750+")</f>
        <v>650-699</v>
      </c>
    </row>
    <row r="559" spans="1:14" x14ac:dyDescent="0.25">
      <c r="A559" t="s">
        <v>1048</v>
      </c>
      <c r="B559" t="s">
        <v>1049</v>
      </c>
      <c r="C559" s="1">
        <v>45514</v>
      </c>
      <c r="D559" t="s">
        <v>38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18</v>
      </c>
      <c r="K559">
        <v>101</v>
      </c>
      <c r="L559">
        <v>1</v>
      </c>
      <c r="M559">
        <v>612</v>
      </c>
      <c r="N559" t="str" cm="1">
        <f t="array" ref="N559">_xlfn.IFS(M559&lt;=599,"520-599",M559&lt;=649,"600-649",M559&lt;=699,"650-699",M559&lt;=749,"700-749",M559&gt;=750,"750+")</f>
        <v>600-649</v>
      </c>
    </row>
    <row r="560" spans="1:14" x14ac:dyDescent="0.25">
      <c r="A560" t="s">
        <v>1050</v>
      </c>
      <c r="B560" t="s">
        <v>1051</v>
      </c>
      <c r="C560" s="1">
        <v>45619</v>
      </c>
      <c r="D560" t="s">
        <v>36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18</v>
      </c>
      <c r="K560">
        <v>42</v>
      </c>
      <c r="L560">
        <v>1</v>
      </c>
      <c r="M560">
        <v>850</v>
      </c>
      <c r="N560" t="str" cm="1">
        <f t="array" ref="N560">_xlfn.IFS(M560&lt;=599,"520-599",M560&lt;=649,"600-649",M560&lt;=699,"650-699",M560&lt;=749,"700-749",M560&gt;=750,"750+")</f>
        <v>750+</v>
      </c>
    </row>
    <row r="561" spans="1:14" x14ac:dyDescent="0.25">
      <c r="A561" t="s">
        <v>1052</v>
      </c>
      <c r="B561" t="s">
        <v>1053</v>
      </c>
      <c r="C561" s="1">
        <v>45467</v>
      </c>
      <c r="D561" t="s">
        <v>14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27</v>
      </c>
      <c r="K561">
        <v>0</v>
      </c>
      <c r="L561">
        <v>0</v>
      </c>
      <c r="M561">
        <v>836</v>
      </c>
      <c r="N561" t="str" cm="1">
        <f t="array" ref="N561">_xlfn.IFS(M561&lt;=599,"520-599",M561&lt;=649,"600-649",M561&lt;=699,"650-699",M561&lt;=749,"700-749",M561&gt;=750,"750+")</f>
        <v>750+</v>
      </c>
    </row>
    <row r="562" spans="1:14" x14ac:dyDescent="0.25">
      <c r="A562" t="s">
        <v>1054</v>
      </c>
      <c r="B562" t="s">
        <v>1053</v>
      </c>
      <c r="C562" s="1">
        <v>45764</v>
      </c>
      <c r="D562" t="s">
        <v>41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27</v>
      </c>
      <c r="K562">
        <v>0</v>
      </c>
      <c r="L562">
        <v>0</v>
      </c>
      <c r="M562">
        <v>836</v>
      </c>
      <c r="N562" t="str" cm="1">
        <f t="array" ref="N562">_xlfn.IFS(M562&lt;=599,"520-599",M562&lt;=649,"600-649",M562&lt;=699,"650-699",M562&lt;=749,"700-749",M562&gt;=750,"750+")</f>
        <v>750+</v>
      </c>
    </row>
    <row r="563" spans="1:14" x14ac:dyDescent="0.25">
      <c r="A563" t="s">
        <v>1055</v>
      </c>
      <c r="B563" t="s">
        <v>1056</v>
      </c>
      <c r="C563" s="1">
        <v>45717</v>
      </c>
      <c r="D563" t="s">
        <v>21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15</v>
      </c>
      <c r="K563">
        <v>0</v>
      </c>
      <c r="L563">
        <v>0</v>
      </c>
      <c r="M563">
        <v>609</v>
      </c>
      <c r="N563" t="str" cm="1">
        <f t="array" ref="N563">_xlfn.IFS(M563&lt;=599,"520-599",M563&lt;=649,"600-649",M563&lt;=699,"650-699",M563&lt;=749,"700-749",M563&gt;=750,"750+")</f>
        <v>600-649</v>
      </c>
    </row>
    <row r="564" spans="1:14" x14ac:dyDescent="0.25">
      <c r="A564" t="s">
        <v>1057</v>
      </c>
      <c r="B564" t="s">
        <v>1056</v>
      </c>
      <c r="C564" s="1">
        <v>45694</v>
      </c>
      <c r="D564" t="s">
        <v>17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18</v>
      </c>
      <c r="K564">
        <v>146</v>
      </c>
      <c r="L564">
        <v>1</v>
      </c>
      <c r="M564">
        <v>609</v>
      </c>
      <c r="N564" t="str" cm="1">
        <f t="array" ref="N564">_xlfn.IFS(M564&lt;=599,"520-599",M564&lt;=649,"600-649",M564&lt;=699,"650-699",M564&lt;=749,"700-749",M564&gt;=750,"750+")</f>
        <v>600-649</v>
      </c>
    </row>
    <row r="565" spans="1:14" x14ac:dyDescent="0.25">
      <c r="A565" t="s">
        <v>1058</v>
      </c>
      <c r="B565" t="s">
        <v>1059</v>
      </c>
      <c r="C565" s="1">
        <v>45340</v>
      </c>
      <c r="D565" t="s">
        <v>36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15</v>
      </c>
      <c r="K565">
        <v>0</v>
      </c>
      <c r="L565">
        <v>0</v>
      </c>
      <c r="M565">
        <v>794</v>
      </c>
      <c r="N565" t="str" cm="1">
        <f t="array" ref="N565">_xlfn.IFS(M565&lt;=599,"520-599",M565&lt;=649,"600-649",M565&lt;=699,"650-699",M565&lt;=749,"700-749",M565&gt;=750,"750+")</f>
        <v>750+</v>
      </c>
    </row>
    <row r="566" spans="1:14" x14ac:dyDescent="0.25">
      <c r="A566" t="s">
        <v>1060</v>
      </c>
      <c r="B566" t="s">
        <v>1061</v>
      </c>
      <c r="C566" s="1">
        <v>45297</v>
      </c>
      <c r="D566" t="s">
        <v>17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62</v>
      </c>
      <c r="K566">
        <v>15</v>
      </c>
      <c r="L566">
        <v>0</v>
      </c>
      <c r="M566">
        <v>744</v>
      </c>
      <c r="N566" t="str" cm="1">
        <f t="array" ref="N566">_xlfn.IFS(M566&lt;=599,"520-599",M566&lt;=649,"600-649",M566&lt;=699,"650-699",M566&lt;=749,"700-749",M566&gt;=750,"750+")</f>
        <v>700-749</v>
      </c>
    </row>
    <row r="567" spans="1:14" x14ac:dyDescent="0.25">
      <c r="A567" t="s">
        <v>1062</v>
      </c>
      <c r="B567" t="s">
        <v>1061</v>
      </c>
      <c r="C567" s="1">
        <v>45680</v>
      </c>
      <c r="D567" t="s">
        <v>41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18</v>
      </c>
      <c r="K567">
        <v>73</v>
      </c>
      <c r="L567">
        <v>1</v>
      </c>
      <c r="M567">
        <v>744</v>
      </c>
      <c r="N567" t="str" cm="1">
        <f t="array" ref="N567">_xlfn.IFS(M567&lt;=599,"520-599",M567&lt;=649,"600-649",M567&lt;=699,"650-699",M567&lt;=749,"700-749",M567&gt;=750,"750+")</f>
        <v>700-749</v>
      </c>
    </row>
    <row r="568" spans="1:14" x14ac:dyDescent="0.25">
      <c r="A568" t="s">
        <v>1063</v>
      </c>
      <c r="B568" t="s">
        <v>1064</v>
      </c>
      <c r="C568" s="1">
        <v>45715</v>
      </c>
      <c r="D568" t="s">
        <v>47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27</v>
      </c>
      <c r="K568">
        <v>0</v>
      </c>
      <c r="L568">
        <v>0</v>
      </c>
      <c r="M568">
        <v>811</v>
      </c>
      <c r="N568" t="str" cm="1">
        <f t="array" ref="N568">_xlfn.IFS(M568&lt;=599,"520-599",M568&lt;=649,"600-649",M568&lt;=699,"650-699",M568&lt;=749,"700-749",M568&gt;=750,"750+")</f>
        <v>750+</v>
      </c>
    </row>
    <row r="569" spans="1:14" x14ac:dyDescent="0.25">
      <c r="A569" t="s">
        <v>1065</v>
      </c>
      <c r="B569" t="s">
        <v>1064</v>
      </c>
      <c r="C569" s="1">
        <v>45786</v>
      </c>
      <c r="D569" t="s">
        <v>38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27</v>
      </c>
      <c r="K569">
        <v>0</v>
      </c>
      <c r="L569">
        <v>0</v>
      </c>
      <c r="M569">
        <v>811</v>
      </c>
      <c r="N569" t="str" cm="1">
        <f t="array" ref="N569">_xlfn.IFS(M569&lt;=599,"520-599",M569&lt;=649,"600-649",M569&lt;=699,"650-699",M569&lt;=749,"700-749",M569&gt;=750,"750+")</f>
        <v>750+</v>
      </c>
    </row>
    <row r="570" spans="1:14" x14ac:dyDescent="0.25">
      <c r="A570" t="s">
        <v>1066</v>
      </c>
      <c r="B570" t="s">
        <v>1067</v>
      </c>
      <c r="C570" s="1">
        <v>45368</v>
      </c>
      <c r="D570" t="s">
        <v>21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27</v>
      </c>
      <c r="K570">
        <v>0</v>
      </c>
      <c r="L570">
        <v>0</v>
      </c>
      <c r="M570">
        <v>619</v>
      </c>
      <c r="N570" t="str" cm="1">
        <f t="array" ref="N570">_xlfn.IFS(M570&lt;=599,"520-599",M570&lt;=649,"600-649",M570&lt;=699,"650-699",M570&lt;=749,"700-749",M570&gt;=750,"750+")</f>
        <v>600-649</v>
      </c>
    </row>
    <row r="571" spans="1:14" x14ac:dyDescent="0.25">
      <c r="A571" t="s">
        <v>1068</v>
      </c>
      <c r="B571" t="s">
        <v>1069</v>
      </c>
      <c r="C571" s="1">
        <v>45832</v>
      </c>
      <c r="D571" t="s">
        <v>17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15</v>
      </c>
      <c r="K571">
        <v>0</v>
      </c>
      <c r="L571">
        <v>0</v>
      </c>
      <c r="M571">
        <v>829</v>
      </c>
      <c r="N571" t="str" cm="1">
        <f t="array" ref="N571">_xlfn.IFS(M571&lt;=599,"520-599",M571&lt;=649,"600-649",M571&lt;=699,"650-699",M571&lt;=749,"700-749",M571&gt;=750,"750+")</f>
        <v>750+</v>
      </c>
    </row>
    <row r="572" spans="1:14" x14ac:dyDescent="0.25">
      <c r="A572" t="s">
        <v>1070</v>
      </c>
      <c r="B572" t="s">
        <v>1071</v>
      </c>
      <c r="C572" s="1">
        <v>45664</v>
      </c>
      <c r="D572" t="s">
        <v>33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62</v>
      </c>
      <c r="K572">
        <v>0</v>
      </c>
      <c r="L572">
        <v>0</v>
      </c>
      <c r="M572">
        <v>845</v>
      </c>
      <c r="N572" t="str" cm="1">
        <f t="array" ref="N572">_xlfn.IFS(M572&lt;=599,"520-599",M572&lt;=649,"600-649",M572&lt;=699,"650-699",M572&lt;=749,"700-749",M572&gt;=750,"750+")</f>
        <v>750+</v>
      </c>
    </row>
    <row r="573" spans="1:14" x14ac:dyDescent="0.25">
      <c r="A573" t="s">
        <v>1072</v>
      </c>
      <c r="B573" t="s">
        <v>1073</v>
      </c>
      <c r="C573" s="1">
        <v>45396</v>
      </c>
      <c r="D573" t="s">
        <v>17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62</v>
      </c>
      <c r="K573">
        <v>15</v>
      </c>
      <c r="L573">
        <v>0</v>
      </c>
      <c r="M573">
        <v>715</v>
      </c>
      <c r="N573" t="str" cm="1">
        <f t="array" ref="N573">_xlfn.IFS(M573&lt;=599,"520-599",M573&lt;=649,"600-649",M573&lt;=699,"650-699",M573&lt;=749,"700-749",M573&gt;=750,"750+")</f>
        <v>700-749</v>
      </c>
    </row>
    <row r="574" spans="1:14" x14ac:dyDescent="0.25">
      <c r="A574" t="s">
        <v>1074</v>
      </c>
      <c r="B574" t="s">
        <v>1075</v>
      </c>
      <c r="C574" s="1">
        <v>45563</v>
      </c>
      <c r="D574" t="s">
        <v>14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27</v>
      </c>
      <c r="K574">
        <v>0</v>
      </c>
      <c r="L574">
        <v>0</v>
      </c>
      <c r="M574">
        <v>818</v>
      </c>
      <c r="N574" t="str" cm="1">
        <f t="array" ref="N574">_xlfn.IFS(M574&lt;=599,"520-599",M574&lt;=649,"600-649",M574&lt;=699,"650-699",M574&lt;=749,"700-749",M574&gt;=750,"750+")</f>
        <v>750+</v>
      </c>
    </row>
    <row r="575" spans="1:14" x14ac:dyDescent="0.25">
      <c r="A575" t="s">
        <v>1076</v>
      </c>
      <c r="B575" t="s">
        <v>1077</v>
      </c>
      <c r="C575" s="1">
        <v>45670</v>
      </c>
      <c r="D575" t="s">
        <v>17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15</v>
      </c>
      <c r="K575">
        <v>0</v>
      </c>
      <c r="L575">
        <v>0</v>
      </c>
      <c r="M575">
        <v>805</v>
      </c>
      <c r="N575" t="str" cm="1">
        <f t="array" ref="N575">_xlfn.IFS(M575&lt;=599,"520-599",M575&lt;=649,"600-649",M575&lt;=699,"650-699",M575&lt;=749,"700-749",M575&gt;=750,"750+")</f>
        <v>750+</v>
      </c>
    </row>
    <row r="576" spans="1:14" x14ac:dyDescent="0.25">
      <c r="A576" t="s">
        <v>1078</v>
      </c>
      <c r="B576" t="s">
        <v>1079</v>
      </c>
      <c r="C576" s="1">
        <v>45797</v>
      </c>
      <c r="D576" t="s">
        <v>24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27</v>
      </c>
      <c r="K576">
        <v>0</v>
      </c>
      <c r="L576">
        <v>0</v>
      </c>
      <c r="M576">
        <v>609</v>
      </c>
      <c r="N576" t="str" cm="1">
        <f t="array" ref="N576">_xlfn.IFS(M576&lt;=599,"520-599",M576&lt;=649,"600-649",M576&lt;=699,"650-699",M576&lt;=749,"700-749",M576&gt;=750,"750+")</f>
        <v>600-649</v>
      </c>
    </row>
    <row r="577" spans="1:14" x14ac:dyDescent="0.25">
      <c r="A577" t="s">
        <v>1080</v>
      </c>
      <c r="B577" t="s">
        <v>1081</v>
      </c>
      <c r="C577" s="1">
        <v>45536</v>
      </c>
      <c r="D577" t="s">
        <v>36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18</v>
      </c>
      <c r="K577">
        <v>55</v>
      </c>
      <c r="L577">
        <v>1</v>
      </c>
      <c r="M577">
        <v>776</v>
      </c>
      <c r="N577" t="str" cm="1">
        <f t="array" ref="N577">_xlfn.IFS(M577&lt;=599,"520-599",M577&lt;=649,"600-649",M577&lt;=699,"650-699",M577&lt;=749,"700-749",M577&gt;=750,"750+")</f>
        <v>750+</v>
      </c>
    </row>
    <row r="578" spans="1:14" x14ac:dyDescent="0.25">
      <c r="A578" t="s">
        <v>1082</v>
      </c>
      <c r="B578" t="s">
        <v>1083</v>
      </c>
      <c r="C578" s="1">
        <v>45566</v>
      </c>
      <c r="D578" t="s">
        <v>47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27</v>
      </c>
      <c r="K578">
        <v>0</v>
      </c>
      <c r="L578">
        <v>0</v>
      </c>
      <c r="M578">
        <v>811</v>
      </c>
      <c r="N578" t="str" cm="1">
        <f t="array" ref="N578">_xlfn.IFS(M578&lt;=599,"520-599",M578&lt;=649,"600-649",M578&lt;=699,"650-699",M578&lt;=749,"700-749",M578&gt;=750,"750+")</f>
        <v>750+</v>
      </c>
    </row>
    <row r="579" spans="1:14" x14ac:dyDescent="0.25">
      <c r="A579" t="s">
        <v>1084</v>
      </c>
      <c r="B579" t="s">
        <v>1085</v>
      </c>
      <c r="C579" s="1">
        <v>45780</v>
      </c>
      <c r="D579" t="s">
        <v>47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62</v>
      </c>
      <c r="K579">
        <v>15</v>
      </c>
      <c r="L579">
        <v>0</v>
      </c>
      <c r="M579">
        <v>736</v>
      </c>
      <c r="N579" t="str" cm="1">
        <f t="array" ref="N579">_xlfn.IFS(M579&lt;=599,"520-599",M579&lt;=649,"600-649",M579&lt;=699,"650-699",M579&lt;=749,"700-749",M579&gt;=750,"750+")</f>
        <v>700-749</v>
      </c>
    </row>
    <row r="580" spans="1:14" x14ac:dyDescent="0.25">
      <c r="A580" t="s">
        <v>1086</v>
      </c>
      <c r="B580" t="s">
        <v>1087</v>
      </c>
      <c r="C580" s="1">
        <v>45305</v>
      </c>
      <c r="D580" t="s">
        <v>36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27</v>
      </c>
      <c r="K580">
        <v>0</v>
      </c>
      <c r="L580">
        <v>0</v>
      </c>
      <c r="M580">
        <v>637</v>
      </c>
      <c r="N580" t="str" cm="1">
        <f t="array" ref="N580">_xlfn.IFS(M580&lt;=599,"520-599",M580&lt;=649,"600-649",M580&lt;=699,"650-699",M580&lt;=749,"700-749",M580&gt;=750,"750+")</f>
        <v>600-649</v>
      </c>
    </row>
    <row r="581" spans="1:14" x14ac:dyDescent="0.25">
      <c r="A581" t="s">
        <v>1088</v>
      </c>
      <c r="B581" t="s">
        <v>1089</v>
      </c>
      <c r="C581" s="1">
        <v>45777</v>
      </c>
      <c r="D581" t="s">
        <v>36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27</v>
      </c>
      <c r="K581">
        <v>0</v>
      </c>
      <c r="L581">
        <v>0</v>
      </c>
      <c r="M581">
        <v>848</v>
      </c>
      <c r="N581" t="str" cm="1">
        <f t="array" ref="N581">_xlfn.IFS(M581&lt;=599,"520-599",M581&lt;=649,"600-649",M581&lt;=699,"650-699",M581&lt;=749,"700-749",M581&gt;=750,"750+")</f>
        <v>750+</v>
      </c>
    </row>
    <row r="582" spans="1:14" x14ac:dyDescent="0.25">
      <c r="A582" t="s">
        <v>1090</v>
      </c>
      <c r="B582" t="s">
        <v>1089</v>
      </c>
      <c r="C582" s="1">
        <v>45829</v>
      </c>
      <c r="D582" t="s">
        <v>36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15</v>
      </c>
      <c r="K582">
        <v>0</v>
      </c>
      <c r="L582">
        <v>0</v>
      </c>
      <c r="M582">
        <v>848</v>
      </c>
      <c r="N582" t="str" cm="1">
        <f t="array" ref="N582">_xlfn.IFS(M582&lt;=599,"520-599",M582&lt;=649,"600-649",M582&lt;=699,"650-699",M582&lt;=749,"700-749",M582&gt;=750,"750+")</f>
        <v>750+</v>
      </c>
    </row>
    <row r="583" spans="1:14" x14ac:dyDescent="0.25">
      <c r="A583" t="s">
        <v>1091</v>
      </c>
      <c r="B583" t="s">
        <v>1092</v>
      </c>
      <c r="C583" s="1">
        <v>45790</v>
      </c>
      <c r="D583" t="s">
        <v>30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15</v>
      </c>
      <c r="K583">
        <v>0</v>
      </c>
      <c r="L583">
        <v>0</v>
      </c>
      <c r="M583">
        <v>827</v>
      </c>
      <c r="N583" t="str" cm="1">
        <f t="array" ref="N583">_xlfn.IFS(M583&lt;=599,"520-599",M583&lt;=649,"600-649",M583&lt;=699,"650-699",M583&lt;=749,"700-749",M583&gt;=750,"750+")</f>
        <v>750+</v>
      </c>
    </row>
    <row r="584" spans="1:14" x14ac:dyDescent="0.25">
      <c r="A584" t="s">
        <v>1093</v>
      </c>
      <c r="B584" t="s">
        <v>1094</v>
      </c>
      <c r="C584" s="1">
        <v>45568</v>
      </c>
      <c r="D584" t="s">
        <v>30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27</v>
      </c>
      <c r="K584">
        <v>0</v>
      </c>
      <c r="L584">
        <v>0</v>
      </c>
      <c r="M584">
        <v>635</v>
      </c>
      <c r="N584" t="str" cm="1">
        <f t="array" ref="N584">_xlfn.IFS(M584&lt;=599,"520-599",M584&lt;=649,"600-649",M584&lt;=699,"650-699",M584&lt;=749,"700-749",M584&gt;=750,"750+")</f>
        <v>600-649</v>
      </c>
    </row>
    <row r="585" spans="1:14" x14ac:dyDescent="0.25">
      <c r="A585" t="s">
        <v>1095</v>
      </c>
      <c r="B585" t="s">
        <v>1096</v>
      </c>
      <c r="C585" s="1">
        <v>45733</v>
      </c>
      <c r="D585" t="s">
        <v>38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27</v>
      </c>
      <c r="K585">
        <v>0</v>
      </c>
      <c r="L585">
        <v>0</v>
      </c>
      <c r="M585">
        <v>850</v>
      </c>
      <c r="N585" t="str" cm="1">
        <f t="array" ref="N585">_xlfn.IFS(M585&lt;=599,"520-599",M585&lt;=649,"600-649",M585&lt;=699,"650-699",M585&lt;=749,"700-749",M585&gt;=750,"750+")</f>
        <v>750+</v>
      </c>
    </row>
    <row r="586" spans="1:14" x14ac:dyDescent="0.25">
      <c r="A586" t="s">
        <v>1097</v>
      </c>
      <c r="B586" t="s">
        <v>1096</v>
      </c>
      <c r="C586" s="1">
        <v>45752</v>
      </c>
      <c r="D586" t="s">
        <v>17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62</v>
      </c>
      <c r="K586">
        <v>15</v>
      </c>
      <c r="L586">
        <v>0</v>
      </c>
      <c r="M586">
        <v>850</v>
      </c>
      <c r="N586" t="str" cm="1">
        <f t="array" ref="N586">_xlfn.IFS(M586&lt;=599,"520-599",M586&lt;=649,"600-649",M586&lt;=699,"650-699",M586&lt;=749,"700-749",M586&gt;=750,"750+")</f>
        <v>750+</v>
      </c>
    </row>
    <row r="587" spans="1:14" x14ac:dyDescent="0.25">
      <c r="A587" t="s">
        <v>1098</v>
      </c>
      <c r="B587" t="s">
        <v>1099</v>
      </c>
      <c r="C587" s="1">
        <v>45574</v>
      </c>
      <c r="D587" t="s">
        <v>30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27</v>
      </c>
      <c r="K587">
        <v>0</v>
      </c>
      <c r="L587">
        <v>0</v>
      </c>
      <c r="M587">
        <v>618</v>
      </c>
      <c r="N587" t="str" cm="1">
        <f t="array" ref="N587">_xlfn.IFS(M587&lt;=599,"520-599",M587&lt;=649,"600-649",M587&lt;=699,"650-699",M587&lt;=749,"700-749",M587&gt;=750,"750+")</f>
        <v>600-649</v>
      </c>
    </row>
    <row r="588" spans="1:14" x14ac:dyDescent="0.25">
      <c r="A588" t="s">
        <v>1100</v>
      </c>
      <c r="B588" t="s">
        <v>1099</v>
      </c>
      <c r="C588" s="1">
        <v>45647</v>
      </c>
      <c r="D588" t="s">
        <v>30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62</v>
      </c>
      <c r="K588">
        <v>30</v>
      </c>
      <c r="L588">
        <v>0</v>
      </c>
      <c r="M588">
        <v>618</v>
      </c>
      <c r="N588" t="str" cm="1">
        <f t="array" ref="N588">_xlfn.IFS(M588&lt;=599,"520-599",M588&lt;=649,"600-649",M588&lt;=699,"650-699",M588&lt;=749,"700-749",M588&gt;=750,"750+")</f>
        <v>600-649</v>
      </c>
    </row>
    <row r="589" spans="1:14" x14ac:dyDescent="0.25">
      <c r="A589" t="s">
        <v>1101</v>
      </c>
      <c r="B589" t="s">
        <v>1102</v>
      </c>
      <c r="C589" s="1">
        <v>45458</v>
      </c>
      <c r="D589" t="s">
        <v>14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15</v>
      </c>
      <c r="K589">
        <v>0</v>
      </c>
      <c r="L589">
        <v>0</v>
      </c>
      <c r="M589">
        <v>825</v>
      </c>
      <c r="N589" t="str" cm="1">
        <f t="array" ref="N589">_xlfn.IFS(M589&lt;=599,"520-599",M589&lt;=649,"600-649",M589&lt;=699,"650-699",M589&lt;=749,"700-749",M589&gt;=750,"750+")</f>
        <v>750+</v>
      </c>
    </row>
    <row r="590" spans="1:14" x14ac:dyDescent="0.25">
      <c r="A590" t="s">
        <v>1103</v>
      </c>
      <c r="B590" t="s">
        <v>1104</v>
      </c>
      <c r="C590" s="1">
        <v>45605</v>
      </c>
      <c r="D590" t="s">
        <v>41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18</v>
      </c>
      <c r="K590">
        <v>120</v>
      </c>
      <c r="L590">
        <v>1</v>
      </c>
      <c r="M590">
        <v>825</v>
      </c>
      <c r="N590" t="str" cm="1">
        <f t="array" ref="N590">_xlfn.IFS(M590&lt;=599,"520-599",M590&lt;=649,"600-649",M590&lt;=699,"650-699",M590&lt;=749,"700-749",M590&gt;=750,"750+")</f>
        <v>750+</v>
      </c>
    </row>
    <row r="591" spans="1:14" x14ac:dyDescent="0.25">
      <c r="A591" t="s">
        <v>1105</v>
      </c>
      <c r="B591" t="s">
        <v>1106</v>
      </c>
      <c r="C591" s="1">
        <v>45806</v>
      </c>
      <c r="D591" t="s">
        <v>41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27</v>
      </c>
      <c r="K591">
        <v>0</v>
      </c>
      <c r="L591">
        <v>0</v>
      </c>
      <c r="M591">
        <v>849</v>
      </c>
      <c r="N591" t="str" cm="1">
        <f t="array" ref="N591">_xlfn.IFS(M591&lt;=599,"520-599",M591&lt;=649,"600-649",M591&lt;=699,"650-699",M591&lt;=749,"700-749",M591&gt;=750,"750+")</f>
        <v>750+</v>
      </c>
    </row>
    <row r="592" spans="1:14" x14ac:dyDescent="0.25">
      <c r="A592" t="s">
        <v>1107</v>
      </c>
      <c r="B592" t="s">
        <v>1108</v>
      </c>
      <c r="C592" s="1">
        <v>45374</v>
      </c>
      <c r="D592" t="s">
        <v>24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18</v>
      </c>
      <c r="K592">
        <v>38</v>
      </c>
      <c r="L592">
        <v>1</v>
      </c>
      <c r="M592">
        <v>561</v>
      </c>
      <c r="N592" t="str" cm="1">
        <f t="array" ref="N592">_xlfn.IFS(M592&lt;=599,"520-599",M592&lt;=649,"600-649",M592&lt;=699,"650-699",M592&lt;=749,"700-749",M592&gt;=750,"750+")</f>
        <v>520-599</v>
      </c>
    </row>
    <row r="593" spans="1:14" x14ac:dyDescent="0.25">
      <c r="A593" t="s">
        <v>1109</v>
      </c>
      <c r="B593" t="s">
        <v>1110</v>
      </c>
      <c r="C593" s="1">
        <v>45392</v>
      </c>
      <c r="D593" t="s">
        <v>30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62</v>
      </c>
      <c r="K593">
        <v>15</v>
      </c>
      <c r="L593">
        <v>0</v>
      </c>
      <c r="M593">
        <v>752</v>
      </c>
      <c r="N593" t="str" cm="1">
        <f t="array" ref="N593">_xlfn.IFS(M593&lt;=599,"520-599",M593&lt;=649,"600-649",M593&lt;=699,"650-699",M593&lt;=749,"700-749",M593&gt;=750,"750+")</f>
        <v>750+</v>
      </c>
    </row>
    <row r="594" spans="1:14" x14ac:dyDescent="0.25">
      <c r="A594" t="s">
        <v>1111</v>
      </c>
      <c r="B594" t="s">
        <v>1112</v>
      </c>
      <c r="C594" s="1">
        <v>45496</v>
      </c>
      <c r="D594" t="s">
        <v>17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27</v>
      </c>
      <c r="K594">
        <v>0</v>
      </c>
      <c r="L594">
        <v>0</v>
      </c>
      <c r="M594">
        <v>663</v>
      </c>
      <c r="N594" t="str" cm="1">
        <f t="array" ref="N594">_xlfn.IFS(M594&lt;=599,"520-599",M594&lt;=649,"600-649",M594&lt;=699,"650-699",M594&lt;=749,"700-749",M594&gt;=750,"750+")</f>
        <v>650-699</v>
      </c>
    </row>
    <row r="595" spans="1:14" x14ac:dyDescent="0.25">
      <c r="A595" t="s">
        <v>1113</v>
      </c>
      <c r="B595" t="s">
        <v>1114</v>
      </c>
      <c r="C595" s="1">
        <v>45739</v>
      </c>
      <c r="D595" t="s">
        <v>24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18</v>
      </c>
      <c r="K595">
        <v>164</v>
      </c>
      <c r="L595">
        <v>1</v>
      </c>
      <c r="M595">
        <v>543</v>
      </c>
      <c r="N595" t="str" cm="1">
        <f t="array" ref="N595">_xlfn.IFS(M595&lt;=599,"520-599",M595&lt;=649,"600-649",M595&lt;=699,"650-699",M595&lt;=749,"700-749",M595&gt;=750,"750+")</f>
        <v>520-599</v>
      </c>
    </row>
    <row r="596" spans="1:14" x14ac:dyDescent="0.25">
      <c r="A596" t="s">
        <v>1115</v>
      </c>
      <c r="B596" t="s">
        <v>1116</v>
      </c>
      <c r="C596" s="1">
        <v>45729</v>
      </c>
      <c r="D596" t="s">
        <v>30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62</v>
      </c>
      <c r="K596">
        <v>30</v>
      </c>
      <c r="L596">
        <v>0</v>
      </c>
      <c r="M596">
        <v>661</v>
      </c>
      <c r="N596" t="str" cm="1">
        <f t="array" ref="N596">_xlfn.IFS(M596&lt;=599,"520-599",M596&lt;=649,"600-649",M596&lt;=699,"650-699",M596&lt;=749,"700-749",M596&gt;=750,"750+")</f>
        <v>650-699</v>
      </c>
    </row>
    <row r="597" spans="1:14" x14ac:dyDescent="0.25">
      <c r="A597" t="s">
        <v>1117</v>
      </c>
      <c r="B597" t="s">
        <v>1118</v>
      </c>
      <c r="C597" s="1">
        <v>45601</v>
      </c>
      <c r="D597" t="s">
        <v>41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27</v>
      </c>
      <c r="K597">
        <v>0</v>
      </c>
      <c r="L597">
        <v>0</v>
      </c>
      <c r="M597">
        <v>773</v>
      </c>
      <c r="N597" t="str" cm="1">
        <f t="array" ref="N597">_xlfn.IFS(M597&lt;=599,"520-599",M597&lt;=649,"600-649",M597&lt;=699,"650-699",M597&lt;=749,"700-749",M597&gt;=750,"750+")</f>
        <v>750+</v>
      </c>
    </row>
    <row r="598" spans="1:14" x14ac:dyDescent="0.25">
      <c r="A598" t="s">
        <v>1119</v>
      </c>
      <c r="B598" t="s">
        <v>1118</v>
      </c>
      <c r="C598" s="1">
        <v>45694</v>
      </c>
      <c r="D598" t="s">
        <v>47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18</v>
      </c>
      <c r="K598">
        <v>31</v>
      </c>
      <c r="L598">
        <v>1</v>
      </c>
      <c r="M598">
        <v>773</v>
      </c>
      <c r="N598" t="str" cm="1">
        <f t="array" ref="N598">_xlfn.IFS(M598&lt;=599,"520-599",M598&lt;=649,"600-649",M598&lt;=699,"650-699",M598&lt;=749,"700-749",M598&gt;=750,"750+")</f>
        <v>750+</v>
      </c>
    </row>
    <row r="599" spans="1:14" x14ac:dyDescent="0.25">
      <c r="A599" t="s">
        <v>1120</v>
      </c>
      <c r="B599" t="s">
        <v>1121</v>
      </c>
      <c r="C599" s="1">
        <v>45401</v>
      </c>
      <c r="D599" t="s">
        <v>21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27</v>
      </c>
      <c r="K599">
        <v>0</v>
      </c>
      <c r="L599">
        <v>0</v>
      </c>
      <c r="M599">
        <v>845</v>
      </c>
      <c r="N599" t="str" cm="1">
        <f t="array" ref="N599">_xlfn.IFS(M599&lt;=599,"520-599",M599&lt;=649,"600-649",M599&lt;=699,"650-699",M599&lt;=749,"700-749",M599&gt;=750,"750+")</f>
        <v>750+</v>
      </c>
    </row>
    <row r="600" spans="1:14" x14ac:dyDescent="0.25">
      <c r="A600" t="s">
        <v>1122</v>
      </c>
      <c r="B600" t="s">
        <v>1123</v>
      </c>
      <c r="C600" s="1">
        <v>45346</v>
      </c>
      <c r="D600" t="s">
        <v>30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27</v>
      </c>
      <c r="K600">
        <v>0</v>
      </c>
      <c r="L600">
        <v>0</v>
      </c>
      <c r="M600">
        <v>811</v>
      </c>
      <c r="N600" t="str" cm="1">
        <f t="array" ref="N600">_xlfn.IFS(M600&lt;=599,"520-599",M600&lt;=649,"600-649",M600&lt;=699,"650-699",M600&lt;=749,"700-749",M600&gt;=750,"750+")</f>
        <v>750+</v>
      </c>
    </row>
    <row r="601" spans="1:14" x14ac:dyDescent="0.25">
      <c r="A601" t="s">
        <v>1124</v>
      </c>
      <c r="B601" t="s">
        <v>1125</v>
      </c>
      <c r="C601" s="1">
        <v>45610</v>
      </c>
      <c r="D601" t="s">
        <v>33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62</v>
      </c>
      <c r="K601">
        <v>15</v>
      </c>
      <c r="L601">
        <v>0</v>
      </c>
      <c r="M601">
        <v>604</v>
      </c>
      <c r="N601" t="str" cm="1">
        <f t="array" ref="N601">_xlfn.IFS(M601&lt;=599,"520-599",M601&lt;=649,"600-649",M601&lt;=699,"650-699",M601&lt;=749,"700-749",M601&gt;=750,"750+")</f>
        <v>600-649</v>
      </c>
    </row>
    <row r="602" spans="1:14" x14ac:dyDescent="0.25">
      <c r="A602" t="s">
        <v>1126</v>
      </c>
      <c r="B602" t="s">
        <v>1125</v>
      </c>
      <c r="C602" s="1">
        <v>45415</v>
      </c>
      <c r="D602" t="s">
        <v>47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27</v>
      </c>
      <c r="K602">
        <v>0</v>
      </c>
      <c r="L602">
        <v>0</v>
      </c>
      <c r="M602">
        <v>604</v>
      </c>
      <c r="N602" t="str" cm="1">
        <f t="array" ref="N602">_xlfn.IFS(M602&lt;=599,"520-599",M602&lt;=649,"600-649",M602&lt;=699,"650-699",M602&lt;=749,"700-749",M602&gt;=750,"750+")</f>
        <v>600-649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16A0-23BC-43C7-9F73-37B2364C6698}">
  <dimension ref="A1:M255"/>
  <sheetViews>
    <sheetView workbookViewId="0">
      <selection activeCell="L5" sqref="L5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8.28515625" bestFit="1" customWidth="1"/>
    <col min="4" max="4" width="18.42578125" bestFit="1" customWidth="1"/>
    <col min="5" max="5" width="14.85546875" bestFit="1" customWidth="1"/>
    <col min="6" max="6" width="15.42578125" bestFit="1" customWidth="1"/>
    <col min="7" max="7" width="14.85546875" bestFit="1" customWidth="1"/>
    <col min="8" max="8" width="19.7109375" bestFit="1" customWidth="1"/>
    <col min="9" max="9" width="10.7109375" bestFit="1" customWidth="1"/>
    <col min="10" max="10" width="13.5703125" bestFit="1" customWidth="1"/>
    <col min="11" max="11" width="18.28515625" bestFit="1" customWidth="1"/>
    <col min="12" max="12" width="12" bestFit="1" customWidth="1"/>
    <col min="13" max="13" width="17.85546875" bestFit="1" customWidth="1"/>
  </cols>
  <sheetData>
    <row r="1" spans="1:13" x14ac:dyDescent="0.25">
      <c r="A1" s="8" t="s">
        <v>1159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1140</v>
      </c>
    </row>
    <row r="4" spans="1:13" x14ac:dyDescent="0.25">
      <c r="A4" t="s">
        <v>1122</v>
      </c>
      <c r="B4" t="s">
        <v>1123</v>
      </c>
      <c r="C4" s="1">
        <v>45346</v>
      </c>
      <c r="D4" t="s">
        <v>30</v>
      </c>
      <c r="E4">
        <v>7800</v>
      </c>
      <c r="F4">
        <v>60</v>
      </c>
      <c r="G4">
        <v>9.86</v>
      </c>
      <c r="H4">
        <v>165.19</v>
      </c>
      <c r="I4">
        <v>28.8</v>
      </c>
      <c r="J4" t="s">
        <v>27</v>
      </c>
      <c r="K4">
        <v>0</v>
      </c>
      <c r="L4">
        <v>0</v>
      </c>
      <c r="M4" t="s">
        <v>1144</v>
      </c>
    </row>
    <row r="5" spans="1:13" x14ac:dyDescent="0.25">
      <c r="A5" t="s">
        <v>16</v>
      </c>
      <c r="B5" t="s">
        <v>13</v>
      </c>
      <c r="C5" s="1">
        <v>45517</v>
      </c>
      <c r="D5" t="s">
        <v>17</v>
      </c>
      <c r="E5">
        <v>5600</v>
      </c>
      <c r="F5">
        <v>48</v>
      </c>
      <c r="G5">
        <v>14.21</v>
      </c>
      <c r="H5">
        <v>153.62</v>
      </c>
      <c r="I5">
        <v>40.4</v>
      </c>
      <c r="J5" t="s">
        <v>18</v>
      </c>
      <c r="K5">
        <v>138</v>
      </c>
      <c r="L5">
        <v>1</v>
      </c>
      <c r="M5" t="s">
        <v>1144</v>
      </c>
    </row>
    <row r="6" spans="1:13" x14ac:dyDescent="0.25">
      <c r="A6" t="s">
        <v>1120</v>
      </c>
      <c r="B6" t="s">
        <v>1121</v>
      </c>
      <c r="C6" s="1">
        <v>45401</v>
      </c>
      <c r="D6" t="s">
        <v>21</v>
      </c>
      <c r="E6">
        <v>4600</v>
      </c>
      <c r="F6">
        <v>12</v>
      </c>
      <c r="G6">
        <v>7.27</v>
      </c>
      <c r="H6">
        <v>398.6</v>
      </c>
      <c r="I6">
        <v>32.4</v>
      </c>
      <c r="J6" t="s">
        <v>27</v>
      </c>
      <c r="K6">
        <v>0</v>
      </c>
      <c r="L6">
        <v>0</v>
      </c>
      <c r="M6" t="s">
        <v>1144</v>
      </c>
    </row>
    <row r="7" spans="1:13" x14ac:dyDescent="0.25">
      <c r="A7" t="s">
        <v>1111</v>
      </c>
      <c r="B7" t="s">
        <v>1112</v>
      </c>
      <c r="C7" s="1">
        <v>45496</v>
      </c>
      <c r="D7" t="s">
        <v>17</v>
      </c>
      <c r="E7">
        <v>17500</v>
      </c>
      <c r="F7">
        <v>60</v>
      </c>
      <c r="G7">
        <v>9.65</v>
      </c>
      <c r="H7">
        <v>368.82</v>
      </c>
      <c r="I7">
        <v>30.8</v>
      </c>
      <c r="J7" t="s">
        <v>27</v>
      </c>
      <c r="K7">
        <v>0</v>
      </c>
      <c r="L7">
        <v>0</v>
      </c>
      <c r="M7" t="s">
        <v>1144</v>
      </c>
    </row>
    <row r="8" spans="1:13" x14ac:dyDescent="0.25">
      <c r="A8" t="s">
        <v>25</v>
      </c>
      <c r="B8" t="s">
        <v>26</v>
      </c>
      <c r="C8" s="1">
        <v>45740</v>
      </c>
      <c r="D8" t="s">
        <v>21</v>
      </c>
      <c r="E8">
        <v>11200</v>
      </c>
      <c r="F8">
        <v>36</v>
      </c>
      <c r="G8">
        <v>9.66</v>
      </c>
      <c r="H8">
        <v>359.61</v>
      </c>
      <c r="I8">
        <v>44.1</v>
      </c>
      <c r="J8" t="s">
        <v>27</v>
      </c>
      <c r="K8">
        <v>0</v>
      </c>
      <c r="L8">
        <v>0</v>
      </c>
      <c r="M8" t="s">
        <v>1144</v>
      </c>
    </row>
    <row r="9" spans="1:13" x14ac:dyDescent="0.25">
      <c r="A9" t="s">
        <v>28</v>
      </c>
      <c r="B9" t="s">
        <v>29</v>
      </c>
      <c r="C9" s="1">
        <v>45766</v>
      </c>
      <c r="D9" t="s">
        <v>30</v>
      </c>
      <c r="E9">
        <v>28600</v>
      </c>
      <c r="F9">
        <v>48</v>
      </c>
      <c r="G9">
        <v>13.07</v>
      </c>
      <c r="H9">
        <v>768.26</v>
      </c>
      <c r="I9">
        <v>37.1</v>
      </c>
      <c r="J9" t="s">
        <v>27</v>
      </c>
      <c r="K9">
        <v>0</v>
      </c>
      <c r="L9">
        <v>0</v>
      </c>
      <c r="M9" t="s">
        <v>1144</v>
      </c>
    </row>
    <row r="10" spans="1:13" x14ac:dyDescent="0.25">
      <c r="A10" t="s">
        <v>31</v>
      </c>
      <c r="B10" t="s">
        <v>32</v>
      </c>
      <c r="C10" s="1">
        <v>45477</v>
      </c>
      <c r="D10" t="s">
        <v>33</v>
      </c>
      <c r="E10">
        <v>39200</v>
      </c>
      <c r="F10">
        <v>12</v>
      </c>
      <c r="G10">
        <v>10.23</v>
      </c>
      <c r="H10">
        <v>3450.5</v>
      </c>
      <c r="I10">
        <v>49.9</v>
      </c>
      <c r="J10" t="s">
        <v>15</v>
      </c>
      <c r="K10">
        <v>0</v>
      </c>
      <c r="L10">
        <v>0</v>
      </c>
      <c r="M10" t="s">
        <v>1144</v>
      </c>
    </row>
    <row r="11" spans="1:13" x14ac:dyDescent="0.25">
      <c r="A11" t="s">
        <v>34</v>
      </c>
      <c r="B11" t="s">
        <v>35</v>
      </c>
      <c r="C11" s="1">
        <v>45745</v>
      </c>
      <c r="D11" t="s">
        <v>36</v>
      </c>
      <c r="E11">
        <v>36300</v>
      </c>
      <c r="F11">
        <v>48</v>
      </c>
      <c r="G11">
        <v>14.26</v>
      </c>
      <c r="H11">
        <v>996.69</v>
      </c>
      <c r="I11">
        <v>38.200000000000003</v>
      </c>
      <c r="J11" t="s">
        <v>18</v>
      </c>
      <c r="K11">
        <v>38</v>
      </c>
      <c r="L11">
        <v>1</v>
      </c>
      <c r="M11" t="s">
        <v>1144</v>
      </c>
    </row>
    <row r="12" spans="1:13" x14ac:dyDescent="0.25">
      <c r="A12" t="s">
        <v>37</v>
      </c>
      <c r="B12" t="s">
        <v>35</v>
      </c>
      <c r="C12" s="1">
        <v>45505</v>
      </c>
      <c r="D12" t="s">
        <v>38</v>
      </c>
      <c r="E12">
        <v>39000</v>
      </c>
      <c r="F12">
        <v>60</v>
      </c>
      <c r="G12">
        <v>13.73</v>
      </c>
      <c r="H12">
        <v>902.01</v>
      </c>
      <c r="I12">
        <v>36.799999999999997</v>
      </c>
      <c r="J12" t="s">
        <v>27</v>
      </c>
      <c r="K12">
        <v>0</v>
      </c>
      <c r="L12">
        <v>0</v>
      </c>
      <c r="M12" t="s">
        <v>1144</v>
      </c>
    </row>
    <row r="13" spans="1:13" x14ac:dyDescent="0.25">
      <c r="A13" t="s">
        <v>1109</v>
      </c>
      <c r="B13" t="s">
        <v>1110</v>
      </c>
      <c r="C13" s="1">
        <v>45392</v>
      </c>
      <c r="D13" t="s">
        <v>30</v>
      </c>
      <c r="E13">
        <v>10000</v>
      </c>
      <c r="F13">
        <v>48</v>
      </c>
      <c r="G13">
        <v>9.58</v>
      </c>
      <c r="H13">
        <v>251.61</v>
      </c>
      <c r="I13">
        <v>38.700000000000003</v>
      </c>
      <c r="J13" t="s">
        <v>62</v>
      </c>
      <c r="K13">
        <v>15</v>
      </c>
      <c r="L13">
        <v>0</v>
      </c>
      <c r="M13" t="s">
        <v>1144</v>
      </c>
    </row>
    <row r="14" spans="1:13" x14ac:dyDescent="0.25">
      <c r="A14" t="s">
        <v>1107</v>
      </c>
      <c r="B14" t="s">
        <v>1108</v>
      </c>
      <c r="C14" s="1">
        <v>45374</v>
      </c>
      <c r="D14" t="s">
        <v>24</v>
      </c>
      <c r="E14">
        <v>13200</v>
      </c>
      <c r="F14">
        <v>48</v>
      </c>
      <c r="G14">
        <v>13.58</v>
      </c>
      <c r="H14">
        <v>357.93</v>
      </c>
      <c r="I14">
        <v>49.4</v>
      </c>
      <c r="J14" t="s">
        <v>18</v>
      </c>
      <c r="K14">
        <v>38</v>
      </c>
      <c r="L14">
        <v>1</v>
      </c>
      <c r="M14" t="s">
        <v>1144</v>
      </c>
    </row>
    <row r="15" spans="1:13" x14ac:dyDescent="0.25">
      <c r="A15" t="s">
        <v>1105</v>
      </c>
      <c r="B15" t="s">
        <v>1106</v>
      </c>
      <c r="C15" s="1">
        <v>45806</v>
      </c>
      <c r="D15" t="s">
        <v>41</v>
      </c>
      <c r="E15">
        <v>4800</v>
      </c>
      <c r="F15">
        <v>36</v>
      </c>
      <c r="G15">
        <v>9.7799999999999994</v>
      </c>
      <c r="H15">
        <v>154.38999999999999</v>
      </c>
      <c r="I15">
        <v>40</v>
      </c>
      <c r="J15" t="s">
        <v>27</v>
      </c>
      <c r="K15">
        <v>0</v>
      </c>
      <c r="L15">
        <v>0</v>
      </c>
      <c r="M15" t="s">
        <v>1144</v>
      </c>
    </row>
    <row r="16" spans="1:13" x14ac:dyDescent="0.25">
      <c r="A16" t="s">
        <v>1100</v>
      </c>
      <c r="B16" t="s">
        <v>1099</v>
      </c>
      <c r="C16" s="1">
        <v>45647</v>
      </c>
      <c r="D16" t="s">
        <v>30</v>
      </c>
      <c r="E16">
        <v>7900</v>
      </c>
      <c r="F16">
        <v>48</v>
      </c>
      <c r="G16">
        <v>12.53</v>
      </c>
      <c r="H16">
        <v>210.1</v>
      </c>
      <c r="I16">
        <v>40.5</v>
      </c>
      <c r="J16" t="s">
        <v>62</v>
      </c>
      <c r="K16">
        <v>30</v>
      </c>
      <c r="L16">
        <v>0</v>
      </c>
      <c r="M16" t="s">
        <v>1144</v>
      </c>
    </row>
    <row r="17" spans="1:13" x14ac:dyDescent="0.25">
      <c r="A17" t="s">
        <v>1098</v>
      </c>
      <c r="B17" t="s">
        <v>1099</v>
      </c>
      <c r="C17" s="1">
        <v>45574</v>
      </c>
      <c r="D17" t="s">
        <v>30</v>
      </c>
      <c r="E17">
        <v>20800</v>
      </c>
      <c r="F17">
        <v>48</v>
      </c>
      <c r="G17">
        <v>14.43</v>
      </c>
      <c r="H17">
        <v>572.89</v>
      </c>
      <c r="I17">
        <v>47.4</v>
      </c>
      <c r="J17" t="s">
        <v>27</v>
      </c>
      <c r="K17">
        <v>0</v>
      </c>
      <c r="L17">
        <v>0</v>
      </c>
      <c r="M17" t="s">
        <v>1144</v>
      </c>
    </row>
    <row r="18" spans="1:13" x14ac:dyDescent="0.25">
      <c r="A18" t="s">
        <v>50</v>
      </c>
      <c r="B18" t="s">
        <v>51</v>
      </c>
      <c r="C18" s="1">
        <v>45486</v>
      </c>
      <c r="D18" t="s">
        <v>14</v>
      </c>
      <c r="E18">
        <v>28800</v>
      </c>
      <c r="F18">
        <v>60</v>
      </c>
      <c r="G18">
        <v>9.94</v>
      </c>
      <c r="H18">
        <v>611.05999999999995</v>
      </c>
      <c r="I18">
        <v>48.3</v>
      </c>
      <c r="J18" t="s">
        <v>27</v>
      </c>
      <c r="K18">
        <v>0</v>
      </c>
      <c r="L18">
        <v>0</v>
      </c>
      <c r="M18" t="s">
        <v>1144</v>
      </c>
    </row>
    <row r="19" spans="1:13" x14ac:dyDescent="0.25">
      <c r="A19" t="s">
        <v>52</v>
      </c>
      <c r="B19" t="s">
        <v>51</v>
      </c>
      <c r="C19" s="1">
        <v>45835</v>
      </c>
      <c r="D19" t="s">
        <v>14</v>
      </c>
      <c r="E19">
        <v>23700</v>
      </c>
      <c r="F19">
        <v>60</v>
      </c>
      <c r="G19">
        <v>7.25</v>
      </c>
      <c r="H19">
        <v>472.09</v>
      </c>
      <c r="I19">
        <v>44.5</v>
      </c>
      <c r="J19" t="s">
        <v>18</v>
      </c>
      <c r="K19">
        <v>105</v>
      </c>
      <c r="L19">
        <v>1</v>
      </c>
      <c r="M19" t="s">
        <v>1144</v>
      </c>
    </row>
    <row r="20" spans="1:13" x14ac:dyDescent="0.25">
      <c r="A20" t="s">
        <v>1097</v>
      </c>
      <c r="B20" t="s">
        <v>1096</v>
      </c>
      <c r="C20" s="1">
        <v>45752</v>
      </c>
      <c r="D20" t="s">
        <v>17</v>
      </c>
      <c r="E20">
        <v>48300</v>
      </c>
      <c r="F20">
        <v>60</v>
      </c>
      <c r="G20">
        <v>10.33</v>
      </c>
      <c r="H20">
        <v>1034.0899999999999</v>
      </c>
      <c r="I20">
        <v>32.700000000000003</v>
      </c>
      <c r="J20" t="s">
        <v>62</v>
      </c>
      <c r="K20">
        <v>15</v>
      </c>
      <c r="L20">
        <v>0</v>
      </c>
      <c r="M20" t="s">
        <v>1144</v>
      </c>
    </row>
    <row r="21" spans="1:13" x14ac:dyDescent="0.25">
      <c r="A21" t="s">
        <v>55</v>
      </c>
      <c r="B21" t="s">
        <v>54</v>
      </c>
      <c r="C21" s="1">
        <v>45486</v>
      </c>
      <c r="D21" t="s">
        <v>47</v>
      </c>
      <c r="E21">
        <v>34300</v>
      </c>
      <c r="F21">
        <v>60</v>
      </c>
      <c r="G21">
        <v>13.85</v>
      </c>
      <c r="H21">
        <v>795.44</v>
      </c>
      <c r="I21">
        <v>30.1</v>
      </c>
      <c r="J21" t="s">
        <v>27</v>
      </c>
      <c r="K21">
        <v>0</v>
      </c>
      <c r="L21">
        <v>0</v>
      </c>
      <c r="M21" t="s">
        <v>1144</v>
      </c>
    </row>
    <row r="22" spans="1:13" x14ac:dyDescent="0.25">
      <c r="A22" t="s">
        <v>56</v>
      </c>
      <c r="B22" t="s">
        <v>57</v>
      </c>
      <c r="C22" s="1">
        <v>45360</v>
      </c>
      <c r="D22" t="s">
        <v>30</v>
      </c>
      <c r="E22">
        <v>17500</v>
      </c>
      <c r="F22">
        <v>12</v>
      </c>
      <c r="G22">
        <v>8.4499999999999993</v>
      </c>
      <c r="H22">
        <v>1525.94</v>
      </c>
      <c r="I22">
        <v>41.4</v>
      </c>
      <c r="J22" t="s">
        <v>18</v>
      </c>
      <c r="K22">
        <v>63</v>
      </c>
      <c r="L22">
        <v>1</v>
      </c>
      <c r="M22" t="s">
        <v>1144</v>
      </c>
    </row>
    <row r="23" spans="1:13" x14ac:dyDescent="0.25">
      <c r="A23" t="s">
        <v>1090</v>
      </c>
      <c r="B23" t="s">
        <v>1089</v>
      </c>
      <c r="C23" s="1">
        <v>45829</v>
      </c>
      <c r="D23" t="s">
        <v>36</v>
      </c>
      <c r="E23">
        <v>2400</v>
      </c>
      <c r="F23">
        <v>36</v>
      </c>
      <c r="G23">
        <v>10.039999999999999</v>
      </c>
      <c r="H23">
        <v>77.489999999999995</v>
      </c>
      <c r="I23">
        <v>27.3</v>
      </c>
      <c r="J23" t="s">
        <v>15</v>
      </c>
      <c r="K23">
        <v>0</v>
      </c>
      <c r="L23">
        <v>0</v>
      </c>
      <c r="M23" t="s">
        <v>1144</v>
      </c>
    </row>
    <row r="24" spans="1:13" x14ac:dyDescent="0.25">
      <c r="A24" t="s">
        <v>1078</v>
      </c>
      <c r="B24" t="s">
        <v>1079</v>
      </c>
      <c r="C24" s="1">
        <v>45797</v>
      </c>
      <c r="D24" t="s">
        <v>24</v>
      </c>
      <c r="E24">
        <v>7000</v>
      </c>
      <c r="F24">
        <v>36</v>
      </c>
      <c r="G24">
        <v>12.5</v>
      </c>
      <c r="H24">
        <v>234.18</v>
      </c>
      <c r="I24">
        <v>43</v>
      </c>
      <c r="J24" t="s">
        <v>27</v>
      </c>
      <c r="K24">
        <v>0</v>
      </c>
      <c r="L24">
        <v>0</v>
      </c>
      <c r="M24" t="s">
        <v>1144</v>
      </c>
    </row>
    <row r="25" spans="1:13" x14ac:dyDescent="0.25">
      <c r="A25" t="s">
        <v>1076</v>
      </c>
      <c r="B25" t="s">
        <v>1077</v>
      </c>
      <c r="C25" s="1">
        <v>45670</v>
      </c>
      <c r="D25" t="s">
        <v>17</v>
      </c>
      <c r="E25">
        <v>26400</v>
      </c>
      <c r="F25">
        <v>12</v>
      </c>
      <c r="G25">
        <v>8.7899999999999991</v>
      </c>
      <c r="H25">
        <v>2306.15</v>
      </c>
      <c r="I25">
        <v>39.1</v>
      </c>
      <c r="J25" t="s">
        <v>15</v>
      </c>
      <c r="K25">
        <v>0</v>
      </c>
      <c r="L25">
        <v>0</v>
      </c>
      <c r="M25" t="s">
        <v>1144</v>
      </c>
    </row>
    <row r="26" spans="1:13" x14ac:dyDescent="0.25">
      <c r="A26" t="s">
        <v>1074</v>
      </c>
      <c r="B26" t="s">
        <v>1075</v>
      </c>
      <c r="C26" s="1">
        <v>45563</v>
      </c>
      <c r="D26" t="s">
        <v>14</v>
      </c>
      <c r="E26">
        <v>2900</v>
      </c>
      <c r="F26">
        <v>60</v>
      </c>
      <c r="G26">
        <v>8.6300000000000008</v>
      </c>
      <c r="H26">
        <v>59.68</v>
      </c>
      <c r="I26">
        <v>34.799999999999997</v>
      </c>
      <c r="J26" t="s">
        <v>27</v>
      </c>
      <c r="K26">
        <v>0</v>
      </c>
      <c r="L26">
        <v>0</v>
      </c>
      <c r="M26" t="s">
        <v>1144</v>
      </c>
    </row>
    <row r="27" spans="1:13" x14ac:dyDescent="0.25">
      <c r="A27" t="s">
        <v>1072</v>
      </c>
      <c r="B27" t="s">
        <v>1073</v>
      </c>
      <c r="C27" s="1">
        <v>45396</v>
      </c>
      <c r="D27" t="s">
        <v>17</v>
      </c>
      <c r="E27">
        <v>10300</v>
      </c>
      <c r="F27">
        <v>24</v>
      </c>
      <c r="G27">
        <v>11.51</v>
      </c>
      <c r="H27">
        <v>482.5</v>
      </c>
      <c r="I27">
        <v>26.9</v>
      </c>
      <c r="J27" t="s">
        <v>62</v>
      </c>
      <c r="K27">
        <v>15</v>
      </c>
      <c r="L27">
        <v>0</v>
      </c>
      <c r="M27" t="s">
        <v>1144</v>
      </c>
    </row>
    <row r="28" spans="1:13" x14ac:dyDescent="0.25">
      <c r="A28" t="s">
        <v>1070</v>
      </c>
      <c r="B28" t="s">
        <v>1071</v>
      </c>
      <c r="C28" s="1">
        <v>45664</v>
      </c>
      <c r="D28" t="s">
        <v>33</v>
      </c>
      <c r="E28">
        <v>7100</v>
      </c>
      <c r="F28">
        <v>24</v>
      </c>
      <c r="G28">
        <v>7.01</v>
      </c>
      <c r="H28">
        <v>317.92</v>
      </c>
      <c r="I28">
        <v>40</v>
      </c>
      <c r="J28" t="s">
        <v>62</v>
      </c>
      <c r="K28">
        <v>0</v>
      </c>
      <c r="L28">
        <v>0</v>
      </c>
      <c r="M28" t="s">
        <v>1144</v>
      </c>
    </row>
    <row r="29" spans="1:13" x14ac:dyDescent="0.25">
      <c r="A29" t="s">
        <v>1068</v>
      </c>
      <c r="B29" t="s">
        <v>1069</v>
      </c>
      <c r="C29" s="1">
        <v>45832</v>
      </c>
      <c r="D29" t="s">
        <v>17</v>
      </c>
      <c r="E29">
        <v>6100</v>
      </c>
      <c r="F29">
        <v>24</v>
      </c>
      <c r="G29">
        <v>10.25</v>
      </c>
      <c r="H29">
        <v>282.19</v>
      </c>
      <c r="I29">
        <v>47.8</v>
      </c>
      <c r="J29" t="s">
        <v>15</v>
      </c>
      <c r="K29">
        <v>0</v>
      </c>
      <c r="L29">
        <v>0</v>
      </c>
      <c r="M29" t="s">
        <v>1144</v>
      </c>
    </row>
    <row r="30" spans="1:13" x14ac:dyDescent="0.25">
      <c r="A30" t="s">
        <v>1066</v>
      </c>
      <c r="B30" t="s">
        <v>1067</v>
      </c>
      <c r="C30" s="1">
        <v>45368</v>
      </c>
      <c r="D30" t="s">
        <v>21</v>
      </c>
      <c r="E30">
        <v>13600</v>
      </c>
      <c r="F30">
        <v>24</v>
      </c>
      <c r="G30">
        <v>13.16</v>
      </c>
      <c r="H30">
        <v>647.59</v>
      </c>
      <c r="I30">
        <v>38.700000000000003</v>
      </c>
      <c r="J30" t="s">
        <v>27</v>
      </c>
      <c r="K30">
        <v>0</v>
      </c>
      <c r="L30">
        <v>0</v>
      </c>
      <c r="M30" t="s">
        <v>1144</v>
      </c>
    </row>
    <row r="31" spans="1:13" x14ac:dyDescent="0.25">
      <c r="A31" t="s">
        <v>74</v>
      </c>
      <c r="B31" t="s">
        <v>75</v>
      </c>
      <c r="C31" s="1">
        <v>45314</v>
      </c>
      <c r="D31" t="s">
        <v>24</v>
      </c>
      <c r="E31">
        <v>7400</v>
      </c>
      <c r="F31">
        <v>24</v>
      </c>
      <c r="G31">
        <v>12.65</v>
      </c>
      <c r="H31">
        <v>350.59</v>
      </c>
      <c r="I31">
        <v>29.2</v>
      </c>
      <c r="J31" t="s">
        <v>62</v>
      </c>
      <c r="K31">
        <v>15</v>
      </c>
      <c r="L31">
        <v>0</v>
      </c>
      <c r="M31" t="s">
        <v>1144</v>
      </c>
    </row>
    <row r="32" spans="1:13" x14ac:dyDescent="0.25">
      <c r="A32" t="s">
        <v>76</v>
      </c>
      <c r="B32" t="s">
        <v>75</v>
      </c>
      <c r="C32" s="1">
        <v>45330</v>
      </c>
      <c r="D32" t="s">
        <v>21</v>
      </c>
      <c r="E32">
        <v>13600</v>
      </c>
      <c r="F32">
        <v>60</v>
      </c>
      <c r="G32">
        <v>9.14</v>
      </c>
      <c r="H32">
        <v>283.24</v>
      </c>
      <c r="I32">
        <v>25.9</v>
      </c>
      <c r="J32" t="s">
        <v>27</v>
      </c>
      <c r="K32">
        <v>0</v>
      </c>
      <c r="L32">
        <v>0</v>
      </c>
      <c r="M32" t="s">
        <v>1144</v>
      </c>
    </row>
    <row r="33" spans="1:13" x14ac:dyDescent="0.25">
      <c r="A33" t="s">
        <v>1063</v>
      </c>
      <c r="B33" t="s">
        <v>1064</v>
      </c>
      <c r="C33" s="1">
        <v>45715</v>
      </c>
      <c r="D33" t="s">
        <v>47</v>
      </c>
      <c r="E33">
        <v>5200</v>
      </c>
      <c r="F33">
        <v>24</v>
      </c>
      <c r="G33">
        <v>10.25</v>
      </c>
      <c r="H33">
        <v>240.55</v>
      </c>
      <c r="I33">
        <v>44.2</v>
      </c>
      <c r="J33" t="s">
        <v>27</v>
      </c>
      <c r="K33">
        <v>0</v>
      </c>
      <c r="L33">
        <v>0</v>
      </c>
      <c r="M33" t="s">
        <v>1144</v>
      </c>
    </row>
    <row r="34" spans="1:13" x14ac:dyDescent="0.25">
      <c r="A34" t="s">
        <v>1060</v>
      </c>
      <c r="B34" t="s">
        <v>1061</v>
      </c>
      <c r="C34" s="1">
        <v>45297</v>
      </c>
      <c r="D34" t="s">
        <v>17</v>
      </c>
      <c r="E34">
        <v>6200</v>
      </c>
      <c r="F34">
        <v>36</v>
      </c>
      <c r="G34">
        <v>11.68</v>
      </c>
      <c r="H34">
        <v>204.98</v>
      </c>
      <c r="I34">
        <v>33.5</v>
      </c>
      <c r="J34" t="s">
        <v>62</v>
      </c>
      <c r="K34">
        <v>15</v>
      </c>
      <c r="L34">
        <v>0</v>
      </c>
      <c r="M34" t="s">
        <v>1144</v>
      </c>
    </row>
    <row r="35" spans="1:13" x14ac:dyDescent="0.25">
      <c r="A35" t="s">
        <v>80</v>
      </c>
      <c r="B35" t="s">
        <v>81</v>
      </c>
      <c r="C35" s="1">
        <v>45736</v>
      </c>
      <c r="D35" t="s">
        <v>36</v>
      </c>
      <c r="E35">
        <v>46200</v>
      </c>
      <c r="F35">
        <v>36</v>
      </c>
      <c r="G35">
        <v>10.72</v>
      </c>
      <c r="H35">
        <v>1506.41</v>
      </c>
      <c r="I35">
        <v>47.5</v>
      </c>
      <c r="J35" t="s">
        <v>62</v>
      </c>
      <c r="K35">
        <v>15</v>
      </c>
      <c r="L35">
        <v>0</v>
      </c>
      <c r="M35" t="s">
        <v>1144</v>
      </c>
    </row>
    <row r="36" spans="1:13" x14ac:dyDescent="0.25">
      <c r="A36" t="s">
        <v>1054</v>
      </c>
      <c r="B36" t="s">
        <v>1053</v>
      </c>
      <c r="C36" s="1">
        <v>45764</v>
      </c>
      <c r="D36" t="s">
        <v>41</v>
      </c>
      <c r="E36">
        <v>15400</v>
      </c>
      <c r="F36">
        <v>60</v>
      </c>
      <c r="G36">
        <v>11.01</v>
      </c>
      <c r="H36">
        <v>334.91</v>
      </c>
      <c r="I36">
        <v>47</v>
      </c>
      <c r="J36" t="s">
        <v>27</v>
      </c>
      <c r="K36">
        <v>0</v>
      </c>
      <c r="L36">
        <v>0</v>
      </c>
      <c r="M36" t="s">
        <v>1144</v>
      </c>
    </row>
    <row r="37" spans="1:13" x14ac:dyDescent="0.25">
      <c r="A37" t="s">
        <v>1047</v>
      </c>
      <c r="B37" t="s">
        <v>1046</v>
      </c>
      <c r="C37" s="1">
        <v>45303</v>
      </c>
      <c r="D37" t="s">
        <v>30</v>
      </c>
      <c r="E37">
        <v>6000</v>
      </c>
      <c r="F37">
        <v>12</v>
      </c>
      <c r="G37">
        <v>10.23</v>
      </c>
      <c r="H37">
        <v>528.14</v>
      </c>
      <c r="I37">
        <v>32.200000000000003</v>
      </c>
      <c r="J37" t="s">
        <v>27</v>
      </c>
      <c r="K37">
        <v>0</v>
      </c>
      <c r="L37">
        <v>0</v>
      </c>
      <c r="M37" t="s">
        <v>1144</v>
      </c>
    </row>
    <row r="38" spans="1:13" x14ac:dyDescent="0.25">
      <c r="A38" t="s">
        <v>1043</v>
      </c>
      <c r="B38" t="s">
        <v>1044</v>
      </c>
      <c r="C38" s="1">
        <v>45711</v>
      </c>
      <c r="D38" t="s">
        <v>36</v>
      </c>
      <c r="E38">
        <v>44700</v>
      </c>
      <c r="F38">
        <v>60</v>
      </c>
      <c r="G38">
        <v>9.92</v>
      </c>
      <c r="H38">
        <v>947.98</v>
      </c>
      <c r="I38">
        <v>46.1</v>
      </c>
      <c r="J38" t="s">
        <v>62</v>
      </c>
      <c r="K38">
        <v>0</v>
      </c>
      <c r="L38">
        <v>0</v>
      </c>
      <c r="M38" t="s">
        <v>1144</v>
      </c>
    </row>
    <row r="39" spans="1:13" x14ac:dyDescent="0.25">
      <c r="A39" t="s">
        <v>1042</v>
      </c>
      <c r="B39" t="s">
        <v>1041</v>
      </c>
      <c r="C39" s="1">
        <v>45684</v>
      </c>
      <c r="D39" t="s">
        <v>17</v>
      </c>
      <c r="E39">
        <v>14300</v>
      </c>
      <c r="F39">
        <v>36</v>
      </c>
      <c r="G39">
        <v>11.6</v>
      </c>
      <c r="H39">
        <v>472.24</v>
      </c>
      <c r="I39">
        <v>46.4</v>
      </c>
      <c r="J39" t="s">
        <v>27</v>
      </c>
      <c r="K39">
        <v>0</v>
      </c>
      <c r="L39">
        <v>0</v>
      </c>
      <c r="M39" t="s">
        <v>1144</v>
      </c>
    </row>
    <row r="40" spans="1:13" x14ac:dyDescent="0.25">
      <c r="A40" t="s">
        <v>90</v>
      </c>
      <c r="B40" t="s">
        <v>91</v>
      </c>
      <c r="C40" s="1">
        <v>45383</v>
      </c>
      <c r="D40" t="s">
        <v>21</v>
      </c>
      <c r="E40">
        <v>5400</v>
      </c>
      <c r="F40">
        <v>48</v>
      </c>
      <c r="G40">
        <v>10.5</v>
      </c>
      <c r="H40">
        <v>138.26</v>
      </c>
      <c r="I40">
        <v>29.3</v>
      </c>
      <c r="J40" t="s">
        <v>18</v>
      </c>
      <c r="K40">
        <v>135</v>
      </c>
      <c r="L40">
        <v>1</v>
      </c>
      <c r="M40" t="s">
        <v>1144</v>
      </c>
    </row>
    <row r="41" spans="1:13" x14ac:dyDescent="0.25">
      <c r="A41" t="s">
        <v>1040</v>
      </c>
      <c r="B41" t="s">
        <v>1041</v>
      </c>
      <c r="C41" s="1">
        <v>45502</v>
      </c>
      <c r="D41" t="s">
        <v>24</v>
      </c>
      <c r="E41">
        <v>6900</v>
      </c>
      <c r="F41">
        <v>60</v>
      </c>
      <c r="G41">
        <v>10.039999999999999</v>
      </c>
      <c r="H41">
        <v>146.74</v>
      </c>
      <c r="I41">
        <v>38</v>
      </c>
      <c r="J41" t="s">
        <v>15</v>
      </c>
      <c r="K41">
        <v>0</v>
      </c>
      <c r="L41">
        <v>0</v>
      </c>
      <c r="M41" t="s">
        <v>1144</v>
      </c>
    </row>
    <row r="42" spans="1:13" x14ac:dyDescent="0.25">
      <c r="A42" t="s">
        <v>94</v>
      </c>
      <c r="B42" t="s">
        <v>95</v>
      </c>
      <c r="C42" s="1">
        <v>45674</v>
      </c>
      <c r="D42" t="s">
        <v>33</v>
      </c>
      <c r="E42">
        <v>46400</v>
      </c>
      <c r="F42">
        <v>24</v>
      </c>
      <c r="G42">
        <v>7.45</v>
      </c>
      <c r="H42">
        <v>2086.9299999999998</v>
      </c>
      <c r="I42">
        <v>42.1</v>
      </c>
      <c r="J42" t="s">
        <v>27</v>
      </c>
      <c r="K42">
        <v>0</v>
      </c>
      <c r="L42">
        <v>0</v>
      </c>
      <c r="M42" t="s">
        <v>1144</v>
      </c>
    </row>
    <row r="43" spans="1:13" x14ac:dyDescent="0.25">
      <c r="A43" t="s">
        <v>96</v>
      </c>
      <c r="B43" t="s">
        <v>97</v>
      </c>
      <c r="C43" s="1">
        <v>45405</v>
      </c>
      <c r="D43" t="s">
        <v>38</v>
      </c>
      <c r="E43">
        <v>46500</v>
      </c>
      <c r="F43">
        <v>36</v>
      </c>
      <c r="G43">
        <v>10.02</v>
      </c>
      <c r="H43">
        <v>1500.86</v>
      </c>
      <c r="I43">
        <v>37.5</v>
      </c>
      <c r="J43" t="s">
        <v>27</v>
      </c>
      <c r="K43">
        <v>0</v>
      </c>
      <c r="L43">
        <v>0</v>
      </c>
      <c r="M43" t="s">
        <v>1144</v>
      </c>
    </row>
    <row r="44" spans="1:13" x14ac:dyDescent="0.25">
      <c r="A44" t="s">
        <v>1038</v>
      </c>
      <c r="B44" t="s">
        <v>1039</v>
      </c>
      <c r="C44" s="1">
        <v>45701</v>
      </c>
      <c r="D44" t="s">
        <v>21</v>
      </c>
      <c r="E44">
        <v>24400</v>
      </c>
      <c r="F44">
        <v>48</v>
      </c>
      <c r="G44">
        <v>11.75</v>
      </c>
      <c r="H44">
        <v>639.54999999999995</v>
      </c>
      <c r="I44">
        <v>47</v>
      </c>
      <c r="J44" t="s">
        <v>27</v>
      </c>
      <c r="K44">
        <v>0</v>
      </c>
      <c r="L44">
        <v>0</v>
      </c>
      <c r="M44" t="s">
        <v>1144</v>
      </c>
    </row>
    <row r="45" spans="1:13" x14ac:dyDescent="0.25">
      <c r="A45" t="s">
        <v>100</v>
      </c>
      <c r="B45" t="s">
        <v>101</v>
      </c>
      <c r="C45" s="1">
        <v>45569</v>
      </c>
      <c r="D45" t="s">
        <v>21</v>
      </c>
      <c r="E45">
        <v>4300</v>
      </c>
      <c r="F45">
        <v>36</v>
      </c>
      <c r="G45">
        <v>9.34</v>
      </c>
      <c r="H45">
        <v>137.41999999999999</v>
      </c>
      <c r="I45">
        <v>30.9</v>
      </c>
      <c r="J45" t="s">
        <v>18</v>
      </c>
      <c r="K45">
        <v>32</v>
      </c>
      <c r="L45">
        <v>1</v>
      </c>
      <c r="M45" t="s">
        <v>1144</v>
      </c>
    </row>
    <row r="46" spans="1:13" x14ac:dyDescent="0.25">
      <c r="A46" t="s">
        <v>102</v>
      </c>
      <c r="B46" t="s">
        <v>101</v>
      </c>
      <c r="C46" s="1">
        <v>45311</v>
      </c>
      <c r="D46" t="s">
        <v>36</v>
      </c>
      <c r="E46">
        <v>10500</v>
      </c>
      <c r="F46">
        <v>36</v>
      </c>
      <c r="G46">
        <v>12.65</v>
      </c>
      <c r="H46">
        <v>352.02</v>
      </c>
      <c r="I46">
        <v>36.799999999999997</v>
      </c>
      <c r="J46" t="s">
        <v>62</v>
      </c>
      <c r="K46">
        <v>15</v>
      </c>
      <c r="L46">
        <v>0</v>
      </c>
      <c r="M46" t="s">
        <v>1144</v>
      </c>
    </row>
    <row r="47" spans="1:13" x14ac:dyDescent="0.25">
      <c r="A47" t="s">
        <v>1028</v>
      </c>
      <c r="B47" t="s">
        <v>1029</v>
      </c>
      <c r="C47" s="1">
        <v>45504</v>
      </c>
      <c r="D47" t="s">
        <v>24</v>
      </c>
      <c r="E47">
        <v>6500</v>
      </c>
      <c r="F47">
        <v>48</v>
      </c>
      <c r="G47">
        <v>13.44</v>
      </c>
      <c r="H47">
        <v>175.8</v>
      </c>
      <c r="I47">
        <v>34.799999999999997</v>
      </c>
      <c r="J47" t="s">
        <v>27</v>
      </c>
      <c r="K47">
        <v>0</v>
      </c>
      <c r="L47">
        <v>0</v>
      </c>
      <c r="M47" t="s">
        <v>1144</v>
      </c>
    </row>
    <row r="48" spans="1:13" x14ac:dyDescent="0.25">
      <c r="A48" t="s">
        <v>1027</v>
      </c>
      <c r="B48" t="s">
        <v>1026</v>
      </c>
      <c r="C48" s="1">
        <v>45397</v>
      </c>
      <c r="D48" t="s">
        <v>24</v>
      </c>
      <c r="E48">
        <v>12200</v>
      </c>
      <c r="F48">
        <v>24</v>
      </c>
      <c r="G48">
        <v>9.42</v>
      </c>
      <c r="H48">
        <v>559.71</v>
      </c>
      <c r="I48">
        <v>32</v>
      </c>
      <c r="J48" t="s">
        <v>62</v>
      </c>
      <c r="K48">
        <v>15</v>
      </c>
      <c r="L48">
        <v>0</v>
      </c>
      <c r="M48" t="s">
        <v>1144</v>
      </c>
    </row>
    <row r="49" spans="1:13" x14ac:dyDescent="0.25">
      <c r="A49" t="s">
        <v>106</v>
      </c>
      <c r="B49" t="s">
        <v>107</v>
      </c>
      <c r="C49" s="1">
        <v>45533</v>
      </c>
      <c r="D49" t="s">
        <v>33</v>
      </c>
      <c r="E49">
        <v>12800</v>
      </c>
      <c r="F49">
        <v>36</v>
      </c>
      <c r="G49">
        <v>13.96</v>
      </c>
      <c r="H49">
        <v>437.23</v>
      </c>
      <c r="I49">
        <v>32.200000000000003</v>
      </c>
      <c r="J49" t="s">
        <v>62</v>
      </c>
      <c r="K49">
        <v>30</v>
      </c>
      <c r="L49">
        <v>0</v>
      </c>
      <c r="M49" t="s">
        <v>1144</v>
      </c>
    </row>
    <row r="50" spans="1:13" x14ac:dyDescent="0.25">
      <c r="A50" t="s">
        <v>1025</v>
      </c>
      <c r="B50" t="s">
        <v>1026</v>
      </c>
      <c r="C50" s="1">
        <v>45543</v>
      </c>
      <c r="D50" t="s">
        <v>30</v>
      </c>
      <c r="E50">
        <v>13000</v>
      </c>
      <c r="F50">
        <v>24</v>
      </c>
      <c r="G50">
        <v>7.77</v>
      </c>
      <c r="H50">
        <v>586.59</v>
      </c>
      <c r="I50">
        <v>32.9</v>
      </c>
      <c r="J50" t="s">
        <v>27</v>
      </c>
      <c r="K50">
        <v>0</v>
      </c>
      <c r="L50">
        <v>0</v>
      </c>
      <c r="M50" t="s">
        <v>1144</v>
      </c>
    </row>
    <row r="51" spans="1:13" x14ac:dyDescent="0.25">
      <c r="A51" t="s">
        <v>110</v>
      </c>
      <c r="B51" t="s">
        <v>111</v>
      </c>
      <c r="C51" s="1">
        <v>45524</v>
      </c>
      <c r="D51" t="s">
        <v>33</v>
      </c>
      <c r="E51">
        <v>5900</v>
      </c>
      <c r="F51">
        <v>60</v>
      </c>
      <c r="G51">
        <v>12.11</v>
      </c>
      <c r="H51">
        <v>131.57</v>
      </c>
      <c r="I51">
        <v>29.4</v>
      </c>
      <c r="J51" t="s">
        <v>27</v>
      </c>
      <c r="K51">
        <v>0</v>
      </c>
      <c r="L51">
        <v>0</v>
      </c>
      <c r="M51" t="s">
        <v>1144</v>
      </c>
    </row>
    <row r="52" spans="1:13" x14ac:dyDescent="0.25">
      <c r="A52" t="s">
        <v>112</v>
      </c>
      <c r="B52" t="s">
        <v>111</v>
      </c>
      <c r="C52" s="1">
        <v>45433</v>
      </c>
      <c r="D52" t="s">
        <v>24</v>
      </c>
      <c r="E52">
        <v>15100</v>
      </c>
      <c r="F52">
        <v>60</v>
      </c>
      <c r="G52">
        <v>8.41</v>
      </c>
      <c r="H52">
        <v>309.14999999999998</v>
      </c>
      <c r="I52">
        <v>36.5</v>
      </c>
      <c r="J52" t="s">
        <v>27</v>
      </c>
      <c r="K52">
        <v>0</v>
      </c>
      <c r="L52">
        <v>0</v>
      </c>
      <c r="M52" t="s">
        <v>1144</v>
      </c>
    </row>
    <row r="53" spans="1:13" x14ac:dyDescent="0.25">
      <c r="A53" t="s">
        <v>113</v>
      </c>
      <c r="B53" t="s">
        <v>114</v>
      </c>
      <c r="C53" s="1">
        <v>45453</v>
      </c>
      <c r="D53" t="s">
        <v>21</v>
      </c>
      <c r="E53">
        <v>22600</v>
      </c>
      <c r="F53">
        <v>24</v>
      </c>
      <c r="G53">
        <v>10.199999999999999</v>
      </c>
      <c r="H53">
        <v>1044.96</v>
      </c>
      <c r="I53">
        <v>26.2</v>
      </c>
      <c r="J53" t="s">
        <v>15</v>
      </c>
      <c r="K53">
        <v>0</v>
      </c>
      <c r="L53">
        <v>0</v>
      </c>
      <c r="M53" t="s">
        <v>1144</v>
      </c>
    </row>
    <row r="54" spans="1:13" x14ac:dyDescent="0.25">
      <c r="A54" t="s">
        <v>1020</v>
      </c>
      <c r="B54" t="s">
        <v>1019</v>
      </c>
      <c r="C54" s="1">
        <v>45393</v>
      </c>
      <c r="D54" t="s">
        <v>33</v>
      </c>
      <c r="E54">
        <v>12600</v>
      </c>
      <c r="F54">
        <v>24</v>
      </c>
      <c r="G54">
        <v>9.85</v>
      </c>
      <c r="H54">
        <v>580.54999999999995</v>
      </c>
      <c r="I54">
        <v>28.5</v>
      </c>
      <c r="J54" t="s">
        <v>27</v>
      </c>
      <c r="K54">
        <v>0</v>
      </c>
      <c r="L54">
        <v>0</v>
      </c>
      <c r="M54" t="s">
        <v>1144</v>
      </c>
    </row>
    <row r="55" spans="1:13" x14ac:dyDescent="0.25">
      <c r="A55" t="s">
        <v>117</v>
      </c>
      <c r="B55" t="s">
        <v>118</v>
      </c>
      <c r="C55" s="1">
        <v>45565</v>
      </c>
      <c r="D55" t="s">
        <v>24</v>
      </c>
      <c r="E55">
        <v>11000</v>
      </c>
      <c r="F55">
        <v>24</v>
      </c>
      <c r="G55">
        <v>10.24</v>
      </c>
      <c r="H55">
        <v>508.81</v>
      </c>
      <c r="I55">
        <v>39.299999999999997</v>
      </c>
      <c r="J55" t="s">
        <v>27</v>
      </c>
      <c r="K55">
        <v>0</v>
      </c>
      <c r="L55">
        <v>0</v>
      </c>
      <c r="M55" t="s">
        <v>1144</v>
      </c>
    </row>
    <row r="56" spans="1:13" x14ac:dyDescent="0.25">
      <c r="A56" t="s">
        <v>119</v>
      </c>
      <c r="B56" t="s">
        <v>118</v>
      </c>
      <c r="C56" s="1">
        <v>45772</v>
      </c>
      <c r="D56" t="s">
        <v>38</v>
      </c>
      <c r="E56">
        <v>19200</v>
      </c>
      <c r="F56">
        <v>48</v>
      </c>
      <c r="G56">
        <v>9.99</v>
      </c>
      <c r="H56">
        <v>486.87</v>
      </c>
      <c r="I56">
        <v>39.1</v>
      </c>
      <c r="J56" t="s">
        <v>15</v>
      </c>
      <c r="K56">
        <v>0</v>
      </c>
      <c r="L56">
        <v>0</v>
      </c>
      <c r="M56" t="s">
        <v>1144</v>
      </c>
    </row>
    <row r="57" spans="1:13" x14ac:dyDescent="0.25">
      <c r="A57" t="s">
        <v>1016</v>
      </c>
      <c r="B57" t="s">
        <v>1017</v>
      </c>
      <c r="C57" s="1">
        <v>45466</v>
      </c>
      <c r="D57" t="s">
        <v>30</v>
      </c>
      <c r="E57">
        <v>26900</v>
      </c>
      <c r="F57">
        <v>60</v>
      </c>
      <c r="G57">
        <v>11.75</v>
      </c>
      <c r="H57">
        <v>594.98</v>
      </c>
      <c r="I57">
        <v>45.4</v>
      </c>
      <c r="J57" t="s">
        <v>62</v>
      </c>
      <c r="K57">
        <v>30</v>
      </c>
      <c r="L57">
        <v>0</v>
      </c>
      <c r="M57" t="s">
        <v>1144</v>
      </c>
    </row>
    <row r="58" spans="1:13" x14ac:dyDescent="0.25">
      <c r="A58" t="s">
        <v>122</v>
      </c>
      <c r="B58" t="s">
        <v>123</v>
      </c>
      <c r="C58" s="1">
        <v>45793</v>
      </c>
      <c r="D58" t="s">
        <v>38</v>
      </c>
      <c r="E58">
        <v>3900</v>
      </c>
      <c r="F58">
        <v>48</v>
      </c>
      <c r="G58">
        <v>13.92</v>
      </c>
      <c r="H58">
        <v>106.42</v>
      </c>
      <c r="I58">
        <v>41.3</v>
      </c>
      <c r="J58" t="s">
        <v>62</v>
      </c>
      <c r="K58">
        <v>15</v>
      </c>
      <c r="L58">
        <v>0</v>
      </c>
      <c r="M58" t="s">
        <v>1144</v>
      </c>
    </row>
    <row r="59" spans="1:13" x14ac:dyDescent="0.25">
      <c r="A59" t="s">
        <v>124</v>
      </c>
      <c r="B59" t="s">
        <v>125</v>
      </c>
      <c r="C59" s="1">
        <v>45829</v>
      </c>
      <c r="D59" t="s">
        <v>41</v>
      </c>
      <c r="E59">
        <v>41600</v>
      </c>
      <c r="F59">
        <v>36</v>
      </c>
      <c r="G59">
        <v>10.34</v>
      </c>
      <c r="H59">
        <v>1348.97</v>
      </c>
      <c r="I59">
        <v>31.5</v>
      </c>
      <c r="J59" t="s">
        <v>27</v>
      </c>
      <c r="K59">
        <v>0</v>
      </c>
      <c r="L59">
        <v>0</v>
      </c>
      <c r="M59" t="s">
        <v>1144</v>
      </c>
    </row>
    <row r="60" spans="1:13" x14ac:dyDescent="0.25">
      <c r="A60" t="s">
        <v>1012</v>
      </c>
      <c r="B60" t="s">
        <v>1013</v>
      </c>
      <c r="C60" s="1">
        <v>45675</v>
      </c>
      <c r="D60" t="s">
        <v>14</v>
      </c>
      <c r="E60">
        <v>30100</v>
      </c>
      <c r="F60">
        <v>48</v>
      </c>
      <c r="G60">
        <v>9.07</v>
      </c>
      <c r="H60">
        <v>750.04</v>
      </c>
      <c r="I60">
        <v>42.4</v>
      </c>
      <c r="J60" t="s">
        <v>27</v>
      </c>
      <c r="K60">
        <v>0</v>
      </c>
      <c r="L60">
        <v>0</v>
      </c>
      <c r="M60" t="s">
        <v>1144</v>
      </c>
    </row>
    <row r="61" spans="1:13" x14ac:dyDescent="0.25">
      <c r="A61" t="s">
        <v>128</v>
      </c>
      <c r="B61" t="s">
        <v>129</v>
      </c>
      <c r="C61" s="1">
        <v>45584</v>
      </c>
      <c r="D61" t="s">
        <v>41</v>
      </c>
      <c r="E61">
        <v>14400</v>
      </c>
      <c r="F61">
        <v>36</v>
      </c>
      <c r="G61">
        <v>12.3</v>
      </c>
      <c r="H61">
        <v>480.35</v>
      </c>
      <c r="I61">
        <v>38.700000000000003</v>
      </c>
      <c r="J61" t="s">
        <v>62</v>
      </c>
      <c r="K61">
        <v>0</v>
      </c>
      <c r="L61">
        <v>0</v>
      </c>
      <c r="M61" t="s">
        <v>1144</v>
      </c>
    </row>
    <row r="62" spans="1:13" x14ac:dyDescent="0.25">
      <c r="A62" t="s">
        <v>130</v>
      </c>
      <c r="B62" t="s">
        <v>131</v>
      </c>
      <c r="C62" s="1">
        <v>45804</v>
      </c>
      <c r="D62" t="s">
        <v>21</v>
      </c>
      <c r="E62">
        <v>24300</v>
      </c>
      <c r="F62">
        <v>48</v>
      </c>
      <c r="G62">
        <v>6.29</v>
      </c>
      <c r="H62">
        <v>573.91999999999996</v>
      </c>
      <c r="I62">
        <v>28.8</v>
      </c>
      <c r="J62" t="s">
        <v>15</v>
      </c>
      <c r="K62">
        <v>0</v>
      </c>
      <c r="L62">
        <v>0</v>
      </c>
      <c r="M62" t="s">
        <v>1144</v>
      </c>
    </row>
    <row r="63" spans="1:13" x14ac:dyDescent="0.25">
      <c r="A63" t="s">
        <v>1010</v>
      </c>
      <c r="B63" t="s">
        <v>1011</v>
      </c>
      <c r="C63" s="1">
        <v>45492</v>
      </c>
      <c r="D63" t="s">
        <v>17</v>
      </c>
      <c r="E63">
        <v>23500</v>
      </c>
      <c r="F63">
        <v>60</v>
      </c>
      <c r="G63">
        <v>10.74</v>
      </c>
      <c r="H63">
        <v>507.91</v>
      </c>
      <c r="I63">
        <v>49.1</v>
      </c>
      <c r="J63" t="s">
        <v>62</v>
      </c>
      <c r="K63">
        <v>30</v>
      </c>
      <c r="L63">
        <v>0</v>
      </c>
      <c r="M63" t="s">
        <v>1144</v>
      </c>
    </row>
    <row r="64" spans="1:13" x14ac:dyDescent="0.25">
      <c r="A64" t="s">
        <v>1003</v>
      </c>
      <c r="B64" t="s">
        <v>1004</v>
      </c>
      <c r="C64" s="1">
        <v>45758</v>
      </c>
      <c r="D64" t="s">
        <v>41</v>
      </c>
      <c r="E64">
        <v>16700</v>
      </c>
      <c r="F64">
        <v>12</v>
      </c>
      <c r="G64">
        <v>9.33</v>
      </c>
      <c r="H64">
        <v>1463</v>
      </c>
      <c r="I64">
        <v>32</v>
      </c>
      <c r="J64" t="s">
        <v>15</v>
      </c>
      <c r="K64">
        <v>0</v>
      </c>
      <c r="L64">
        <v>0</v>
      </c>
      <c r="M64" t="s">
        <v>1144</v>
      </c>
    </row>
    <row r="65" spans="1:13" x14ac:dyDescent="0.25">
      <c r="A65" t="s">
        <v>1001</v>
      </c>
      <c r="B65" t="s">
        <v>1002</v>
      </c>
      <c r="C65" s="1">
        <v>45487</v>
      </c>
      <c r="D65" t="s">
        <v>21</v>
      </c>
      <c r="E65">
        <v>30800</v>
      </c>
      <c r="F65">
        <v>24</v>
      </c>
      <c r="G65">
        <v>10.36</v>
      </c>
      <c r="H65">
        <v>1426.39</v>
      </c>
      <c r="I65">
        <v>45.1</v>
      </c>
      <c r="J65" t="s">
        <v>27</v>
      </c>
      <c r="K65">
        <v>0</v>
      </c>
      <c r="L65">
        <v>0</v>
      </c>
      <c r="M65" t="s">
        <v>1144</v>
      </c>
    </row>
    <row r="66" spans="1:13" x14ac:dyDescent="0.25">
      <c r="A66" t="s">
        <v>995</v>
      </c>
      <c r="B66" t="s">
        <v>996</v>
      </c>
      <c r="C66" s="1">
        <v>45440</v>
      </c>
      <c r="D66" t="s">
        <v>41</v>
      </c>
      <c r="E66">
        <v>44900</v>
      </c>
      <c r="F66">
        <v>24</v>
      </c>
      <c r="G66">
        <v>6.22</v>
      </c>
      <c r="H66">
        <v>1994.45</v>
      </c>
      <c r="I66">
        <v>49.4</v>
      </c>
      <c r="J66" t="s">
        <v>62</v>
      </c>
      <c r="K66">
        <v>30</v>
      </c>
      <c r="L66">
        <v>0</v>
      </c>
      <c r="M66" t="s">
        <v>1144</v>
      </c>
    </row>
    <row r="67" spans="1:13" x14ac:dyDescent="0.25">
      <c r="A67" t="s">
        <v>140</v>
      </c>
      <c r="B67" t="s">
        <v>141</v>
      </c>
      <c r="C67" s="1">
        <v>45802</v>
      </c>
      <c r="D67" t="s">
        <v>41</v>
      </c>
      <c r="E67">
        <v>14100</v>
      </c>
      <c r="F67">
        <v>48</v>
      </c>
      <c r="G67">
        <v>12.22</v>
      </c>
      <c r="H67">
        <v>372.83</v>
      </c>
      <c r="I67">
        <v>43.4</v>
      </c>
      <c r="J67" t="s">
        <v>15</v>
      </c>
      <c r="K67">
        <v>0</v>
      </c>
      <c r="L67">
        <v>0</v>
      </c>
      <c r="M67" t="s">
        <v>1144</v>
      </c>
    </row>
    <row r="68" spans="1:13" x14ac:dyDescent="0.25">
      <c r="A68" t="s">
        <v>142</v>
      </c>
      <c r="B68" t="s">
        <v>141</v>
      </c>
      <c r="C68" s="1">
        <v>45373</v>
      </c>
      <c r="D68" t="s">
        <v>38</v>
      </c>
      <c r="E68">
        <v>26200</v>
      </c>
      <c r="F68">
        <v>48</v>
      </c>
      <c r="G68">
        <v>11.78</v>
      </c>
      <c r="H68">
        <v>687.12</v>
      </c>
      <c r="I68">
        <v>48.8</v>
      </c>
      <c r="J68" t="s">
        <v>15</v>
      </c>
      <c r="K68">
        <v>0</v>
      </c>
      <c r="L68">
        <v>0</v>
      </c>
      <c r="M68" t="s">
        <v>1144</v>
      </c>
    </row>
    <row r="69" spans="1:13" x14ac:dyDescent="0.25">
      <c r="A69" t="s">
        <v>993</v>
      </c>
      <c r="B69" t="s">
        <v>994</v>
      </c>
      <c r="C69" s="1">
        <v>45456</v>
      </c>
      <c r="D69" t="s">
        <v>24</v>
      </c>
      <c r="E69">
        <v>8800</v>
      </c>
      <c r="F69">
        <v>48</v>
      </c>
      <c r="G69">
        <v>10.51</v>
      </c>
      <c r="H69">
        <v>225.35</v>
      </c>
      <c r="I69">
        <v>34.4</v>
      </c>
      <c r="J69" t="s">
        <v>15</v>
      </c>
      <c r="K69">
        <v>0</v>
      </c>
      <c r="L69">
        <v>0</v>
      </c>
      <c r="M69" t="s">
        <v>1144</v>
      </c>
    </row>
    <row r="70" spans="1:13" x14ac:dyDescent="0.25">
      <c r="A70" t="s">
        <v>991</v>
      </c>
      <c r="B70" t="s">
        <v>992</v>
      </c>
      <c r="C70" s="1">
        <v>45557</v>
      </c>
      <c r="D70" t="s">
        <v>36</v>
      </c>
      <c r="E70">
        <v>14900</v>
      </c>
      <c r="F70">
        <v>48</v>
      </c>
      <c r="G70">
        <v>10.77</v>
      </c>
      <c r="H70">
        <v>383.44</v>
      </c>
      <c r="I70">
        <v>32.4</v>
      </c>
      <c r="J70" t="s">
        <v>15</v>
      </c>
      <c r="K70">
        <v>0</v>
      </c>
      <c r="L70">
        <v>0</v>
      </c>
      <c r="M70" t="s">
        <v>1144</v>
      </c>
    </row>
    <row r="71" spans="1:13" x14ac:dyDescent="0.25">
      <c r="A71" t="s">
        <v>985</v>
      </c>
      <c r="B71" t="s">
        <v>986</v>
      </c>
      <c r="C71" s="1">
        <v>45773</v>
      </c>
      <c r="D71" t="s">
        <v>14</v>
      </c>
      <c r="E71">
        <v>8700</v>
      </c>
      <c r="F71">
        <v>60</v>
      </c>
      <c r="G71">
        <v>10.5</v>
      </c>
      <c r="H71">
        <v>187</v>
      </c>
      <c r="I71">
        <v>48.4</v>
      </c>
      <c r="J71" t="s">
        <v>18</v>
      </c>
      <c r="K71">
        <v>84</v>
      </c>
      <c r="L71">
        <v>1</v>
      </c>
      <c r="M71" t="s">
        <v>1144</v>
      </c>
    </row>
    <row r="72" spans="1:13" x14ac:dyDescent="0.25">
      <c r="A72" t="s">
        <v>979</v>
      </c>
      <c r="B72" t="s">
        <v>980</v>
      </c>
      <c r="C72" s="1">
        <v>45300</v>
      </c>
      <c r="D72" t="s">
        <v>47</v>
      </c>
      <c r="E72">
        <v>4400</v>
      </c>
      <c r="F72">
        <v>24</v>
      </c>
      <c r="G72">
        <v>11.42</v>
      </c>
      <c r="H72">
        <v>205.93</v>
      </c>
      <c r="I72">
        <v>47.1</v>
      </c>
      <c r="J72" t="s">
        <v>27</v>
      </c>
      <c r="K72">
        <v>0</v>
      </c>
      <c r="L72">
        <v>0</v>
      </c>
      <c r="M72" t="s">
        <v>1144</v>
      </c>
    </row>
    <row r="73" spans="1:13" x14ac:dyDescent="0.25">
      <c r="A73" t="s">
        <v>151</v>
      </c>
      <c r="B73" t="s">
        <v>152</v>
      </c>
      <c r="C73" s="1">
        <v>45833</v>
      </c>
      <c r="D73" t="s">
        <v>17</v>
      </c>
      <c r="E73">
        <v>20500</v>
      </c>
      <c r="F73">
        <v>60</v>
      </c>
      <c r="G73">
        <v>8.67</v>
      </c>
      <c r="H73">
        <v>422.27</v>
      </c>
      <c r="I73">
        <v>27.8</v>
      </c>
      <c r="J73" t="s">
        <v>62</v>
      </c>
      <c r="K73">
        <v>0</v>
      </c>
      <c r="L73">
        <v>0</v>
      </c>
      <c r="M73" t="s">
        <v>1144</v>
      </c>
    </row>
    <row r="74" spans="1:13" x14ac:dyDescent="0.25">
      <c r="A74" t="s">
        <v>153</v>
      </c>
      <c r="B74" t="s">
        <v>154</v>
      </c>
      <c r="C74" s="1">
        <v>45654</v>
      </c>
      <c r="D74" t="s">
        <v>24</v>
      </c>
      <c r="E74">
        <v>42700</v>
      </c>
      <c r="F74">
        <v>36</v>
      </c>
      <c r="G74">
        <v>13.49</v>
      </c>
      <c r="H74">
        <v>1448.83</v>
      </c>
      <c r="I74">
        <v>36.299999999999997</v>
      </c>
      <c r="J74" t="s">
        <v>27</v>
      </c>
      <c r="K74">
        <v>0</v>
      </c>
      <c r="L74">
        <v>0</v>
      </c>
      <c r="M74" t="s">
        <v>1144</v>
      </c>
    </row>
    <row r="75" spans="1:13" x14ac:dyDescent="0.25">
      <c r="A75" t="s">
        <v>978</v>
      </c>
      <c r="B75" t="s">
        <v>977</v>
      </c>
      <c r="C75" s="1">
        <v>45715</v>
      </c>
      <c r="D75" t="s">
        <v>14</v>
      </c>
      <c r="E75">
        <v>42600</v>
      </c>
      <c r="F75">
        <v>36</v>
      </c>
      <c r="G75">
        <v>10.14</v>
      </c>
      <c r="H75">
        <v>1377.38</v>
      </c>
      <c r="I75">
        <v>37.6</v>
      </c>
      <c r="J75" t="s">
        <v>15</v>
      </c>
      <c r="K75">
        <v>0</v>
      </c>
      <c r="L75">
        <v>0</v>
      </c>
      <c r="M75" t="s">
        <v>1144</v>
      </c>
    </row>
    <row r="76" spans="1:13" x14ac:dyDescent="0.25">
      <c r="A76" t="s">
        <v>976</v>
      </c>
      <c r="B76" t="s">
        <v>977</v>
      </c>
      <c r="C76" s="1">
        <v>45702</v>
      </c>
      <c r="D76" t="s">
        <v>36</v>
      </c>
      <c r="E76">
        <v>25400</v>
      </c>
      <c r="F76">
        <v>36</v>
      </c>
      <c r="G76">
        <v>12.56</v>
      </c>
      <c r="H76">
        <v>850.45</v>
      </c>
      <c r="I76">
        <v>32.4</v>
      </c>
      <c r="J76" t="s">
        <v>62</v>
      </c>
      <c r="K76">
        <v>0</v>
      </c>
      <c r="L76">
        <v>0</v>
      </c>
      <c r="M76" t="s">
        <v>1144</v>
      </c>
    </row>
    <row r="77" spans="1:13" x14ac:dyDescent="0.25">
      <c r="A77" t="s">
        <v>960</v>
      </c>
      <c r="B77" t="s">
        <v>961</v>
      </c>
      <c r="C77" s="1">
        <v>45614</v>
      </c>
      <c r="D77" t="s">
        <v>47</v>
      </c>
      <c r="E77">
        <v>10800</v>
      </c>
      <c r="F77">
        <v>48</v>
      </c>
      <c r="G77">
        <v>6.06</v>
      </c>
      <c r="H77">
        <v>253.94</v>
      </c>
      <c r="I77">
        <v>49</v>
      </c>
      <c r="J77" t="s">
        <v>18</v>
      </c>
      <c r="K77">
        <v>109</v>
      </c>
      <c r="L77">
        <v>1</v>
      </c>
      <c r="M77" t="s">
        <v>1144</v>
      </c>
    </row>
    <row r="78" spans="1:13" x14ac:dyDescent="0.25">
      <c r="A78" t="s">
        <v>954</v>
      </c>
      <c r="B78" t="s">
        <v>955</v>
      </c>
      <c r="C78" s="1">
        <v>45460</v>
      </c>
      <c r="D78" t="s">
        <v>14</v>
      </c>
      <c r="E78">
        <v>33300</v>
      </c>
      <c r="F78">
        <v>48</v>
      </c>
      <c r="G78">
        <v>10.34</v>
      </c>
      <c r="H78">
        <v>850.02</v>
      </c>
      <c r="I78">
        <v>45.4</v>
      </c>
      <c r="J78" t="s">
        <v>18</v>
      </c>
      <c r="K78">
        <v>125</v>
      </c>
      <c r="L78">
        <v>1</v>
      </c>
      <c r="M78" t="s">
        <v>1144</v>
      </c>
    </row>
    <row r="79" spans="1:13" x14ac:dyDescent="0.25">
      <c r="A79" t="s">
        <v>944</v>
      </c>
      <c r="B79" t="s">
        <v>945</v>
      </c>
      <c r="C79" s="1">
        <v>45400</v>
      </c>
      <c r="D79" t="s">
        <v>33</v>
      </c>
      <c r="E79">
        <v>2300</v>
      </c>
      <c r="F79">
        <v>48</v>
      </c>
      <c r="G79">
        <v>11.06</v>
      </c>
      <c r="H79">
        <v>59.51</v>
      </c>
      <c r="I79">
        <v>31.5</v>
      </c>
      <c r="J79" t="s">
        <v>15</v>
      </c>
      <c r="K79">
        <v>0</v>
      </c>
      <c r="L79">
        <v>0</v>
      </c>
      <c r="M79" t="s">
        <v>1144</v>
      </c>
    </row>
    <row r="80" spans="1:13" x14ac:dyDescent="0.25">
      <c r="A80" t="s">
        <v>937</v>
      </c>
      <c r="B80" t="s">
        <v>936</v>
      </c>
      <c r="C80" s="1">
        <v>45837</v>
      </c>
      <c r="D80" t="s">
        <v>38</v>
      </c>
      <c r="E80">
        <v>28400</v>
      </c>
      <c r="F80">
        <v>60</v>
      </c>
      <c r="G80">
        <v>11.24</v>
      </c>
      <c r="H80">
        <v>620.89</v>
      </c>
      <c r="I80">
        <v>31.9</v>
      </c>
      <c r="J80" t="s">
        <v>27</v>
      </c>
      <c r="K80">
        <v>0</v>
      </c>
      <c r="L80">
        <v>0</v>
      </c>
      <c r="M80" t="s">
        <v>1144</v>
      </c>
    </row>
    <row r="81" spans="1:13" x14ac:dyDescent="0.25">
      <c r="A81" t="s">
        <v>165</v>
      </c>
      <c r="B81" t="s">
        <v>166</v>
      </c>
      <c r="C81" s="1">
        <v>45676</v>
      </c>
      <c r="D81" t="s">
        <v>30</v>
      </c>
      <c r="E81">
        <v>5800</v>
      </c>
      <c r="F81">
        <v>12</v>
      </c>
      <c r="G81">
        <v>9.58</v>
      </c>
      <c r="H81">
        <v>508.78</v>
      </c>
      <c r="I81">
        <v>47.9</v>
      </c>
      <c r="J81" t="s">
        <v>27</v>
      </c>
      <c r="K81">
        <v>0</v>
      </c>
      <c r="L81">
        <v>0</v>
      </c>
      <c r="M81" t="s">
        <v>1144</v>
      </c>
    </row>
    <row r="82" spans="1:13" x14ac:dyDescent="0.25">
      <c r="A82" t="s">
        <v>167</v>
      </c>
      <c r="B82" t="s">
        <v>168</v>
      </c>
      <c r="C82" s="1">
        <v>45614</v>
      </c>
      <c r="D82" t="s">
        <v>47</v>
      </c>
      <c r="E82">
        <v>15400</v>
      </c>
      <c r="F82">
        <v>36</v>
      </c>
      <c r="G82">
        <v>9.58</v>
      </c>
      <c r="H82">
        <v>493.88</v>
      </c>
      <c r="I82">
        <v>36</v>
      </c>
      <c r="J82" t="s">
        <v>27</v>
      </c>
      <c r="K82">
        <v>0</v>
      </c>
      <c r="L82">
        <v>0</v>
      </c>
      <c r="M82" t="s">
        <v>1144</v>
      </c>
    </row>
    <row r="83" spans="1:13" x14ac:dyDescent="0.25">
      <c r="A83" t="s">
        <v>935</v>
      </c>
      <c r="B83" t="s">
        <v>936</v>
      </c>
      <c r="C83" s="1">
        <v>45715</v>
      </c>
      <c r="D83" t="s">
        <v>33</v>
      </c>
      <c r="E83">
        <v>18900</v>
      </c>
      <c r="F83">
        <v>48</v>
      </c>
      <c r="G83">
        <v>10.69</v>
      </c>
      <c r="H83">
        <v>485.64</v>
      </c>
      <c r="I83">
        <v>30.2</v>
      </c>
      <c r="J83" t="s">
        <v>27</v>
      </c>
      <c r="K83">
        <v>0</v>
      </c>
      <c r="L83">
        <v>0</v>
      </c>
      <c r="M83" t="s">
        <v>1144</v>
      </c>
    </row>
    <row r="84" spans="1:13" x14ac:dyDescent="0.25">
      <c r="A84" t="s">
        <v>929</v>
      </c>
      <c r="B84" t="s">
        <v>930</v>
      </c>
      <c r="C84" s="1">
        <v>45585</v>
      </c>
      <c r="D84" t="s">
        <v>33</v>
      </c>
      <c r="E84">
        <v>6600</v>
      </c>
      <c r="F84">
        <v>36</v>
      </c>
      <c r="G84">
        <v>10.01</v>
      </c>
      <c r="H84">
        <v>212.99</v>
      </c>
      <c r="I84">
        <v>49.3</v>
      </c>
      <c r="J84" t="s">
        <v>15</v>
      </c>
      <c r="K84">
        <v>0</v>
      </c>
      <c r="L84">
        <v>0</v>
      </c>
      <c r="M84" t="s">
        <v>1144</v>
      </c>
    </row>
    <row r="85" spans="1:13" x14ac:dyDescent="0.25">
      <c r="A85" t="s">
        <v>921</v>
      </c>
      <c r="B85" t="s">
        <v>922</v>
      </c>
      <c r="C85" s="1">
        <v>45337</v>
      </c>
      <c r="D85" t="s">
        <v>41</v>
      </c>
      <c r="E85">
        <v>14800</v>
      </c>
      <c r="F85">
        <v>60</v>
      </c>
      <c r="G85">
        <v>6.52</v>
      </c>
      <c r="H85">
        <v>289.72000000000003</v>
      </c>
      <c r="I85">
        <v>37.6</v>
      </c>
      <c r="J85" t="s">
        <v>18</v>
      </c>
      <c r="K85">
        <v>105</v>
      </c>
      <c r="L85">
        <v>1</v>
      </c>
      <c r="M85" t="s">
        <v>1144</v>
      </c>
    </row>
    <row r="86" spans="1:13" x14ac:dyDescent="0.25">
      <c r="A86" t="s">
        <v>919</v>
      </c>
      <c r="B86" t="s">
        <v>920</v>
      </c>
      <c r="C86" s="1">
        <v>45459</v>
      </c>
      <c r="D86" t="s">
        <v>36</v>
      </c>
      <c r="E86">
        <v>14900</v>
      </c>
      <c r="F86">
        <v>60</v>
      </c>
      <c r="G86">
        <v>14.61</v>
      </c>
      <c r="H86">
        <v>351.43</v>
      </c>
      <c r="I86">
        <v>48.8</v>
      </c>
      <c r="J86" t="s">
        <v>18</v>
      </c>
      <c r="K86">
        <v>152</v>
      </c>
      <c r="L86">
        <v>1</v>
      </c>
      <c r="M86" t="s">
        <v>1144</v>
      </c>
    </row>
    <row r="87" spans="1:13" x14ac:dyDescent="0.25">
      <c r="A87" t="s">
        <v>175</v>
      </c>
      <c r="B87" t="s">
        <v>176</v>
      </c>
      <c r="C87" s="1">
        <v>45611</v>
      </c>
      <c r="D87" t="s">
        <v>41</v>
      </c>
      <c r="E87">
        <v>25900</v>
      </c>
      <c r="F87">
        <v>36</v>
      </c>
      <c r="G87">
        <v>8.4499999999999993</v>
      </c>
      <c r="H87">
        <v>817</v>
      </c>
      <c r="I87">
        <v>40</v>
      </c>
      <c r="J87" t="s">
        <v>27</v>
      </c>
      <c r="K87">
        <v>0</v>
      </c>
      <c r="L87">
        <v>0</v>
      </c>
      <c r="M87" t="s">
        <v>1144</v>
      </c>
    </row>
    <row r="88" spans="1:13" x14ac:dyDescent="0.25">
      <c r="A88" t="s">
        <v>914</v>
      </c>
      <c r="B88" t="s">
        <v>915</v>
      </c>
      <c r="C88" s="1">
        <v>45704</v>
      </c>
      <c r="D88" t="s">
        <v>38</v>
      </c>
      <c r="E88">
        <v>3600</v>
      </c>
      <c r="F88">
        <v>24</v>
      </c>
      <c r="G88">
        <v>9.51</v>
      </c>
      <c r="H88">
        <v>165.31</v>
      </c>
      <c r="I88">
        <v>25.2</v>
      </c>
      <c r="J88" t="s">
        <v>15</v>
      </c>
      <c r="K88">
        <v>0</v>
      </c>
      <c r="L88">
        <v>0</v>
      </c>
      <c r="M88" t="s">
        <v>1144</v>
      </c>
    </row>
    <row r="89" spans="1:13" x14ac:dyDescent="0.25">
      <c r="A89" t="s">
        <v>179</v>
      </c>
      <c r="B89" t="s">
        <v>180</v>
      </c>
      <c r="C89" s="1">
        <v>45582</v>
      </c>
      <c r="D89" t="s">
        <v>38</v>
      </c>
      <c r="E89">
        <v>28400</v>
      </c>
      <c r="F89">
        <v>36</v>
      </c>
      <c r="G89">
        <v>11.71</v>
      </c>
      <c r="H89">
        <v>939.36</v>
      </c>
      <c r="I89">
        <v>39.700000000000003</v>
      </c>
      <c r="J89" t="s">
        <v>27</v>
      </c>
      <c r="K89">
        <v>0</v>
      </c>
      <c r="L89">
        <v>0</v>
      </c>
      <c r="M89" t="s">
        <v>1144</v>
      </c>
    </row>
    <row r="90" spans="1:13" x14ac:dyDescent="0.25">
      <c r="A90" t="s">
        <v>181</v>
      </c>
      <c r="B90" t="s">
        <v>182</v>
      </c>
      <c r="C90" s="1">
        <v>45343</v>
      </c>
      <c r="D90" t="s">
        <v>21</v>
      </c>
      <c r="E90">
        <v>8200</v>
      </c>
      <c r="F90">
        <v>48</v>
      </c>
      <c r="G90">
        <v>11.25</v>
      </c>
      <c r="H90">
        <v>212.93</v>
      </c>
      <c r="I90">
        <v>27.5</v>
      </c>
      <c r="J90" t="s">
        <v>27</v>
      </c>
      <c r="K90">
        <v>0</v>
      </c>
      <c r="L90">
        <v>0</v>
      </c>
      <c r="M90" t="s">
        <v>1144</v>
      </c>
    </row>
    <row r="91" spans="1:13" x14ac:dyDescent="0.25">
      <c r="A91" t="s">
        <v>183</v>
      </c>
      <c r="B91" t="s">
        <v>182</v>
      </c>
      <c r="C91" s="1">
        <v>45611</v>
      </c>
      <c r="D91" t="s">
        <v>33</v>
      </c>
      <c r="E91">
        <v>44800</v>
      </c>
      <c r="F91">
        <v>48</v>
      </c>
      <c r="G91">
        <v>9.81</v>
      </c>
      <c r="H91">
        <v>1132.1600000000001</v>
      </c>
      <c r="I91">
        <v>37.6</v>
      </c>
      <c r="J91" t="s">
        <v>15</v>
      </c>
      <c r="K91">
        <v>0</v>
      </c>
      <c r="L91">
        <v>0</v>
      </c>
      <c r="M91" t="s">
        <v>1144</v>
      </c>
    </row>
    <row r="92" spans="1:13" x14ac:dyDescent="0.25">
      <c r="A92" t="s">
        <v>912</v>
      </c>
      <c r="B92" t="s">
        <v>913</v>
      </c>
      <c r="C92" s="1">
        <v>45313</v>
      </c>
      <c r="D92" t="s">
        <v>33</v>
      </c>
      <c r="E92">
        <v>20000</v>
      </c>
      <c r="F92">
        <v>24</v>
      </c>
      <c r="G92">
        <v>11.22</v>
      </c>
      <c r="H92">
        <v>934.2</v>
      </c>
      <c r="I92">
        <v>48.3</v>
      </c>
      <c r="J92" t="s">
        <v>62</v>
      </c>
      <c r="K92">
        <v>15</v>
      </c>
      <c r="L92">
        <v>0</v>
      </c>
      <c r="M92" t="s">
        <v>1144</v>
      </c>
    </row>
    <row r="93" spans="1:13" x14ac:dyDescent="0.25">
      <c r="A93" t="s">
        <v>186</v>
      </c>
      <c r="B93" t="s">
        <v>185</v>
      </c>
      <c r="C93" s="1">
        <v>45521</v>
      </c>
      <c r="D93" t="s">
        <v>14</v>
      </c>
      <c r="E93">
        <v>12900</v>
      </c>
      <c r="F93">
        <v>48</v>
      </c>
      <c r="G93">
        <v>9.09</v>
      </c>
      <c r="H93">
        <v>321.57</v>
      </c>
      <c r="I93">
        <v>36.200000000000003</v>
      </c>
      <c r="J93" t="s">
        <v>62</v>
      </c>
      <c r="K93">
        <v>15</v>
      </c>
      <c r="L93">
        <v>0</v>
      </c>
      <c r="M93" t="s">
        <v>1144</v>
      </c>
    </row>
    <row r="94" spans="1:13" x14ac:dyDescent="0.25">
      <c r="A94" t="s">
        <v>908</v>
      </c>
      <c r="B94" t="s">
        <v>909</v>
      </c>
      <c r="C94" s="1">
        <v>45500</v>
      </c>
      <c r="D94" t="s">
        <v>47</v>
      </c>
      <c r="E94">
        <v>20300</v>
      </c>
      <c r="F94">
        <v>24</v>
      </c>
      <c r="G94">
        <v>8.6199999999999992</v>
      </c>
      <c r="H94">
        <v>923.86</v>
      </c>
      <c r="I94">
        <v>49.5</v>
      </c>
      <c r="J94" t="s">
        <v>15</v>
      </c>
      <c r="K94">
        <v>0</v>
      </c>
      <c r="L94">
        <v>0</v>
      </c>
      <c r="M94" t="s">
        <v>1144</v>
      </c>
    </row>
    <row r="95" spans="1:13" x14ac:dyDescent="0.25">
      <c r="A95" t="s">
        <v>189</v>
      </c>
      <c r="B95" t="s">
        <v>190</v>
      </c>
      <c r="C95" s="1">
        <v>45422</v>
      </c>
      <c r="D95" t="s">
        <v>14</v>
      </c>
      <c r="E95">
        <v>15500</v>
      </c>
      <c r="F95">
        <v>36</v>
      </c>
      <c r="G95">
        <v>9.64</v>
      </c>
      <c r="H95">
        <v>497.53</v>
      </c>
      <c r="I95">
        <v>29.3</v>
      </c>
      <c r="J95" t="s">
        <v>15</v>
      </c>
      <c r="K95">
        <v>0</v>
      </c>
      <c r="L95">
        <v>0</v>
      </c>
      <c r="M95" t="s">
        <v>1144</v>
      </c>
    </row>
    <row r="96" spans="1:13" x14ac:dyDescent="0.25">
      <c r="A96" t="s">
        <v>906</v>
      </c>
      <c r="B96" t="s">
        <v>907</v>
      </c>
      <c r="C96" s="1">
        <v>45400</v>
      </c>
      <c r="D96" t="s">
        <v>24</v>
      </c>
      <c r="E96">
        <v>21100</v>
      </c>
      <c r="F96">
        <v>60</v>
      </c>
      <c r="G96">
        <v>10.14</v>
      </c>
      <c r="H96">
        <v>449.77</v>
      </c>
      <c r="I96">
        <v>29.5</v>
      </c>
      <c r="J96" t="s">
        <v>15</v>
      </c>
      <c r="K96">
        <v>0</v>
      </c>
      <c r="L96">
        <v>0</v>
      </c>
      <c r="M96" t="s">
        <v>1144</v>
      </c>
    </row>
    <row r="97" spans="1:13" x14ac:dyDescent="0.25">
      <c r="A97" t="s">
        <v>905</v>
      </c>
      <c r="B97" t="s">
        <v>904</v>
      </c>
      <c r="C97" s="1">
        <v>45350</v>
      </c>
      <c r="D97" t="s">
        <v>24</v>
      </c>
      <c r="E97">
        <v>15700</v>
      </c>
      <c r="F97">
        <v>60</v>
      </c>
      <c r="G97">
        <v>11.39</v>
      </c>
      <c r="H97">
        <v>344.42</v>
      </c>
      <c r="I97">
        <v>26.8</v>
      </c>
      <c r="J97" t="s">
        <v>27</v>
      </c>
      <c r="K97">
        <v>0</v>
      </c>
      <c r="L97">
        <v>0</v>
      </c>
      <c r="M97" t="s">
        <v>1144</v>
      </c>
    </row>
    <row r="98" spans="1:13" x14ac:dyDescent="0.25">
      <c r="A98" t="s">
        <v>899</v>
      </c>
      <c r="B98" t="s">
        <v>900</v>
      </c>
      <c r="C98" s="1">
        <v>45595</v>
      </c>
      <c r="D98" t="s">
        <v>21</v>
      </c>
      <c r="E98">
        <v>27200</v>
      </c>
      <c r="F98">
        <v>36</v>
      </c>
      <c r="G98">
        <v>10.43</v>
      </c>
      <c r="H98">
        <v>883.17</v>
      </c>
      <c r="I98">
        <v>48.4</v>
      </c>
      <c r="J98" t="s">
        <v>27</v>
      </c>
      <c r="K98">
        <v>0</v>
      </c>
      <c r="L98">
        <v>0</v>
      </c>
      <c r="M98" t="s">
        <v>1144</v>
      </c>
    </row>
    <row r="99" spans="1:13" x14ac:dyDescent="0.25">
      <c r="A99" t="s">
        <v>197</v>
      </c>
      <c r="B99" t="s">
        <v>198</v>
      </c>
      <c r="C99" s="1">
        <v>45680</v>
      </c>
      <c r="D99" t="s">
        <v>17</v>
      </c>
      <c r="E99">
        <v>4900</v>
      </c>
      <c r="F99">
        <v>60</v>
      </c>
      <c r="G99">
        <v>10.19</v>
      </c>
      <c r="H99">
        <v>104.57</v>
      </c>
      <c r="I99">
        <v>45.4</v>
      </c>
      <c r="J99" t="s">
        <v>27</v>
      </c>
      <c r="K99">
        <v>0</v>
      </c>
      <c r="L99">
        <v>0</v>
      </c>
      <c r="M99" t="s">
        <v>1144</v>
      </c>
    </row>
    <row r="100" spans="1:13" x14ac:dyDescent="0.25">
      <c r="A100" t="s">
        <v>892</v>
      </c>
      <c r="B100" t="s">
        <v>891</v>
      </c>
      <c r="C100" s="1">
        <v>45666</v>
      </c>
      <c r="D100" t="s">
        <v>17</v>
      </c>
      <c r="E100">
        <v>8500</v>
      </c>
      <c r="F100">
        <v>60</v>
      </c>
      <c r="G100">
        <v>12.71</v>
      </c>
      <c r="H100">
        <v>192.14</v>
      </c>
      <c r="I100">
        <v>47.5</v>
      </c>
      <c r="J100" t="s">
        <v>15</v>
      </c>
      <c r="K100">
        <v>0</v>
      </c>
      <c r="L100">
        <v>0</v>
      </c>
      <c r="M100" t="s">
        <v>1144</v>
      </c>
    </row>
    <row r="101" spans="1:13" x14ac:dyDescent="0.25">
      <c r="A101" t="s">
        <v>201</v>
      </c>
      <c r="B101" t="s">
        <v>202</v>
      </c>
      <c r="C101" s="1">
        <v>45603</v>
      </c>
      <c r="D101" t="s">
        <v>38</v>
      </c>
      <c r="E101">
        <v>17200</v>
      </c>
      <c r="F101">
        <v>60</v>
      </c>
      <c r="G101">
        <v>13.11</v>
      </c>
      <c r="H101">
        <v>392.32</v>
      </c>
      <c r="I101">
        <v>37.799999999999997</v>
      </c>
      <c r="J101" t="s">
        <v>62</v>
      </c>
      <c r="K101">
        <v>15</v>
      </c>
      <c r="L101">
        <v>0</v>
      </c>
      <c r="M101" t="s">
        <v>1144</v>
      </c>
    </row>
    <row r="102" spans="1:13" x14ac:dyDescent="0.25">
      <c r="A102" t="s">
        <v>888</v>
      </c>
      <c r="B102" t="s">
        <v>889</v>
      </c>
      <c r="C102" s="1">
        <v>45487</v>
      </c>
      <c r="D102" t="s">
        <v>36</v>
      </c>
      <c r="E102">
        <v>8300</v>
      </c>
      <c r="F102">
        <v>60</v>
      </c>
      <c r="G102">
        <v>10.6</v>
      </c>
      <c r="H102">
        <v>178.81</v>
      </c>
      <c r="I102">
        <v>40</v>
      </c>
      <c r="J102" t="s">
        <v>18</v>
      </c>
      <c r="K102">
        <v>144</v>
      </c>
      <c r="L102">
        <v>1</v>
      </c>
      <c r="M102" t="s">
        <v>1144</v>
      </c>
    </row>
    <row r="103" spans="1:13" x14ac:dyDescent="0.25">
      <c r="A103" t="s">
        <v>880</v>
      </c>
      <c r="B103" t="s">
        <v>881</v>
      </c>
      <c r="C103" s="1">
        <v>45344</v>
      </c>
      <c r="D103" t="s">
        <v>38</v>
      </c>
      <c r="E103">
        <v>8800</v>
      </c>
      <c r="F103">
        <v>12</v>
      </c>
      <c r="G103">
        <v>9.35</v>
      </c>
      <c r="H103">
        <v>771</v>
      </c>
      <c r="I103">
        <v>36.200000000000003</v>
      </c>
      <c r="J103" t="s">
        <v>27</v>
      </c>
      <c r="K103">
        <v>0</v>
      </c>
      <c r="L103">
        <v>0</v>
      </c>
      <c r="M103" t="s">
        <v>1144</v>
      </c>
    </row>
    <row r="104" spans="1:13" x14ac:dyDescent="0.25">
      <c r="A104" t="s">
        <v>875</v>
      </c>
      <c r="B104" t="s">
        <v>876</v>
      </c>
      <c r="C104" s="1">
        <v>45397</v>
      </c>
      <c r="D104" t="s">
        <v>24</v>
      </c>
      <c r="E104">
        <v>13900</v>
      </c>
      <c r="F104">
        <v>48</v>
      </c>
      <c r="G104">
        <v>6.83</v>
      </c>
      <c r="H104">
        <v>331.76</v>
      </c>
      <c r="I104">
        <v>35.700000000000003</v>
      </c>
      <c r="J104" t="s">
        <v>27</v>
      </c>
      <c r="K104">
        <v>0</v>
      </c>
      <c r="L104">
        <v>0</v>
      </c>
      <c r="M104" t="s">
        <v>1144</v>
      </c>
    </row>
    <row r="105" spans="1:13" x14ac:dyDescent="0.25">
      <c r="A105" t="s">
        <v>869</v>
      </c>
      <c r="B105" t="s">
        <v>870</v>
      </c>
      <c r="C105" s="1">
        <v>45690</v>
      </c>
      <c r="D105" t="s">
        <v>33</v>
      </c>
      <c r="E105">
        <v>38700</v>
      </c>
      <c r="F105">
        <v>48</v>
      </c>
      <c r="G105">
        <v>9.99</v>
      </c>
      <c r="H105">
        <v>981.35</v>
      </c>
      <c r="I105">
        <v>27.2</v>
      </c>
      <c r="J105" t="s">
        <v>62</v>
      </c>
      <c r="K105">
        <v>30</v>
      </c>
      <c r="L105">
        <v>0</v>
      </c>
      <c r="M105" t="s">
        <v>1144</v>
      </c>
    </row>
    <row r="106" spans="1:13" x14ac:dyDescent="0.25">
      <c r="A106" t="s">
        <v>861</v>
      </c>
      <c r="B106" t="s">
        <v>862</v>
      </c>
      <c r="C106" s="1">
        <v>45791</v>
      </c>
      <c r="D106" t="s">
        <v>14</v>
      </c>
      <c r="E106">
        <v>14100</v>
      </c>
      <c r="F106">
        <v>24</v>
      </c>
      <c r="G106">
        <v>7.99</v>
      </c>
      <c r="H106">
        <v>637.64</v>
      </c>
      <c r="I106">
        <v>45.4</v>
      </c>
      <c r="J106" t="s">
        <v>18</v>
      </c>
      <c r="K106">
        <v>94</v>
      </c>
      <c r="L106">
        <v>1</v>
      </c>
      <c r="M106" t="s">
        <v>1144</v>
      </c>
    </row>
    <row r="107" spans="1:13" x14ac:dyDescent="0.25">
      <c r="A107" t="s">
        <v>212</v>
      </c>
      <c r="B107" t="s">
        <v>213</v>
      </c>
      <c r="C107" s="1">
        <v>45802</v>
      </c>
      <c r="D107" t="s">
        <v>17</v>
      </c>
      <c r="E107">
        <v>10900</v>
      </c>
      <c r="F107">
        <v>60</v>
      </c>
      <c r="G107">
        <v>8.84</v>
      </c>
      <c r="H107">
        <v>225.42</v>
      </c>
      <c r="I107">
        <v>41.2</v>
      </c>
      <c r="J107" t="s">
        <v>27</v>
      </c>
      <c r="K107">
        <v>0</v>
      </c>
      <c r="L107">
        <v>0</v>
      </c>
      <c r="M107" t="s">
        <v>1144</v>
      </c>
    </row>
    <row r="108" spans="1:13" x14ac:dyDescent="0.25">
      <c r="A108" t="s">
        <v>859</v>
      </c>
      <c r="B108" t="s">
        <v>860</v>
      </c>
      <c r="C108" s="1">
        <v>45650</v>
      </c>
      <c r="D108" t="s">
        <v>41</v>
      </c>
      <c r="E108">
        <v>17800</v>
      </c>
      <c r="F108">
        <v>36</v>
      </c>
      <c r="G108">
        <v>11.5</v>
      </c>
      <c r="H108">
        <v>586.97</v>
      </c>
      <c r="I108">
        <v>42.5</v>
      </c>
      <c r="J108" t="s">
        <v>27</v>
      </c>
      <c r="K108">
        <v>0</v>
      </c>
      <c r="L108">
        <v>0</v>
      </c>
      <c r="M108" t="s">
        <v>1144</v>
      </c>
    </row>
    <row r="109" spans="1:13" x14ac:dyDescent="0.25">
      <c r="A109" t="s">
        <v>857</v>
      </c>
      <c r="B109" t="s">
        <v>858</v>
      </c>
      <c r="C109" s="1">
        <v>45328</v>
      </c>
      <c r="D109" t="s">
        <v>38</v>
      </c>
      <c r="E109">
        <v>46600</v>
      </c>
      <c r="F109">
        <v>60</v>
      </c>
      <c r="G109">
        <v>11.4</v>
      </c>
      <c r="H109">
        <v>1022.52</v>
      </c>
      <c r="I109">
        <v>38</v>
      </c>
      <c r="J109" t="s">
        <v>62</v>
      </c>
      <c r="K109">
        <v>15</v>
      </c>
      <c r="L109">
        <v>0</v>
      </c>
      <c r="M109" t="s">
        <v>1144</v>
      </c>
    </row>
    <row r="110" spans="1:13" x14ac:dyDescent="0.25">
      <c r="A110" t="s">
        <v>217</v>
      </c>
      <c r="B110" t="s">
        <v>218</v>
      </c>
      <c r="C110" s="1">
        <v>45346</v>
      </c>
      <c r="D110" t="s">
        <v>36</v>
      </c>
      <c r="E110">
        <v>26700</v>
      </c>
      <c r="F110">
        <v>60</v>
      </c>
      <c r="G110">
        <v>9.31</v>
      </c>
      <c r="H110">
        <v>558.27</v>
      </c>
      <c r="I110">
        <v>33.299999999999997</v>
      </c>
      <c r="J110" t="s">
        <v>27</v>
      </c>
      <c r="K110">
        <v>0</v>
      </c>
      <c r="L110">
        <v>0</v>
      </c>
      <c r="M110" t="s">
        <v>1144</v>
      </c>
    </row>
    <row r="111" spans="1:13" x14ac:dyDescent="0.25">
      <c r="A111" t="s">
        <v>219</v>
      </c>
      <c r="B111" t="s">
        <v>220</v>
      </c>
      <c r="C111" s="1">
        <v>45593</v>
      </c>
      <c r="D111" t="s">
        <v>14</v>
      </c>
      <c r="E111">
        <v>17900</v>
      </c>
      <c r="F111">
        <v>36</v>
      </c>
      <c r="G111">
        <v>15.64</v>
      </c>
      <c r="H111">
        <v>626.13</v>
      </c>
      <c r="I111">
        <v>29.3</v>
      </c>
      <c r="J111" t="s">
        <v>18</v>
      </c>
      <c r="K111">
        <v>39</v>
      </c>
      <c r="L111">
        <v>1</v>
      </c>
      <c r="M111" t="s">
        <v>1144</v>
      </c>
    </row>
    <row r="112" spans="1:13" x14ac:dyDescent="0.25">
      <c r="A112" t="s">
        <v>221</v>
      </c>
      <c r="B112" t="s">
        <v>222</v>
      </c>
      <c r="C112" s="1">
        <v>45776</v>
      </c>
      <c r="D112" t="s">
        <v>47</v>
      </c>
      <c r="E112">
        <v>36900</v>
      </c>
      <c r="F112">
        <v>60</v>
      </c>
      <c r="G112">
        <v>7.79</v>
      </c>
      <c r="H112">
        <v>744.5</v>
      </c>
      <c r="I112">
        <v>45.9</v>
      </c>
      <c r="J112" t="s">
        <v>62</v>
      </c>
      <c r="K112">
        <v>0</v>
      </c>
      <c r="L112">
        <v>0</v>
      </c>
      <c r="M112" t="s">
        <v>1144</v>
      </c>
    </row>
    <row r="113" spans="1:13" x14ac:dyDescent="0.25">
      <c r="A113" t="s">
        <v>223</v>
      </c>
      <c r="B113" t="s">
        <v>224</v>
      </c>
      <c r="C113" s="1">
        <v>45576</v>
      </c>
      <c r="D113" t="s">
        <v>47</v>
      </c>
      <c r="E113">
        <v>9100</v>
      </c>
      <c r="F113">
        <v>24</v>
      </c>
      <c r="G113">
        <v>12.34</v>
      </c>
      <c r="H113">
        <v>429.81</v>
      </c>
      <c r="I113">
        <v>26.5</v>
      </c>
      <c r="J113" t="s">
        <v>18</v>
      </c>
      <c r="K113">
        <v>101</v>
      </c>
      <c r="L113">
        <v>1</v>
      </c>
      <c r="M113" t="s">
        <v>1144</v>
      </c>
    </row>
    <row r="114" spans="1:13" x14ac:dyDescent="0.25">
      <c r="A114" t="s">
        <v>225</v>
      </c>
      <c r="B114" t="s">
        <v>226</v>
      </c>
      <c r="C114" s="1">
        <v>45446</v>
      </c>
      <c r="D114" t="s">
        <v>24</v>
      </c>
      <c r="E114">
        <v>5100</v>
      </c>
      <c r="F114">
        <v>24</v>
      </c>
      <c r="G114">
        <v>11.3</v>
      </c>
      <c r="H114">
        <v>238.41</v>
      </c>
      <c r="I114">
        <v>32.200000000000003</v>
      </c>
      <c r="J114" t="s">
        <v>27</v>
      </c>
      <c r="K114">
        <v>0</v>
      </c>
      <c r="L114">
        <v>0</v>
      </c>
      <c r="M114" t="s">
        <v>1144</v>
      </c>
    </row>
    <row r="115" spans="1:13" x14ac:dyDescent="0.25">
      <c r="A115" t="s">
        <v>849</v>
      </c>
      <c r="B115" t="s">
        <v>850</v>
      </c>
      <c r="C115" s="1">
        <v>45819</v>
      </c>
      <c r="D115" t="s">
        <v>17</v>
      </c>
      <c r="E115">
        <v>46800</v>
      </c>
      <c r="F115">
        <v>24</v>
      </c>
      <c r="G115">
        <v>10.46</v>
      </c>
      <c r="H115">
        <v>2169.5300000000002</v>
      </c>
      <c r="I115">
        <v>43.4</v>
      </c>
      <c r="J115" t="s">
        <v>27</v>
      </c>
      <c r="K115">
        <v>0</v>
      </c>
      <c r="L115">
        <v>0</v>
      </c>
      <c r="M115" t="s">
        <v>1144</v>
      </c>
    </row>
    <row r="116" spans="1:13" x14ac:dyDescent="0.25">
      <c r="A116" t="s">
        <v>848</v>
      </c>
      <c r="B116" t="s">
        <v>847</v>
      </c>
      <c r="C116" s="1">
        <v>45584</v>
      </c>
      <c r="D116" t="s">
        <v>38</v>
      </c>
      <c r="E116">
        <v>9900</v>
      </c>
      <c r="F116">
        <v>12</v>
      </c>
      <c r="G116">
        <v>6.84</v>
      </c>
      <c r="H116">
        <v>855.88</v>
      </c>
      <c r="I116">
        <v>37.9</v>
      </c>
      <c r="J116" t="s">
        <v>15</v>
      </c>
      <c r="K116">
        <v>0</v>
      </c>
      <c r="L116">
        <v>0</v>
      </c>
      <c r="M116" t="s">
        <v>1144</v>
      </c>
    </row>
    <row r="117" spans="1:13" x14ac:dyDescent="0.25">
      <c r="A117" t="s">
        <v>846</v>
      </c>
      <c r="B117" t="s">
        <v>847</v>
      </c>
      <c r="C117" s="1">
        <v>45612</v>
      </c>
      <c r="D117" t="s">
        <v>38</v>
      </c>
      <c r="E117">
        <v>29700</v>
      </c>
      <c r="F117">
        <v>36</v>
      </c>
      <c r="G117">
        <v>8.4499999999999993</v>
      </c>
      <c r="H117">
        <v>936.87</v>
      </c>
      <c r="I117">
        <v>39.799999999999997</v>
      </c>
      <c r="J117" t="s">
        <v>27</v>
      </c>
      <c r="K117">
        <v>0</v>
      </c>
      <c r="L117">
        <v>0</v>
      </c>
      <c r="M117" t="s">
        <v>1144</v>
      </c>
    </row>
    <row r="118" spans="1:13" x14ac:dyDescent="0.25">
      <c r="A118" t="s">
        <v>842</v>
      </c>
      <c r="B118" t="s">
        <v>843</v>
      </c>
      <c r="C118" s="1">
        <v>45671</v>
      </c>
      <c r="D118" t="s">
        <v>33</v>
      </c>
      <c r="E118">
        <v>14100</v>
      </c>
      <c r="F118">
        <v>36</v>
      </c>
      <c r="G118">
        <v>11.21</v>
      </c>
      <c r="H118">
        <v>463.02</v>
      </c>
      <c r="I118">
        <v>36.4</v>
      </c>
      <c r="J118" t="s">
        <v>62</v>
      </c>
      <c r="K118">
        <v>0</v>
      </c>
      <c r="L118">
        <v>0</v>
      </c>
      <c r="M118" t="s">
        <v>1144</v>
      </c>
    </row>
    <row r="119" spans="1:13" x14ac:dyDescent="0.25">
      <c r="A119" t="s">
        <v>835</v>
      </c>
      <c r="B119" t="s">
        <v>834</v>
      </c>
      <c r="C119" s="1">
        <v>45441</v>
      </c>
      <c r="D119" t="s">
        <v>30</v>
      </c>
      <c r="E119">
        <v>18100</v>
      </c>
      <c r="F119">
        <v>36</v>
      </c>
      <c r="G119">
        <v>9.7200000000000006</v>
      </c>
      <c r="H119">
        <v>581.66</v>
      </c>
      <c r="I119">
        <v>44</v>
      </c>
      <c r="J119" t="s">
        <v>27</v>
      </c>
      <c r="K119">
        <v>0</v>
      </c>
      <c r="L119">
        <v>0</v>
      </c>
      <c r="M119" t="s">
        <v>1144</v>
      </c>
    </row>
    <row r="120" spans="1:13" x14ac:dyDescent="0.25">
      <c r="A120" t="s">
        <v>236</v>
      </c>
      <c r="B120" t="s">
        <v>237</v>
      </c>
      <c r="C120" s="1">
        <v>45692</v>
      </c>
      <c r="D120" t="s">
        <v>24</v>
      </c>
      <c r="E120">
        <v>14100</v>
      </c>
      <c r="F120">
        <v>12</v>
      </c>
      <c r="G120">
        <v>12.06</v>
      </c>
      <c r="H120">
        <v>1253.1600000000001</v>
      </c>
      <c r="I120">
        <v>32.200000000000003</v>
      </c>
      <c r="J120" t="s">
        <v>27</v>
      </c>
      <c r="K120">
        <v>0</v>
      </c>
      <c r="L120">
        <v>0</v>
      </c>
      <c r="M120" t="s">
        <v>1144</v>
      </c>
    </row>
    <row r="121" spans="1:13" x14ac:dyDescent="0.25">
      <c r="A121" t="s">
        <v>238</v>
      </c>
      <c r="B121" t="s">
        <v>237</v>
      </c>
      <c r="C121" s="1">
        <v>45302</v>
      </c>
      <c r="D121" t="s">
        <v>47</v>
      </c>
      <c r="E121">
        <v>27000</v>
      </c>
      <c r="F121">
        <v>24</v>
      </c>
      <c r="G121">
        <v>12.35</v>
      </c>
      <c r="H121">
        <v>1275.4000000000001</v>
      </c>
      <c r="I121">
        <v>32.6</v>
      </c>
      <c r="J121" t="s">
        <v>27</v>
      </c>
      <c r="K121">
        <v>0</v>
      </c>
      <c r="L121">
        <v>0</v>
      </c>
      <c r="M121" t="s">
        <v>1144</v>
      </c>
    </row>
    <row r="122" spans="1:13" x14ac:dyDescent="0.25">
      <c r="A122" t="s">
        <v>829</v>
      </c>
      <c r="B122" t="s">
        <v>830</v>
      </c>
      <c r="C122" s="1">
        <v>45377</v>
      </c>
      <c r="D122" t="s">
        <v>21</v>
      </c>
      <c r="E122">
        <v>9800</v>
      </c>
      <c r="F122">
        <v>24</v>
      </c>
      <c r="G122">
        <v>8.3800000000000008</v>
      </c>
      <c r="H122">
        <v>444.93</v>
      </c>
      <c r="I122">
        <v>29.8</v>
      </c>
      <c r="J122" t="s">
        <v>15</v>
      </c>
      <c r="K122">
        <v>0</v>
      </c>
      <c r="L122">
        <v>0</v>
      </c>
      <c r="M122" t="s">
        <v>1144</v>
      </c>
    </row>
    <row r="123" spans="1:13" x14ac:dyDescent="0.25">
      <c r="A123" t="s">
        <v>814</v>
      </c>
      <c r="B123" t="s">
        <v>815</v>
      </c>
      <c r="C123" s="1">
        <v>45388</v>
      </c>
      <c r="D123" t="s">
        <v>21</v>
      </c>
      <c r="E123">
        <v>30200</v>
      </c>
      <c r="F123">
        <v>60</v>
      </c>
      <c r="G123">
        <v>11.38</v>
      </c>
      <c r="H123">
        <v>662.36</v>
      </c>
      <c r="I123">
        <v>31.8</v>
      </c>
      <c r="J123" t="s">
        <v>27</v>
      </c>
      <c r="K123">
        <v>0</v>
      </c>
      <c r="L123">
        <v>0</v>
      </c>
      <c r="M123" t="s">
        <v>1144</v>
      </c>
    </row>
    <row r="124" spans="1:13" x14ac:dyDescent="0.25">
      <c r="A124" t="s">
        <v>810</v>
      </c>
      <c r="B124" t="s">
        <v>811</v>
      </c>
      <c r="C124" s="1">
        <v>45676</v>
      </c>
      <c r="D124" t="s">
        <v>14</v>
      </c>
      <c r="E124">
        <v>12000</v>
      </c>
      <c r="F124">
        <v>24</v>
      </c>
      <c r="G124">
        <v>13.61</v>
      </c>
      <c r="H124">
        <v>573.95000000000005</v>
      </c>
      <c r="I124">
        <v>46.6</v>
      </c>
      <c r="J124" t="s">
        <v>62</v>
      </c>
      <c r="K124">
        <v>30</v>
      </c>
      <c r="L124">
        <v>0</v>
      </c>
      <c r="M124" t="s">
        <v>1144</v>
      </c>
    </row>
    <row r="125" spans="1:13" x14ac:dyDescent="0.25">
      <c r="A125" t="s">
        <v>245</v>
      </c>
      <c r="B125" t="s">
        <v>246</v>
      </c>
      <c r="C125" s="1">
        <v>45367</v>
      </c>
      <c r="D125" t="s">
        <v>24</v>
      </c>
      <c r="E125">
        <v>35200</v>
      </c>
      <c r="F125">
        <v>36</v>
      </c>
      <c r="G125">
        <v>9.82</v>
      </c>
      <c r="H125">
        <v>1132.83</v>
      </c>
      <c r="I125">
        <v>42.6</v>
      </c>
      <c r="J125" t="s">
        <v>18</v>
      </c>
      <c r="K125">
        <v>45</v>
      </c>
      <c r="L125">
        <v>1</v>
      </c>
      <c r="M125" t="s">
        <v>1144</v>
      </c>
    </row>
    <row r="126" spans="1:13" x14ac:dyDescent="0.25">
      <c r="A126" t="s">
        <v>247</v>
      </c>
      <c r="B126" t="s">
        <v>248</v>
      </c>
      <c r="C126" s="1">
        <v>45363</v>
      </c>
      <c r="D126" t="s">
        <v>30</v>
      </c>
      <c r="E126">
        <v>14400</v>
      </c>
      <c r="F126">
        <v>36</v>
      </c>
      <c r="G126">
        <v>10.52</v>
      </c>
      <c r="H126">
        <v>468.17</v>
      </c>
      <c r="I126">
        <v>49.3</v>
      </c>
      <c r="J126" t="s">
        <v>62</v>
      </c>
      <c r="K126">
        <v>15</v>
      </c>
      <c r="L126">
        <v>0</v>
      </c>
      <c r="M126" t="s">
        <v>1144</v>
      </c>
    </row>
    <row r="127" spans="1:13" x14ac:dyDescent="0.25">
      <c r="A127" t="s">
        <v>797</v>
      </c>
      <c r="B127" t="s">
        <v>798</v>
      </c>
      <c r="C127" s="1">
        <v>45522</v>
      </c>
      <c r="D127" t="s">
        <v>41</v>
      </c>
      <c r="E127">
        <v>18000</v>
      </c>
      <c r="F127">
        <v>24</v>
      </c>
      <c r="G127">
        <v>10.31</v>
      </c>
      <c r="H127">
        <v>833.19</v>
      </c>
      <c r="I127">
        <v>44.6</v>
      </c>
      <c r="J127" t="s">
        <v>15</v>
      </c>
      <c r="K127">
        <v>0</v>
      </c>
      <c r="L127">
        <v>0</v>
      </c>
      <c r="M127" t="s">
        <v>1144</v>
      </c>
    </row>
    <row r="128" spans="1:13" x14ac:dyDescent="0.25">
      <c r="A128" t="s">
        <v>795</v>
      </c>
      <c r="B128" t="s">
        <v>796</v>
      </c>
      <c r="C128" s="1">
        <v>45781</v>
      </c>
      <c r="D128" t="s">
        <v>41</v>
      </c>
      <c r="E128">
        <v>11300</v>
      </c>
      <c r="F128">
        <v>12</v>
      </c>
      <c r="G128">
        <v>10.33</v>
      </c>
      <c r="H128">
        <v>995.18</v>
      </c>
      <c r="I128">
        <v>47.5</v>
      </c>
      <c r="J128" t="s">
        <v>27</v>
      </c>
      <c r="K128">
        <v>0</v>
      </c>
      <c r="L128">
        <v>0</v>
      </c>
      <c r="M128" t="s">
        <v>1144</v>
      </c>
    </row>
    <row r="129" spans="1:13" x14ac:dyDescent="0.25">
      <c r="A129" t="s">
        <v>793</v>
      </c>
      <c r="B129" t="s">
        <v>794</v>
      </c>
      <c r="C129" s="1">
        <v>45803</v>
      </c>
      <c r="D129" t="s">
        <v>14</v>
      </c>
      <c r="E129">
        <v>32200</v>
      </c>
      <c r="F129">
        <v>36</v>
      </c>
      <c r="G129">
        <v>10.02</v>
      </c>
      <c r="H129">
        <v>1039.31</v>
      </c>
      <c r="I129">
        <v>45.1</v>
      </c>
      <c r="J129" t="s">
        <v>27</v>
      </c>
      <c r="K129">
        <v>0</v>
      </c>
      <c r="L129">
        <v>0</v>
      </c>
      <c r="M129" t="s">
        <v>1144</v>
      </c>
    </row>
    <row r="130" spans="1:13" x14ac:dyDescent="0.25">
      <c r="A130" t="s">
        <v>791</v>
      </c>
      <c r="B130" t="s">
        <v>792</v>
      </c>
      <c r="C130" s="1">
        <v>45519</v>
      </c>
      <c r="D130" t="s">
        <v>17</v>
      </c>
      <c r="E130">
        <v>12900</v>
      </c>
      <c r="F130">
        <v>24</v>
      </c>
      <c r="G130">
        <v>12.02</v>
      </c>
      <c r="H130">
        <v>607.37</v>
      </c>
      <c r="I130">
        <v>26.4</v>
      </c>
      <c r="J130" t="s">
        <v>18</v>
      </c>
      <c r="K130">
        <v>32</v>
      </c>
      <c r="L130">
        <v>1</v>
      </c>
      <c r="M130" t="s">
        <v>1144</v>
      </c>
    </row>
    <row r="131" spans="1:13" x14ac:dyDescent="0.25">
      <c r="A131" t="s">
        <v>789</v>
      </c>
      <c r="B131" t="s">
        <v>790</v>
      </c>
      <c r="C131" s="1">
        <v>45293</v>
      </c>
      <c r="D131" t="s">
        <v>36</v>
      </c>
      <c r="E131">
        <v>7000</v>
      </c>
      <c r="F131">
        <v>36</v>
      </c>
      <c r="G131">
        <v>11.75</v>
      </c>
      <c r="H131">
        <v>231.67</v>
      </c>
      <c r="I131">
        <v>26.4</v>
      </c>
      <c r="J131" t="s">
        <v>27</v>
      </c>
      <c r="K131">
        <v>0</v>
      </c>
      <c r="L131">
        <v>0</v>
      </c>
      <c r="M131" t="s">
        <v>1144</v>
      </c>
    </row>
    <row r="132" spans="1:13" x14ac:dyDescent="0.25">
      <c r="A132" t="s">
        <v>258</v>
      </c>
      <c r="B132" t="s">
        <v>259</v>
      </c>
      <c r="C132" s="1">
        <v>45659</v>
      </c>
      <c r="D132" t="s">
        <v>17</v>
      </c>
      <c r="E132">
        <v>16300</v>
      </c>
      <c r="F132">
        <v>48</v>
      </c>
      <c r="G132">
        <v>13.45</v>
      </c>
      <c r="H132">
        <v>440.94</v>
      </c>
      <c r="I132">
        <v>45.3</v>
      </c>
      <c r="J132" t="s">
        <v>62</v>
      </c>
      <c r="K132">
        <v>15</v>
      </c>
      <c r="L132">
        <v>0</v>
      </c>
      <c r="M132" t="s">
        <v>1144</v>
      </c>
    </row>
    <row r="133" spans="1:13" x14ac:dyDescent="0.25">
      <c r="A133" t="s">
        <v>260</v>
      </c>
      <c r="B133" t="s">
        <v>261</v>
      </c>
      <c r="C133" s="1">
        <v>45690</v>
      </c>
      <c r="D133" t="s">
        <v>41</v>
      </c>
      <c r="E133">
        <v>18500</v>
      </c>
      <c r="F133">
        <v>60</v>
      </c>
      <c r="G133">
        <v>7.03</v>
      </c>
      <c r="H133">
        <v>366.58</v>
      </c>
      <c r="I133">
        <v>32.6</v>
      </c>
      <c r="J133" t="s">
        <v>18</v>
      </c>
      <c r="K133">
        <v>168</v>
      </c>
      <c r="L133">
        <v>1</v>
      </c>
      <c r="M133" t="s">
        <v>1144</v>
      </c>
    </row>
    <row r="134" spans="1:13" x14ac:dyDescent="0.25">
      <c r="A134" t="s">
        <v>262</v>
      </c>
      <c r="B134" t="s">
        <v>263</v>
      </c>
      <c r="C134" s="1">
        <v>45308</v>
      </c>
      <c r="D134" t="s">
        <v>14</v>
      </c>
      <c r="E134">
        <v>38600</v>
      </c>
      <c r="F134">
        <v>48</v>
      </c>
      <c r="G134">
        <v>14.52</v>
      </c>
      <c r="H134">
        <v>1064.9000000000001</v>
      </c>
      <c r="I134">
        <v>49.5</v>
      </c>
      <c r="J134" t="s">
        <v>18</v>
      </c>
      <c r="K134">
        <v>44</v>
      </c>
      <c r="L134">
        <v>1</v>
      </c>
      <c r="M134" t="s">
        <v>1144</v>
      </c>
    </row>
    <row r="135" spans="1:13" x14ac:dyDescent="0.25">
      <c r="A135" t="s">
        <v>264</v>
      </c>
      <c r="B135" t="s">
        <v>265</v>
      </c>
      <c r="C135" s="1">
        <v>45444</v>
      </c>
      <c r="D135" t="s">
        <v>41</v>
      </c>
      <c r="E135">
        <v>12200</v>
      </c>
      <c r="F135">
        <v>60</v>
      </c>
      <c r="G135">
        <v>9.2799999999999994</v>
      </c>
      <c r="H135">
        <v>254.91</v>
      </c>
      <c r="I135">
        <v>32.4</v>
      </c>
      <c r="J135" t="s">
        <v>27</v>
      </c>
      <c r="K135">
        <v>0</v>
      </c>
      <c r="L135">
        <v>0</v>
      </c>
      <c r="M135" t="s">
        <v>1144</v>
      </c>
    </row>
    <row r="136" spans="1:13" x14ac:dyDescent="0.25">
      <c r="A136" t="s">
        <v>266</v>
      </c>
      <c r="B136" t="s">
        <v>267</v>
      </c>
      <c r="C136" s="1">
        <v>45425</v>
      </c>
      <c r="D136" t="s">
        <v>14</v>
      </c>
      <c r="E136">
        <v>17200</v>
      </c>
      <c r="F136">
        <v>60</v>
      </c>
      <c r="G136">
        <v>8.1</v>
      </c>
      <c r="H136">
        <v>349.58</v>
      </c>
      <c r="I136">
        <v>38</v>
      </c>
      <c r="J136" t="s">
        <v>18</v>
      </c>
      <c r="K136">
        <v>42</v>
      </c>
      <c r="L136">
        <v>1</v>
      </c>
      <c r="M136" t="s">
        <v>1144</v>
      </c>
    </row>
    <row r="137" spans="1:13" x14ac:dyDescent="0.25">
      <c r="A137" t="s">
        <v>786</v>
      </c>
      <c r="B137" t="s">
        <v>787</v>
      </c>
      <c r="C137" s="1">
        <v>45682</v>
      </c>
      <c r="D137" t="s">
        <v>47</v>
      </c>
      <c r="E137">
        <v>22100</v>
      </c>
      <c r="F137">
        <v>36</v>
      </c>
      <c r="G137">
        <v>8.42</v>
      </c>
      <c r="H137">
        <v>696.82</v>
      </c>
      <c r="I137">
        <v>47.8</v>
      </c>
      <c r="J137" t="s">
        <v>15</v>
      </c>
      <c r="K137">
        <v>0</v>
      </c>
      <c r="L137">
        <v>0</v>
      </c>
      <c r="M137" t="s">
        <v>1144</v>
      </c>
    </row>
    <row r="138" spans="1:13" x14ac:dyDescent="0.25">
      <c r="A138" t="s">
        <v>782</v>
      </c>
      <c r="B138" t="s">
        <v>783</v>
      </c>
      <c r="C138" s="1">
        <v>45626</v>
      </c>
      <c r="D138" t="s">
        <v>36</v>
      </c>
      <c r="E138">
        <v>36400</v>
      </c>
      <c r="F138">
        <v>24</v>
      </c>
      <c r="G138">
        <v>15.11</v>
      </c>
      <c r="H138">
        <v>1766.82</v>
      </c>
      <c r="I138">
        <v>37.6</v>
      </c>
      <c r="J138" t="s">
        <v>27</v>
      </c>
      <c r="K138">
        <v>0</v>
      </c>
      <c r="L138">
        <v>0</v>
      </c>
      <c r="M138" t="s">
        <v>1144</v>
      </c>
    </row>
    <row r="139" spans="1:13" x14ac:dyDescent="0.25">
      <c r="A139" t="s">
        <v>780</v>
      </c>
      <c r="B139" t="s">
        <v>781</v>
      </c>
      <c r="C139" s="1">
        <v>45538</v>
      </c>
      <c r="D139" t="s">
        <v>14</v>
      </c>
      <c r="E139">
        <v>17000</v>
      </c>
      <c r="F139">
        <v>12</v>
      </c>
      <c r="G139">
        <v>8.58</v>
      </c>
      <c r="H139">
        <v>1483.37</v>
      </c>
      <c r="I139">
        <v>33.700000000000003</v>
      </c>
      <c r="J139" t="s">
        <v>15</v>
      </c>
      <c r="K139">
        <v>0</v>
      </c>
      <c r="L139">
        <v>0</v>
      </c>
      <c r="M139" t="s">
        <v>1144</v>
      </c>
    </row>
    <row r="140" spans="1:13" x14ac:dyDescent="0.25">
      <c r="A140" t="s">
        <v>762</v>
      </c>
      <c r="B140" t="s">
        <v>763</v>
      </c>
      <c r="C140" s="1">
        <v>45403</v>
      </c>
      <c r="D140" t="s">
        <v>38</v>
      </c>
      <c r="E140">
        <v>34700</v>
      </c>
      <c r="F140">
        <v>48</v>
      </c>
      <c r="G140">
        <v>10.54</v>
      </c>
      <c r="H140">
        <v>889.11</v>
      </c>
      <c r="I140">
        <v>29.1</v>
      </c>
      <c r="J140" t="s">
        <v>27</v>
      </c>
      <c r="K140">
        <v>0</v>
      </c>
      <c r="L140">
        <v>0</v>
      </c>
      <c r="M140" t="s">
        <v>1144</v>
      </c>
    </row>
    <row r="141" spans="1:13" x14ac:dyDescent="0.25">
      <c r="A141" t="s">
        <v>756</v>
      </c>
      <c r="B141" t="s">
        <v>757</v>
      </c>
      <c r="C141" s="1">
        <v>45699</v>
      </c>
      <c r="D141" t="s">
        <v>30</v>
      </c>
      <c r="E141">
        <v>14900</v>
      </c>
      <c r="F141">
        <v>24</v>
      </c>
      <c r="G141">
        <v>14.15</v>
      </c>
      <c r="H141">
        <v>716.45</v>
      </c>
      <c r="I141">
        <v>32</v>
      </c>
      <c r="J141" t="s">
        <v>27</v>
      </c>
      <c r="K141">
        <v>0</v>
      </c>
      <c r="L141">
        <v>0</v>
      </c>
      <c r="M141" t="s">
        <v>1144</v>
      </c>
    </row>
    <row r="142" spans="1:13" x14ac:dyDescent="0.25">
      <c r="A142" t="s">
        <v>276</v>
      </c>
      <c r="B142" t="s">
        <v>277</v>
      </c>
      <c r="C142" s="1">
        <v>45470</v>
      </c>
      <c r="D142" t="s">
        <v>38</v>
      </c>
      <c r="E142">
        <v>14400</v>
      </c>
      <c r="F142">
        <v>48</v>
      </c>
      <c r="G142">
        <v>8.3800000000000008</v>
      </c>
      <c r="H142">
        <v>354.12</v>
      </c>
      <c r="I142">
        <v>29.9</v>
      </c>
      <c r="J142" t="s">
        <v>27</v>
      </c>
      <c r="K142">
        <v>0</v>
      </c>
      <c r="L142">
        <v>0</v>
      </c>
      <c r="M142" t="s">
        <v>1144</v>
      </c>
    </row>
    <row r="143" spans="1:13" x14ac:dyDescent="0.25">
      <c r="A143" t="s">
        <v>752</v>
      </c>
      <c r="B143" t="s">
        <v>753</v>
      </c>
      <c r="C143" s="1">
        <v>45729</v>
      </c>
      <c r="D143" t="s">
        <v>36</v>
      </c>
      <c r="E143">
        <v>11100</v>
      </c>
      <c r="F143">
        <v>48</v>
      </c>
      <c r="G143">
        <v>9.5299999999999994</v>
      </c>
      <c r="H143">
        <v>279.02999999999997</v>
      </c>
      <c r="I143">
        <v>48.1</v>
      </c>
      <c r="J143" t="s">
        <v>18</v>
      </c>
      <c r="K143">
        <v>107</v>
      </c>
      <c r="L143">
        <v>1</v>
      </c>
      <c r="M143" t="s">
        <v>1144</v>
      </c>
    </row>
    <row r="144" spans="1:13" x14ac:dyDescent="0.25">
      <c r="A144" t="s">
        <v>280</v>
      </c>
      <c r="B144" t="s">
        <v>281</v>
      </c>
      <c r="C144" s="1">
        <v>45767</v>
      </c>
      <c r="D144" t="s">
        <v>47</v>
      </c>
      <c r="E144">
        <v>23700</v>
      </c>
      <c r="F144">
        <v>60</v>
      </c>
      <c r="G144">
        <v>8.3699999999999992</v>
      </c>
      <c r="H144">
        <v>484.76</v>
      </c>
      <c r="I144">
        <v>25.1</v>
      </c>
      <c r="J144" t="s">
        <v>27</v>
      </c>
      <c r="K144">
        <v>0</v>
      </c>
      <c r="L144">
        <v>0</v>
      </c>
      <c r="M144" t="s">
        <v>1144</v>
      </c>
    </row>
    <row r="145" spans="1:13" x14ac:dyDescent="0.25">
      <c r="A145" t="s">
        <v>750</v>
      </c>
      <c r="B145" t="s">
        <v>751</v>
      </c>
      <c r="C145" s="1">
        <v>45386</v>
      </c>
      <c r="D145" t="s">
        <v>47</v>
      </c>
      <c r="E145">
        <v>33800</v>
      </c>
      <c r="F145">
        <v>24</v>
      </c>
      <c r="G145">
        <v>6.85</v>
      </c>
      <c r="H145">
        <v>1511.02</v>
      </c>
      <c r="I145">
        <v>36.4</v>
      </c>
      <c r="J145" t="s">
        <v>62</v>
      </c>
      <c r="K145">
        <v>15</v>
      </c>
      <c r="L145">
        <v>0</v>
      </c>
      <c r="M145" t="s">
        <v>1144</v>
      </c>
    </row>
    <row r="146" spans="1:13" x14ac:dyDescent="0.25">
      <c r="A146" t="s">
        <v>749</v>
      </c>
      <c r="B146" t="s">
        <v>748</v>
      </c>
      <c r="C146" s="1">
        <v>45443</v>
      </c>
      <c r="D146" t="s">
        <v>41</v>
      </c>
      <c r="E146">
        <v>19300</v>
      </c>
      <c r="F146">
        <v>12</v>
      </c>
      <c r="G146">
        <v>10.17</v>
      </c>
      <c r="H146">
        <v>1698.3</v>
      </c>
      <c r="I146">
        <v>44</v>
      </c>
      <c r="J146" t="s">
        <v>62</v>
      </c>
      <c r="K146">
        <v>0</v>
      </c>
      <c r="L146">
        <v>0</v>
      </c>
      <c r="M146" t="s">
        <v>1144</v>
      </c>
    </row>
    <row r="147" spans="1:13" x14ac:dyDescent="0.25">
      <c r="A147" t="s">
        <v>285</v>
      </c>
      <c r="B147" t="s">
        <v>286</v>
      </c>
      <c r="C147" s="1">
        <v>45625</v>
      </c>
      <c r="D147" t="s">
        <v>36</v>
      </c>
      <c r="E147">
        <v>4200</v>
      </c>
      <c r="F147">
        <v>48</v>
      </c>
      <c r="G147">
        <v>12.38</v>
      </c>
      <c r="H147">
        <v>111.39</v>
      </c>
      <c r="I147">
        <v>39.299999999999997</v>
      </c>
      <c r="J147" t="s">
        <v>15</v>
      </c>
      <c r="K147">
        <v>0</v>
      </c>
      <c r="L147">
        <v>0</v>
      </c>
      <c r="M147" t="s">
        <v>1144</v>
      </c>
    </row>
    <row r="148" spans="1:13" x14ac:dyDescent="0.25">
      <c r="A148" t="s">
        <v>745</v>
      </c>
      <c r="B148" t="s">
        <v>746</v>
      </c>
      <c r="C148" s="1">
        <v>45458</v>
      </c>
      <c r="D148" t="s">
        <v>47</v>
      </c>
      <c r="E148">
        <v>6100</v>
      </c>
      <c r="F148">
        <v>12</v>
      </c>
      <c r="G148">
        <v>10.74</v>
      </c>
      <c r="H148">
        <v>538.39</v>
      </c>
      <c r="I148">
        <v>47.2</v>
      </c>
      <c r="J148" t="s">
        <v>18</v>
      </c>
      <c r="K148">
        <v>141</v>
      </c>
      <c r="L148">
        <v>1</v>
      </c>
      <c r="M148" t="s">
        <v>1144</v>
      </c>
    </row>
    <row r="149" spans="1:13" x14ac:dyDescent="0.25">
      <c r="A149" t="s">
        <v>289</v>
      </c>
      <c r="B149" t="s">
        <v>290</v>
      </c>
      <c r="C149" s="1">
        <v>45674</v>
      </c>
      <c r="D149" t="s">
        <v>17</v>
      </c>
      <c r="E149">
        <v>25400</v>
      </c>
      <c r="F149">
        <v>48</v>
      </c>
      <c r="G149">
        <v>10.99</v>
      </c>
      <c r="H149">
        <v>656.35</v>
      </c>
      <c r="I149">
        <v>41.1</v>
      </c>
      <c r="J149" t="s">
        <v>18</v>
      </c>
      <c r="K149">
        <v>79</v>
      </c>
      <c r="L149">
        <v>1</v>
      </c>
      <c r="M149" t="s">
        <v>1144</v>
      </c>
    </row>
    <row r="150" spans="1:13" x14ac:dyDescent="0.25">
      <c r="A150" t="s">
        <v>291</v>
      </c>
      <c r="B150" t="s">
        <v>292</v>
      </c>
      <c r="C150" s="1">
        <v>45431</v>
      </c>
      <c r="D150" t="s">
        <v>24</v>
      </c>
      <c r="E150">
        <v>6800</v>
      </c>
      <c r="F150">
        <v>60</v>
      </c>
      <c r="G150">
        <v>6.15</v>
      </c>
      <c r="H150">
        <v>131.94</v>
      </c>
      <c r="I150">
        <v>33.200000000000003</v>
      </c>
      <c r="J150" t="s">
        <v>18</v>
      </c>
      <c r="K150">
        <v>149</v>
      </c>
      <c r="L150">
        <v>1</v>
      </c>
      <c r="M150" t="s">
        <v>1144</v>
      </c>
    </row>
    <row r="151" spans="1:13" x14ac:dyDescent="0.25">
      <c r="A151" t="s">
        <v>293</v>
      </c>
      <c r="B151" t="s">
        <v>294</v>
      </c>
      <c r="C151" s="1">
        <v>45466</v>
      </c>
      <c r="D151" t="s">
        <v>33</v>
      </c>
      <c r="E151">
        <v>12600</v>
      </c>
      <c r="F151">
        <v>36</v>
      </c>
      <c r="G151">
        <v>10.52</v>
      </c>
      <c r="H151">
        <v>409.65</v>
      </c>
      <c r="I151">
        <v>31.9</v>
      </c>
      <c r="J151" t="s">
        <v>27</v>
      </c>
      <c r="K151">
        <v>0</v>
      </c>
      <c r="L151">
        <v>0</v>
      </c>
      <c r="M151" t="s">
        <v>1144</v>
      </c>
    </row>
    <row r="152" spans="1:13" x14ac:dyDescent="0.25">
      <c r="A152" t="s">
        <v>295</v>
      </c>
      <c r="B152" t="s">
        <v>296</v>
      </c>
      <c r="C152" s="1">
        <v>45765</v>
      </c>
      <c r="D152" t="s">
        <v>21</v>
      </c>
      <c r="E152">
        <v>31100</v>
      </c>
      <c r="F152">
        <v>60</v>
      </c>
      <c r="G152">
        <v>8.3000000000000007</v>
      </c>
      <c r="H152">
        <v>635.07000000000005</v>
      </c>
      <c r="I152">
        <v>49.3</v>
      </c>
      <c r="J152" t="s">
        <v>15</v>
      </c>
      <c r="K152">
        <v>0</v>
      </c>
      <c r="L152">
        <v>0</v>
      </c>
      <c r="M152" t="s">
        <v>1144</v>
      </c>
    </row>
    <row r="153" spans="1:13" x14ac:dyDescent="0.25">
      <c r="A153" t="s">
        <v>297</v>
      </c>
      <c r="B153" t="s">
        <v>298</v>
      </c>
      <c r="C153" s="1">
        <v>45297</v>
      </c>
      <c r="D153" t="s">
        <v>30</v>
      </c>
      <c r="E153">
        <v>10300</v>
      </c>
      <c r="F153">
        <v>60</v>
      </c>
      <c r="G153">
        <v>11.2</v>
      </c>
      <c r="H153">
        <v>224.98</v>
      </c>
      <c r="I153">
        <v>27.6</v>
      </c>
      <c r="J153" t="s">
        <v>15</v>
      </c>
      <c r="K153">
        <v>0</v>
      </c>
      <c r="L153">
        <v>0</v>
      </c>
      <c r="M153" t="s">
        <v>1144</v>
      </c>
    </row>
    <row r="154" spans="1:13" x14ac:dyDescent="0.25">
      <c r="A154" t="s">
        <v>299</v>
      </c>
      <c r="B154" t="s">
        <v>300</v>
      </c>
      <c r="C154" s="1">
        <v>45392</v>
      </c>
      <c r="D154" t="s">
        <v>21</v>
      </c>
      <c r="E154">
        <v>11900</v>
      </c>
      <c r="F154">
        <v>48</v>
      </c>
      <c r="G154">
        <v>12.47</v>
      </c>
      <c r="H154">
        <v>316.13</v>
      </c>
      <c r="I154">
        <v>35</v>
      </c>
      <c r="J154" t="s">
        <v>27</v>
      </c>
      <c r="K154">
        <v>0</v>
      </c>
      <c r="L154">
        <v>0</v>
      </c>
      <c r="M154" t="s">
        <v>1144</v>
      </c>
    </row>
    <row r="155" spans="1:13" x14ac:dyDescent="0.25">
      <c r="A155" t="s">
        <v>301</v>
      </c>
      <c r="B155" t="s">
        <v>302</v>
      </c>
      <c r="C155" s="1">
        <v>45384</v>
      </c>
      <c r="D155" t="s">
        <v>17</v>
      </c>
      <c r="E155">
        <v>8400</v>
      </c>
      <c r="F155">
        <v>36</v>
      </c>
      <c r="G155">
        <v>9.11</v>
      </c>
      <c r="H155">
        <v>267.55</v>
      </c>
      <c r="I155">
        <v>38.200000000000003</v>
      </c>
      <c r="J155" t="s">
        <v>18</v>
      </c>
      <c r="K155">
        <v>108</v>
      </c>
      <c r="L155">
        <v>1</v>
      </c>
      <c r="M155" t="s">
        <v>1144</v>
      </c>
    </row>
    <row r="156" spans="1:13" x14ac:dyDescent="0.25">
      <c r="A156" t="s">
        <v>743</v>
      </c>
      <c r="B156" t="s">
        <v>744</v>
      </c>
      <c r="C156" s="1">
        <v>45696</v>
      </c>
      <c r="D156" t="s">
        <v>21</v>
      </c>
      <c r="E156">
        <v>20000</v>
      </c>
      <c r="F156">
        <v>48</v>
      </c>
      <c r="G156">
        <v>12.16</v>
      </c>
      <c r="H156">
        <v>528.25</v>
      </c>
      <c r="I156">
        <v>30.1</v>
      </c>
      <c r="J156" t="s">
        <v>27</v>
      </c>
      <c r="K156">
        <v>0</v>
      </c>
      <c r="L156">
        <v>0</v>
      </c>
      <c r="M156" t="s">
        <v>1144</v>
      </c>
    </row>
    <row r="157" spans="1:13" x14ac:dyDescent="0.25">
      <c r="A157" t="s">
        <v>736</v>
      </c>
      <c r="B157" t="s">
        <v>735</v>
      </c>
      <c r="C157" s="1">
        <v>45498</v>
      </c>
      <c r="D157" t="s">
        <v>47</v>
      </c>
      <c r="E157">
        <v>10200</v>
      </c>
      <c r="F157">
        <v>48</v>
      </c>
      <c r="G157">
        <v>14.52</v>
      </c>
      <c r="H157">
        <v>281.39999999999998</v>
      </c>
      <c r="I157">
        <v>49</v>
      </c>
      <c r="J157" t="s">
        <v>18</v>
      </c>
      <c r="K157">
        <v>153</v>
      </c>
      <c r="L157">
        <v>1</v>
      </c>
      <c r="M157" t="s">
        <v>1144</v>
      </c>
    </row>
    <row r="158" spans="1:13" x14ac:dyDescent="0.25">
      <c r="A158" t="s">
        <v>734</v>
      </c>
      <c r="B158" t="s">
        <v>735</v>
      </c>
      <c r="C158" s="1">
        <v>45494</v>
      </c>
      <c r="D158" t="s">
        <v>38</v>
      </c>
      <c r="E158">
        <v>4200</v>
      </c>
      <c r="F158">
        <v>48</v>
      </c>
      <c r="G158">
        <v>11.24</v>
      </c>
      <c r="H158">
        <v>109.04</v>
      </c>
      <c r="I158">
        <v>44.9</v>
      </c>
      <c r="J158" t="s">
        <v>18</v>
      </c>
      <c r="K158">
        <v>75</v>
      </c>
      <c r="L158">
        <v>1</v>
      </c>
      <c r="M158" t="s">
        <v>1144</v>
      </c>
    </row>
    <row r="159" spans="1:13" x14ac:dyDescent="0.25">
      <c r="A159" t="s">
        <v>732</v>
      </c>
      <c r="B159" t="s">
        <v>733</v>
      </c>
      <c r="C159" s="1">
        <v>45420</v>
      </c>
      <c r="D159" t="s">
        <v>14</v>
      </c>
      <c r="E159">
        <v>5800</v>
      </c>
      <c r="F159">
        <v>24</v>
      </c>
      <c r="G159">
        <v>14.02</v>
      </c>
      <c r="H159">
        <v>278.52999999999997</v>
      </c>
      <c r="I159">
        <v>28.6</v>
      </c>
      <c r="J159" t="s">
        <v>18</v>
      </c>
      <c r="K159">
        <v>170</v>
      </c>
      <c r="L159">
        <v>1</v>
      </c>
      <c r="M159" t="s">
        <v>1144</v>
      </c>
    </row>
    <row r="160" spans="1:13" x14ac:dyDescent="0.25">
      <c r="A160" t="s">
        <v>731</v>
      </c>
      <c r="B160" t="s">
        <v>730</v>
      </c>
      <c r="C160" s="1">
        <v>45682</v>
      </c>
      <c r="D160" t="s">
        <v>38</v>
      </c>
      <c r="E160">
        <v>35400</v>
      </c>
      <c r="F160">
        <v>24</v>
      </c>
      <c r="G160">
        <v>12.36</v>
      </c>
      <c r="H160">
        <v>1672.36</v>
      </c>
      <c r="I160">
        <v>36.299999999999997</v>
      </c>
      <c r="J160" t="s">
        <v>62</v>
      </c>
      <c r="K160">
        <v>0</v>
      </c>
      <c r="L160">
        <v>0</v>
      </c>
      <c r="M160" t="s">
        <v>1144</v>
      </c>
    </row>
    <row r="161" spans="1:13" x14ac:dyDescent="0.25">
      <c r="A161" t="s">
        <v>727</v>
      </c>
      <c r="B161" t="s">
        <v>728</v>
      </c>
      <c r="C161" s="1">
        <v>45617</v>
      </c>
      <c r="D161" t="s">
        <v>47</v>
      </c>
      <c r="E161">
        <v>22800</v>
      </c>
      <c r="F161">
        <v>36</v>
      </c>
      <c r="G161">
        <v>10.199999999999999</v>
      </c>
      <c r="H161">
        <v>737.83</v>
      </c>
      <c r="I161">
        <v>37.200000000000003</v>
      </c>
      <c r="J161" t="s">
        <v>27</v>
      </c>
      <c r="K161">
        <v>0</v>
      </c>
      <c r="L161">
        <v>0</v>
      </c>
      <c r="M161" t="s">
        <v>1144</v>
      </c>
    </row>
    <row r="162" spans="1:13" x14ac:dyDescent="0.25">
      <c r="A162" t="s">
        <v>723</v>
      </c>
      <c r="B162" t="s">
        <v>724</v>
      </c>
      <c r="C162" s="1">
        <v>45305</v>
      </c>
      <c r="D162" t="s">
        <v>47</v>
      </c>
      <c r="E162">
        <v>26500</v>
      </c>
      <c r="F162">
        <v>24</v>
      </c>
      <c r="G162">
        <v>12.88</v>
      </c>
      <c r="H162">
        <v>1258.3699999999999</v>
      </c>
      <c r="I162">
        <v>30.3</v>
      </c>
      <c r="J162" t="s">
        <v>18</v>
      </c>
      <c r="K162">
        <v>61</v>
      </c>
      <c r="L162">
        <v>1</v>
      </c>
      <c r="M162" t="s">
        <v>1144</v>
      </c>
    </row>
    <row r="163" spans="1:13" x14ac:dyDescent="0.25">
      <c r="A163" t="s">
        <v>721</v>
      </c>
      <c r="B163" t="s">
        <v>722</v>
      </c>
      <c r="C163" s="1">
        <v>45785</v>
      </c>
      <c r="D163" t="s">
        <v>33</v>
      </c>
      <c r="E163">
        <v>13700</v>
      </c>
      <c r="F163">
        <v>36</v>
      </c>
      <c r="G163">
        <v>15.64</v>
      </c>
      <c r="H163">
        <v>479.22</v>
      </c>
      <c r="I163">
        <v>36.200000000000003</v>
      </c>
      <c r="J163" t="s">
        <v>18</v>
      </c>
      <c r="K163">
        <v>34</v>
      </c>
      <c r="L163">
        <v>1</v>
      </c>
      <c r="M163" t="s">
        <v>1144</v>
      </c>
    </row>
    <row r="164" spans="1:13" x14ac:dyDescent="0.25">
      <c r="A164" t="s">
        <v>715</v>
      </c>
      <c r="B164" t="s">
        <v>716</v>
      </c>
      <c r="C164" s="1">
        <v>45615</v>
      </c>
      <c r="D164" t="s">
        <v>38</v>
      </c>
      <c r="E164">
        <v>8300</v>
      </c>
      <c r="F164">
        <v>24</v>
      </c>
      <c r="G164">
        <v>8.84</v>
      </c>
      <c r="H164">
        <v>378.57</v>
      </c>
      <c r="I164">
        <v>41</v>
      </c>
      <c r="J164" t="s">
        <v>18</v>
      </c>
      <c r="K164">
        <v>84</v>
      </c>
      <c r="L164">
        <v>1</v>
      </c>
      <c r="M164" t="s">
        <v>1144</v>
      </c>
    </row>
    <row r="165" spans="1:13" x14ac:dyDescent="0.25">
      <c r="A165" t="s">
        <v>320</v>
      </c>
      <c r="B165" t="s">
        <v>319</v>
      </c>
      <c r="C165" s="1">
        <v>45777</v>
      </c>
      <c r="D165" t="s">
        <v>41</v>
      </c>
      <c r="E165">
        <v>48500</v>
      </c>
      <c r="F165">
        <v>60</v>
      </c>
      <c r="G165">
        <v>15.28</v>
      </c>
      <c r="H165">
        <v>1160.95</v>
      </c>
      <c r="I165">
        <v>32</v>
      </c>
      <c r="J165" t="s">
        <v>62</v>
      </c>
      <c r="K165">
        <v>0</v>
      </c>
      <c r="L165">
        <v>0</v>
      </c>
      <c r="M165" t="s">
        <v>1144</v>
      </c>
    </row>
    <row r="166" spans="1:13" x14ac:dyDescent="0.25">
      <c r="A166" t="s">
        <v>321</v>
      </c>
      <c r="B166" t="s">
        <v>322</v>
      </c>
      <c r="C166" s="1">
        <v>45713</v>
      </c>
      <c r="D166" t="s">
        <v>36</v>
      </c>
      <c r="E166">
        <v>21200</v>
      </c>
      <c r="F166">
        <v>60</v>
      </c>
      <c r="G166">
        <v>13.29</v>
      </c>
      <c r="H166">
        <v>485.52</v>
      </c>
      <c r="I166">
        <v>31.3</v>
      </c>
      <c r="J166" t="s">
        <v>15</v>
      </c>
      <c r="K166">
        <v>0</v>
      </c>
      <c r="L166">
        <v>0</v>
      </c>
      <c r="M166" t="s">
        <v>1144</v>
      </c>
    </row>
    <row r="167" spans="1:13" x14ac:dyDescent="0.25">
      <c r="A167" t="s">
        <v>323</v>
      </c>
      <c r="B167" t="s">
        <v>324</v>
      </c>
      <c r="C167" s="1">
        <v>45605</v>
      </c>
      <c r="D167" t="s">
        <v>21</v>
      </c>
      <c r="E167">
        <v>20400</v>
      </c>
      <c r="F167">
        <v>36</v>
      </c>
      <c r="G167">
        <v>11.07</v>
      </c>
      <c r="H167">
        <v>668.55</v>
      </c>
      <c r="I167">
        <v>30.1</v>
      </c>
      <c r="J167" t="s">
        <v>27</v>
      </c>
      <c r="K167">
        <v>0</v>
      </c>
      <c r="L167">
        <v>0</v>
      </c>
      <c r="M167" t="s">
        <v>1144</v>
      </c>
    </row>
    <row r="168" spans="1:13" x14ac:dyDescent="0.25">
      <c r="A168" t="s">
        <v>325</v>
      </c>
      <c r="B168" t="s">
        <v>326</v>
      </c>
      <c r="C168" s="1">
        <v>45456</v>
      </c>
      <c r="D168" t="s">
        <v>41</v>
      </c>
      <c r="E168">
        <v>9200</v>
      </c>
      <c r="F168">
        <v>24</v>
      </c>
      <c r="G168">
        <v>8.93</v>
      </c>
      <c r="H168">
        <v>420</v>
      </c>
      <c r="I168">
        <v>30.1</v>
      </c>
      <c r="J168" t="s">
        <v>15</v>
      </c>
      <c r="K168">
        <v>0</v>
      </c>
      <c r="L168">
        <v>0</v>
      </c>
      <c r="M168" t="s">
        <v>1144</v>
      </c>
    </row>
    <row r="169" spans="1:13" x14ac:dyDescent="0.25">
      <c r="A169" t="s">
        <v>705</v>
      </c>
      <c r="B169" t="s">
        <v>706</v>
      </c>
      <c r="C169" s="1">
        <v>45658</v>
      </c>
      <c r="D169" t="s">
        <v>33</v>
      </c>
      <c r="E169">
        <v>11000</v>
      </c>
      <c r="F169">
        <v>36</v>
      </c>
      <c r="G169">
        <v>7.78</v>
      </c>
      <c r="H169">
        <v>343.58</v>
      </c>
      <c r="I169">
        <v>45.1</v>
      </c>
      <c r="J169" t="s">
        <v>15</v>
      </c>
      <c r="K169">
        <v>0</v>
      </c>
      <c r="L169">
        <v>0</v>
      </c>
      <c r="M169" t="s">
        <v>1144</v>
      </c>
    </row>
    <row r="170" spans="1:13" x14ac:dyDescent="0.25">
      <c r="A170" t="s">
        <v>703</v>
      </c>
      <c r="B170" t="s">
        <v>704</v>
      </c>
      <c r="C170" s="1">
        <v>45473</v>
      </c>
      <c r="D170" t="s">
        <v>24</v>
      </c>
      <c r="E170">
        <v>8800</v>
      </c>
      <c r="F170">
        <v>12</v>
      </c>
      <c r="G170">
        <v>13.28</v>
      </c>
      <c r="H170">
        <v>787.15</v>
      </c>
      <c r="I170">
        <v>48.2</v>
      </c>
      <c r="J170" t="s">
        <v>18</v>
      </c>
      <c r="K170">
        <v>166</v>
      </c>
      <c r="L170">
        <v>1</v>
      </c>
      <c r="M170" t="s">
        <v>1144</v>
      </c>
    </row>
    <row r="171" spans="1:13" x14ac:dyDescent="0.25">
      <c r="A171" t="s">
        <v>701</v>
      </c>
      <c r="B171" t="s">
        <v>702</v>
      </c>
      <c r="C171" s="1">
        <v>45376</v>
      </c>
      <c r="D171" t="s">
        <v>33</v>
      </c>
      <c r="E171">
        <v>12300</v>
      </c>
      <c r="F171">
        <v>48</v>
      </c>
      <c r="G171">
        <v>9.32</v>
      </c>
      <c r="H171">
        <v>307.95999999999998</v>
      </c>
      <c r="I171">
        <v>34.200000000000003</v>
      </c>
      <c r="J171" t="s">
        <v>15</v>
      </c>
      <c r="K171">
        <v>0</v>
      </c>
      <c r="L171">
        <v>0</v>
      </c>
      <c r="M171" t="s">
        <v>1144</v>
      </c>
    </row>
    <row r="172" spans="1:13" x14ac:dyDescent="0.25">
      <c r="A172" t="s">
        <v>681</v>
      </c>
      <c r="B172" t="s">
        <v>680</v>
      </c>
      <c r="C172" s="1">
        <v>45754</v>
      </c>
      <c r="D172" t="s">
        <v>21</v>
      </c>
      <c r="E172">
        <v>18800</v>
      </c>
      <c r="F172">
        <v>36</v>
      </c>
      <c r="G172">
        <v>9</v>
      </c>
      <c r="H172">
        <v>597.83000000000004</v>
      </c>
      <c r="I172">
        <v>26.7</v>
      </c>
      <c r="J172" t="s">
        <v>27</v>
      </c>
      <c r="K172">
        <v>0</v>
      </c>
      <c r="L172">
        <v>0</v>
      </c>
      <c r="M172" t="s">
        <v>1144</v>
      </c>
    </row>
    <row r="173" spans="1:13" x14ac:dyDescent="0.25">
      <c r="A173" t="s">
        <v>333</v>
      </c>
      <c r="B173" t="s">
        <v>334</v>
      </c>
      <c r="C173" s="1">
        <v>45517</v>
      </c>
      <c r="D173" t="s">
        <v>41</v>
      </c>
      <c r="E173">
        <v>13500</v>
      </c>
      <c r="F173">
        <v>36</v>
      </c>
      <c r="G173">
        <v>10.039999999999999</v>
      </c>
      <c r="H173">
        <v>435.86</v>
      </c>
      <c r="I173">
        <v>45.8</v>
      </c>
      <c r="J173" t="s">
        <v>27</v>
      </c>
      <c r="K173">
        <v>0</v>
      </c>
      <c r="L173">
        <v>0</v>
      </c>
      <c r="M173" t="s">
        <v>1144</v>
      </c>
    </row>
    <row r="174" spans="1:13" x14ac:dyDescent="0.25">
      <c r="A174" t="s">
        <v>679</v>
      </c>
      <c r="B174" t="s">
        <v>680</v>
      </c>
      <c r="C174" s="1">
        <v>45692</v>
      </c>
      <c r="D174" t="s">
        <v>33</v>
      </c>
      <c r="E174">
        <v>49700</v>
      </c>
      <c r="F174">
        <v>60</v>
      </c>
      <c r="G174">
        <v>9.3000000000000007</v>
      </c>
      <c r="H174">
        <v>1038.94</v>
      </c>
      <c r="I174">
        <v>37.5</v>
      </c>
      <c r="J174" t="s">
        <v>27</v>
      </c>
      <c r="K174">
        <v>0</v>
      </c>
      <c r="L174">
        <v>0</v>
      </c>
      <c r="M174" t="s">
        <v>1144</v>
      </c>
    </row>
    <row r="175" spans="1:13" x14ac:dyDescent="0.25">
      <c r="A175" t="s">
        <v>337</v>
      </c>
      <c r="B175" t="s">
        <v>338</v>
      </c>
      <c r="C175" s="1">
        <v>45349</v>
      </c>
      <c r="D175" t="s">
        <v>21</v>
      </c>
      <c r="E175">
        <v>11000</v>
      </c>
      <c r="F175">
        <v>60</v>
      </c>
      <c r="G175">
        <v>10.53</v>
      </c>
      <c r="H175">
        <v>236.6</v>
      </c>
      <c r="I175">
        <v>29.5</v>
      </c>
      <c r="J175" t="s">
        <v>27</v>
      </c>
      <c r="K175">
        <v>0</v>
      </c>
      <c r="L175">
        <v>0</v>
      </c>
      <c r="M175" t="s">
        <v>1144</v>
      </c>
    </row>
    <row r="176" spans="1:13" x14ac:dyDescent="0.25">
      <c r="A176" t="s">
        <v>339</v>
      </c>
      <c r="B176" t="s">
        <v>340</v>
      </c>
      <c r="C176" s="1">
        <v>45748</v>
      </c>
      <c r="D176" t="s">
        <v>30</v>
      </c>
      <c r="E176">
        <v>2600</v>
      </c>
      <c r="F176">
        <v>36</v>
      </c>
      <c r="G176">
        <v>12.52</v>
      </c>
      <c r="H176">
        <v>87</v>
      </c>
      <c r="I176">
        <v>49.7</v>
      </c>
      <c r="J176" t="s">
        <v>15</v>
      </c>
      <c r="K176">
        <v>0</v>
      </c>
      <c r="L176">
        <v>0</v>
      </c>
      <c r="M176" t="s">
        <v>1144</v>
      </c>
    </row>
    <row r="177" spans="1:13" x14ac:dyDescent="0.25">
      <c r="A177" t="s">
        <v>677</v>
      </c>
      <c r="B177" t="s">
        <v>678</v>
      </c>
      <c r="C177" s="1">
        <v>45598</v>
      </c>
      <c r="D177" t="s">
        <v>30</v>
      </c>
      <c r="E177">
        <v>19900</v>
      </c>
      <c r="F177">
        <v>48</v>
      </c>
      <c r="G177">
        <v>13.08</v>
      </c>
      <c r="H177">
        <v>534.66</v>
      </c>
      <c r="I177">
        <v>49.5</v>
      </c>
      <c r="J177" t="s">
        <v>15</v>
      </c>
      <c r="K177">
        <v>0</v>
      </c>
      <c r="L177">
        <v>0</v>
      </c>
      <c r="M177" t="s">
        <v>1144</v>
      </c>
    </row>
    <row r="178" spans="1:13" x14ac:dyDescent="0.25">
      <c r="A178" t="s">
        <v>675</v>
      </c>
      <c r="B178" t="s">
        <v>676</v>
      </c>
      <c r="C178" s="1">
        <v>45434</v>
      </c>
      <c r="D178" t="s">
        <v>17</v>
      </c>
      <c r="E178">
        <v>9300</v>
      </c>
      <c r="F178">
        <v>60</v>
      </c>
      <c r="G178">
        <v>8.15</v>
      </c>
      <c r="H178">
        <v>189.24</v>
      </c>
      <c r="I178">
        <v>38.4</v>
      </c>
      <c r="J178" t="s">
        <v>15</v>
      </c>
      <c r="K178">
        <v>0</v>
      </c>
      <c r="L178">
        <v>0</v>
      </c>
      <c r="M178" t="s">
        <v>1144</v>
      </c>
    </row>
    <row r="179" spans="1:13" x14ac:dyDescent="0.25">
      <c r="A179" t="s">
        <v>344</v>
      </c>
      <c r="B179" t="s">
        <v>345</v>
      </c>
      <c r="C179" s="1">
        <v>45432</v>
      </c>
      <c r="D179" t="s">
        <v>24</v>
      </c>
      <c r="E179">
        <v>20600</v>
      </c>
      <c r="F179">
        <v>60</v>
      </c>
      <c r="G179">
        <v>14.08</v>
      </c>
      <c r="H179">
        <v>480.18</v>
      </c>
      <c r="I179">
        <v>26.5</v>
      </c>
      <c r="J179" t="s">
        <v>18</v>
      </c>
      <c r="K179">
        <v>127</v>
      </c>
      <c r="L179">
        <v>1</v>
      </c>
      <c r="M179" t="s">
        <v>1144</v>
      </c>
    </row>
    <row r="180" spans="1:13" x14ac:dyDescent="0.25">
      <c r="A180" t="s">
        <v>346</v>
      </c>
      <c r="B180" t="s">
        <v>347</v>
      </c>
      <c r="C180" s="1">
        <v>45766</v>
      </c>
      <c r="D180" t="s">
        <v>14</v>
      </c>
      <c r="E180">
        <v>17700</v>
      </c>
      <c r="F180">
        <v>60</v>
      </c>
      <c r="G180">
        <v>7.49</v>
      </c>
      <c r="H180">
        <v>354.59</v>
      </c>
      <c r="I180">
        <v>32.6</v>
      </c>
      <c r="J180" t="s">
        <v>27</v>
      </c>
      <c r="K180">
        <v>0</v>
      </c>
      <c r="L180">
        <v>0</v>
      </c>
      <c r="M180" t="s">
        <v>1144</v>
      </c>
    </row>
    <row r="181" spans="1:13" x14ac:dyDescent="0.25">
      <c r="A181" t="s">
        <v>348</v>
      </c>
      <c r="B181" t="s">
        <v>349</v>
      </c>
      <c r="C181" s="1">
        <v>45795</v>
      </c>
      <c r="D181" t="s">
        <v>14</v>
      </c>
      <c r="E181">
        <v>24800</v>
      </c>
      <c r="F181">
        <v>36</v>
      </c>
      <c r="G181">
        <v>10.24</v>
      </c>
      <c r="H181">
        <v>803.02</v>
      </c>
      <c r="I181">
        <v>31.1</v>
      </c>
      <c r="J181" t="s">
        <v>27</v>
      </c>
      <c r="K181">
        <v>0</v>
      </c>
      <c r="L181">
        <v>0</v>
      </c>
      <c r="M181" t="s">
        <v>1144</v>
      </c>
    </row>
    <row r="182" spans="1:13" x14ac:dyDescent="0.25">
      <c r="A182" t="s">
        <v>350</v>
      </c>
      <c r="B182" t="s">
        <v>351</v>
      </c>
      <c r="C182" s="1">
        <v>45738</v>
      </c>
      <c r="D182" t="s">
        <v>14</v>
      </c>
      <c r="E182">
        <v>5200</v>
      </c>
      <c r="F182">
        <v>36</v>
      </c>
      <c r="G182">
        <v>12.72</v>
      </c>
      <c r="H182">
        <v>174.51</v>
      </c>
      <c r="I182">
        <v>25.8</v>
      </c>
      <c r="J182" t="s">
        <v>27</v>
      </c>
      <c r="K182">
        <v>0</v>
      </c>
      <c r="L182">
        <v>0</v>
      </c>
      <c r="M182" t="s">
        <v>1144</v>
      </c>
    </row>
    <row r="183" spans="1:13" x14ac:dyDescent="0.25">
      <c r="A183" t="s">
        <v>672</v>
      </c>
      <c r="B183" t="s">
        <v>671</v>
      </c>
      <c r="C183" s="1">
        <v>45444</v>
      </c>
      <c r="D183" t="s">
        <v>47</v>
      </c>
      <c r="E183">
        <v>2600</v>
      </c>
      <c r="F183">
        <v>60</v>
      </c>
      <c r="G183">
        <v>12.05</v>
      </c>
      <c r="H183">
        <v>57.9</v>
      </c>
      <c r="I183">
        <v>28.9</v>
      </c>
      <c r="J183" t="s">
        <v>15</v>
      </c>
      <c r="K183">
        <v>0</v>
      </c>
      <c r="L183">
        <v>0</v>
      </c>
      <c r="M183" t="s">
        <v>1144</v>
      </c>
    </row>
    <row r="184" spans="1:13" x14ac:dyDescent="0.25">
      <c r="A184" t="s">
        <v>670</v>
      </c>
      <c r="B184" t="s">
        <v>671</v>
      </c>
      <c r="C184" s="1">
        <v>45646</v>
      </c>
      <c r="D184" t="s">
        <v>21</v>
      </c>
      <c r="E184">
        <v>2400</v>
      </c>
      <c r="F184">
        <v>36</v>
      </c>
      <c r="G184">
        <v>8.51</v>
      </c>
      <c r="H184">
        <v>75.77</v>
      </c>
      <c r="I184">
        <v>29.5</v>
      </c>
      <c r="J184" t="s">
        <v>27</v>
      </c>
      <c r="K184">
        <v>0</v>
      </c>
      <c r="L184">
        <v>0</v>
      </c>
      <c r="M184" t="s">
        <v>1144</v>
      </c>
    </row>
    <row r="185" spans="1:13" x14ac:dyDescent="0.25">
      <c r="A185" t="s">
        <v>660</v>
      </c>
      <c r="B185" t="s">
        <v>661</v>
      </c>
      <c r="C185" s="1">
        <v>45675</v>
      </c>
      <c r="D185" t="s">
        <v>24</v>
      </c>
      <c r="E185">
        <v>20100</v>
      </c>
      <c r="F185">
        <v>24</v>
      </c>
      <c r="G185">
        <v>14.98</v>
      </c>
      <c r="H185">
        <v>974.39</v>
      </c>
      <c r="I185">
        <v>26.1</v>
      </c>
      <c r="J185" t="s">
        <v>18</v>
      </c>
      <c r="K185">
        <v>51</v>
      </c>
      <c r="L185">
        <v>1</v>
      </c>
      <c r="M185" t="s">
        <v>1144</v>
      </c>
    </row>
    <row r="186" spans="1:13" x14ac:dyDescent="0.25">
      <c r="A186" t="s">
        <v>358</v>
      </c>
      <c r="B186" t="s">
        <v>359</v>
      </c>
      <c r="C186" s="1">
        <v>45652</v>
      </c>
      <c r="D186" t="s">
        <v>24</v>
      </c>
      <c r="E186">
        <v>35500</v>
      </c>
      <c r="F186">
        <v>36</v>
      </c>
      <c r="G186">
        <v>7</v>
      </c>
      <c r="H186">
        <v>1096.1400000000001</v>
      </c>
      <c r="I186">
        <v>26.5</v>
      </c>
      <c r="J186" t="s">
        <v>27</v>
      </c>
      <c r="K186">
        <v>0</v>
      </c>
      <c r="L186">
        <v>0</v>
      </c>
      <c r="M186" t="s">
        <v>1144</v>
      </c>
    </row>
    <row r="187" spans="1:13" x14ac:dyDescent="0.25">
      <c r="A187" t="s">
        <v>658</v>
      </c>
      <c r="B187" t="s">
        <v>659</v>
      </c>
      <c r="C187" s="1">
        <v>45504</v>
      </c>
      <c r="D187" t="s">
        <v>14</v>
      </c>
      <c r="E187">
        <v>25800</v>
      </c>
      <c r="F187">
        <v>60</v>
      </c>
      <c r="G187">
        <v>10.98</v>
      </c>
      <c r="H187">
        <v>560.70000000000005</v>
      </c>
      <c r="I187">
        <v>37</v>
      </c>
      <c r="J187" t="s">
        <v>15</v>
      </c>
      <c r="K187">
        <v>0</v>
      </c>
      <c r="L187">
        <v>0</v>
      </c>
      <c r="M187" t="s">
        <v>1144</v>
      </c>
    </row>
    <row r="188" spans="1:13" x14ac:dyDescent="0.25">
      <c r="A188" t="s">
        <v>656</v>
      </c>
      <c r="B188" t="s">
        <v>657</v>
      </c>
      <c r="C188" s="1">
        <v>45823</v>
      </c>
      <c r="D188" t="s">
        <v>17</v>
      </c>
      <c r="E188">
        <v>33000</v>
      </c>
      <c r="F188">
        <v>60</v>
      </c>
      <c r="G188">
        <v>9.6</v>
      </c>
      <c r="H188">
        <v>694.68</v>
      </c>
      <c r="I188">
        <v>38</v>
      </c>
      <c r="J188" t="s">
        <v>27</v>
      </c>
      <c r="K188">
        <v>0</v>
      </c>
      <c r="L188">
        <v>0</v>
      </c>
      <c r="M188" t="s">
        <v>1144</v>
      </c>
    </row>
    <row r="189" spans="1:13" x14ac:dyDescent="0.25">
      <c r="A189" t="s">
        <v>652</v>
      </c>
      <c r="B189" t="s">
        <v>653</v>
      </c>
      <c r="C189" s="1">
        <v>45593</v>
      </c>
      <c r="D189" t="s">
        <v>38</v>
      </c>
      <c r="E189">
        <v>38600</v>
      </c>
      <c r="F189">
        <v>60</v>
      </c>
      <c r="G189">
        <v>10.6</v>
      </c>
      <c r="H189">
        <v>831.58</v>
      </c>
      <c r="I189">
        <v>31</v>
      </c>
      <c r="J189" t="s">
        <v>27</v>
      </c>
      <c r="K189">
        <v>0</v>
      </c>
      <c r="L189">
        <v>0</v>
      </c>
      <c r="M189" t="s">
        <v>1144</v>
      </c>
    </row>
    <row r="190" spans="1:13" x14ac:dyDescent="0.25">
      <c r="A190" t="s">
        <v>366</v>
      </c>
      <c r="B190" t="s">
        <v>365</v>
      </c>
      <c r="C190" s="1">
        <v>45437</v>
      </c>
      <c r="D190" t="s">
        <v>41</v>
      </c>
      <c r="E190">
        <v>7700</v>
      </c>
      <c r="F190">
        <v>24</v>
      </c>
      <c r="G190">
        <v>11.43</v>
      </c>
      <c r="H190">
        <v>360.42</v>
      </c>
      <c r="I190">
        <v>32.9</v>
      </c>
      <c r="J190" t="s">
        <v>27</v>
      </c>
      <c r="K190">
        <v>0</v>
      </c>
      <c r="L190">
        <v>0</v>
      </c>
      <c r="M190" t="s">
        <v>1144</v>
      </c>
    </row>
    <row r="191" spans="1:13" x14ac:dyDescent="0.25">
      <c r="A191" t="s">
        <v>651</v>
      </c>
      <c r="B191" t="s">
        <v>650</v>
      </c>
      <c r="C191" s="1">
        <v>45488</v>
      </c>
      <c r="D191" t="s">
        <v>36</v>
      </c>
      <c r="E191">
        <v>31300</v>
      </c>
      <c r="F191">
        <v>24</v>
      </c>
      <c r="G191">
        <v>11.41</v>
      </c>
      <c r="H191">
        <v>1464.79</v>
      </c>
      <c r="I191">
        <v>37.4</v>
      </c>
      <c r="J191" t="s">
        <v>27</v>
      </c>
      <c r="K191">
        <v>0</v>
      </c>
      <c r="L191">
        <v>0</v>
      </c>
      <c r="M191" t="s">
        <v>1144</v>
      </c>
    </row>
    <row r="192" spans="1:13" x14ac:dyDescent="0.25">
      <c r="A192" t="s">
        <v>649</v>
      </c>
      <c r="B192" t="s">
        <v>650</v>
      </c>
      <c r="C192" s="1">
        <v>45831</v>
      </c>
      <c r="D192" t="s">
        <v>24</v>
      </c>
      <c r="E192">
        <v>19700</v>
      </c>
      <c r="F192">
        <v>36</v>
      </c>
      <c r="G192">
        <v>10.74</v>
      </c>
      <c r="H192">
        <v>642.53</v>
      </c>
      <c r="I192">
        <v>25</v>
      </c>
      <c r="J192" t="s">
        <v>62</v>
      </c>
      <c r="K192">
        <v>30</v>
      </c>
      <c r="L192">
        <v>0</v>
      </c>
      <c r="M192" t="s">
        <v>1144</v>
      </c>
    </row>
    <row r="193" spans="1:13" x14ac:dyDescent="0.25">
      <c r="A193" t="s">
        <v>370</v>
      </c>
      <c r="B193" t="s">
        <v>371</v>
      </c>
      <c r="C193" s="1">
        <v>45441</v>
      </c>
      <c r="D193" t="s">
        <v>38</v>
      </c>
      <c r="E193">
        <v>11600</v>
      </c>
      <c r="F193">
        <v>36</v>
      </c>
      <c r="G193">
        <v>9.86</v>
      </c>
      <c r="H193">
        <v>373.54</v>
      </c>
      <c r="I193">
        <v>32.5</v>
      </c>
      <c r="J193" t="s">
        <v>62</v>
      </c>
      <c r="K193">
        <v>15</v>
      </c>
      <c r="L193">
        <v>0</v>
      </c>
      <c r="M193" t="s">
        <v>1144</v>
      </c>
    </row>
    <row r="194" spans="1:13" x14ac:dyDescent="0.25">
      <c r="A194" t="s">
        <v>372</v>
      </c>
      <c r="B194" t="s">
        <v>371</v>
      </c>
      <c r="C194" s="1">
        <v>45361</v>
      </c>
      <c r="D194" t="s">
        <v>30</v>
      </c>
      <c r="E194">
        <v>43000</v>
      </c>
      <c r="F194">
        <v>60</v>
      </c>
      <c r="G194">
        <v>10.93</v>
      </c>
      <c r="H194">
        <v>933.42</v>
      </c>
      <c r="I194">
        <v>41</v>
      </c>
      <c r="J194" t="s">
        <v>18</v>
      </c>
      <c r="K194">
        <v>178</v>
      </c>
      <c r="L194">
        <v>1</v>
      </c>
      <c r="M194" t="s">
        <v>1144</v>
      </c>
    </row>
    <row r="195" spans="1:13" x14ac:dyDescent="0.25">
      <c r="A195" t="s">
        <v>640</v>
      </c>
      <c r="B195" t="s">
        <v>641</v>
      </c>
      <c r="C195" s="1">
        <v>45295</v>
      </c>
      <c r="D195" t="s">
        <v>30</v>
      </c>
      <c r="E195">
        <v>17200</v>
      </c>
      <c r="F195">
        <v>12</v>
      </c>
      <c r="G195">
        <v>12.86</v>
      </c>
      <c r="H195">
        <v>1535.13</v>
      </c>
      <c r="I195">
        <v>44.4</v>
      </c>
      <c r="J195" t="s">
        <v>27</v>
      </c>
      <c r="K195">
        <v>0</v>
      </c>
      <c r="L195">
        <v>0</v>
      </c>
      <c r="M195" t="s">
        <v>1144</v>
      </c>
    </row>
    <row r="196" spans="1:13" x14ac:dyDescent="0.25">
      <c r="A196" t="s">
        <v>638</v>
      </c>
      <c r="B196" t="s">
        <v>639</v>
      </c>
      <c r="C196" s="1">
        <v>45631</v>
      </c>
      <c r="D196" t="s">
        <v>36</v>
      </c>
      <c r="E196">
        <v>28000</v>
      </c>
      <c r="F196">
        <v>48</v>
      </c>
      <c r="G196">
        <v>12.52</v>
      </c>
      <c r="H196">
        <v>744.52</v>
      </c>
      <c r="I196">
        <v>40.9</v>
      </c>
      <c r="J196" t="s">
        <v>27</v>
      </c>
      <c r="K196">
        <v>0</v>
      </c>
      <c r="L196">
        <v>0</v>
      </c>
      <c r="M196" t="s">
        <v>1144</v>
      </c>
    </row>
    <row r="197" spans="1:13" x14ac:dyDescent="0.25">
      <c r="A197" t="s">
        <v>636</v>
      </c>
      <c r="B197" t="s">
        <v>637</v>
      </c>
      <c r="C197" s="1">
        <v>45724</v>
      </c>
      <c r="D197" t="s">
        <v>33</v>
      </c>
      <c r="E197">
        <v>8800</v>
      </c>
      <c r="F197">
        <v>60</v>
      </c>
      <c r="G197">
        <v>14.04</v>
      </c>
      <c r="H197">
        <v>204.94</v>
      </c>
      <c r="I197">
        <v>33.4</v>
      </c>
      <c r="J197" t="s">
        <v>62</v>
      </c>
      <c r="K197">
        <v>30</v>
      </c>
      <c r="L197">
        <v>0</v>
      </c>
      <c r="M197" t="s">
        <v>1144</v>
      </c>
    </row>
    <row r="198" spans="1:13" x14ac:dyDescent="0.25">
      <c r="A198" t="s">
        <v>632</v>
      </c>
      <c r="B198" t="s">
        <v>633</v>
      </c>
      <c r="C198" s="1">
        <v>45611</v>
      </c>
      <c r="D198" t="s">
        <v>14</v>
      </c>
      <c r="E198">
        <v>7900</v>
      </c>
      <c r="F198">
        <v>12</v>
      </c>
      <c r="G198">
        <v>8.77</v>
      </c>
      <c r="H198">
        <v>690.02</v>
      </c>
      <c r="I198">
        <v>29.9</v>
      </c>
      <c r="J198" t="s">
        <v>62</v>
      </c>
      <c r="K198">
        <v>0</v>
      </c>
      <c r="L198">
        <v>0</v>
      </c>
      <c r="M198" t="s">
        <v>1144</v>
      </c>
    </row>
    <row r="199" spans="1:13" x14ac:dyDescent="0.25">
      <c r="A199" t="s">
        <v>630</v>
      </c>
      <c r="B199" t="s">
        <v>631</v>
      </c>
      <c r="C199" s="1">
        <v>45421</v>
      </c>
      <c r="D199" t="s">
        <v>47</v>
      </c>
      <c r="E199">
        <v>30500</v>
      </c>
      <c r="F199">
        <v>24</v>
      </c>
      <c r="G199">
        <v>10.36</v>
      </c>
      <c r="H199">
        <v>1412.49</v>
      </c>
      <c r="I199">
        <v>38.1</v>
      </c>
      <c r="J199" t="s">
        <v>27</v>
      </c>
      <c r="K199">
        <v>0</v>
      </c>
      <c r="L199">
        <v>0</v>
      </c>
      <c r="M199" t="s">
        <v>1144</v>
      </c>
    </row>
    <row r="200" spans="1:13" x14ac:dyDescent="0.25">
      <c r="A200" t="s">
        <v>628</v>
      </c>
      <c r="B200" t="s">
        <v>629</v>
      </c>
      <c r="C200" s="1">
        <v>45318</v>
      </c>
      <c r="D200" t="s">
        <v>14</v>
      </c>
      <c r="E200">
        <v>44200</v>
      </c>
      <c r="F200">
        <v>60</v>
      </c>
      <c r="G200">
        <v>10.81</v>
      </c>
      <c r="H200">
        <v>956.83</v>
      </c>
      <c r="I200">
        <v>29.8</v>
      </c>
      <c r="J200" t="s">
        <v>27</v>
      </c>
      <c r="K200">
        <v>0</v>
      </c>
      <c r="L200">
        <v>0</v>
      </c>
      <c r="M200" t="s">
        <v>1144</v>
      </c>
    </row>
    <row r="201" spans="1:13" x14ac:dyDescent="0.25">
      <c r="A201" t="s">
        <v>384</v>
      </c>
      <c r="B201" t="s">
        <v>385</v>
      </c>
      <c r="C201" s="1">
        <v>45464</v>
      </c>
      <c r="D201" t="s">
        <v>36</v>
      </c>
      <c r="E201">
        <v>7000</v>
      </c>
      <c r="F201">
        <v>60</v>
      </c>
      <c r="G201">
        <v>12.59</v>
      </c>
      <c r="H201">
        <v>157.81</v>
      </c>
      <c r="I201">
        <v>29.2</v>
      </c>
      <c r="J201" t="s">
        <v>18</v>
      </c>
      <c r="K201">
        <v>80</v>
      </c>
      <c r="L201">
        <v>1</v>
      </c>
      <c r="M201" t="s">
        <v>1144</v>
      </c>
    </row>
    <row r="202" spans="1:13" x14ac:dyDescent="0.25">
      <c r="A202" t="s">
        <v>624</v>
      </c>
      <c r="B202" t="s">
        <v>625</v>
      </c>
      <c r="C202" s="1">
        <v>45734</v>
      </c>
      <c r="D202" t="s">
        <v>41</v>
      </c>
      <c r="E202">
        <v>22200</v>
      </c>
      <c r="F202">
        <v>36</v>
      </c>
      <c r="G202">
        <v>10.67</v>
      </c>
      <c r="H202">
        <v>723.34</v>
      </c>
      <c r="I202">
        <v>39.9</v>
      </c>
      <c r="J202" t="s">
        <v>18</v>
      </c>
      <c r="K202">
        <v>44</v>
      </c>
      <c r="L202">
        <v>1</v>
      </c>
      <c r="M202" t="s">
        <v>1144</v>
      </c>
    </row>
    <row r="203" spans="1:13" x14ac:dyDescent="0.25">
      <c r="A203" t="s">
        <v>388</v>
      </c>
      <c r="B203" t="s">
        <v>389</v>
      </c>
      <c r="C203" s="1">
        <v>45815</v>
      </c>
      <c r="D203" t="s">
        <v>17</v>
      </c>
      <c r="E203">
        <v>30000</v>
      </c>
      <c r="F203">
        <v>48</v>
      </c>
      <c r="G203">
        <v>13.97</v>
      </c>
      <c r="H203">
        <v>819.34</v>
      </c>
      <c r="I203">
        <v>27.9</v>
      </c>
      <c r="J203" t="s">
        <v>27</v>
      </c>
      <c r="K203">
        <v>0</v>
      </c>
      <c r="L203">
        <v>0</v>
      </c>
      <c r="M203" t="s">
        <v>1144</v>
      </c>
    </row>
    <row r="204" spans="1:13" x14ac:dyDescent="0.25">
      <c r="A204" t="s">
        <v>616</v>
      </c>
      <c r="B204" t="s">
        <v>615</v>
      </c>
      <c r="C204" s="1">
        <v>45297</v>
      </c>
      <c r="D204" t="s">
        <v>38</v>
      </c>
      <c r="E204">
        <v>25600</v>
      </c>
      <c r="F204">
        <v>60</v>
      </c>
      <c r="G204">
        <v>8.43</v>
      </c>
      <c r="H204">
        <v>524.36</v>
      </c>
      <c r="I204">
        <v>47.1</v>
      </c>
      <c r="J204" t="s">
        <v>15</v>
      </c>
      <c r="K204">
        <v>0</v>
      </c>
      <c r="L204">
        <v>0</v>
      </c>
      <c r="M204" t="s">
        <v>1144</v>
      </c>
    </row>
    <row r="205" spans="1:13" x14ac:dyDescent="0.25">
      <c r="A205" t="s">
        <v>612</v>
      </c>
      <c r="B205" t="s">
        <v>613</v>
      </c>
      <c r="C205" s="1">
        <v>45729</v>
      </c>
      <c r="D205" t="s">
        <v>21</v>
      </c>
      <c r="E205">
        <v>32400</v>
      </c>
      <c r="F205">
        <v>48</v>
      </c>
      <c r="G205">
        <v>7.78</v>
      </c>
      <c r="H205">
        <v>787.64</v>
      </c>
      <c r="I205">
        <v>30.9</v>
      </c>
      <c r="J205" t="s">
        <v>62</v>
      </c>
      <c r="K205">
        <v>15</v>
      </c>
      <c r="L205">
        <v>0</v>
      </c>
      <c r="M205" t="s">
        <v>1144</v>
      </c>
    </row>
    <row r="206" spans="1:13" x14ac:dyDescent="0.25">
      <c r="A206" t="s">
        <v>610</v>
      </c>
      <c r="B206" t="s">
        <v>611</v>
      </c>
      <c r="C206" s="1">
        <v>45572</v>
      </c>
      <c r="D206" t="s">
        <v>33</v>
      </c>
      <c r="E206">
        <v>29400</v>
      </c>
      <c r="F206">
        <v>24</v>
      </c>
      <c r="G206">
        <v>10.76</v>
      </c>
      <c r="H206">
        <v>1367</v>
      </c>
      <c r="I206">
        <v>38.799999999999997</v>
      </c>
      <c r="J206" t="s">
        <v>15</v>
      </c>
      <c r="K206">
        <v>0</v>
      </c>
      <c r="L206">
        <v>0</v>
      </c>
      <c r="M206" t="s">
        <v>1144</v>
      </c>
    </row>
    <row r="207" spans="1:13" x14ac:dyDescent="0.25">
      <c r="A207" t="s">
        <v>396</v>
      </c>
      <c r="B207" t="s">
        <v>397</v>
      </c>
      <c r="C207" s="1">
        <v>45325</v>
      </c>
      <c r="D207" t="s">
        <v>17</v>
      </c>
      <c r="E207">
        <v>42900</v>
      </c>
      <c r="F207">
        <v>48</v>
      </c>
      <c r="G207">
        <v>9.85</v>
      </c>
      <c r="H207">
        <v>1084.97</v>
      </c>
      <c r="I207">
        <v>33.299999999999997</v>
      </c>
      <c r="J207" t="s">
        <v>15</v>
      </c>
      <c r="K207">
        <v>0</v>
      </c>
      <c r="L207">
        <v>0</v>
      </c>
      <c r="M207" t="s">
        <v>1144</v>
      </c>
    </row>
    <row r="208" spans="1:13" x14ac:dyDescent="0.25">
      <c r="A208" t="s">
        <v>398</v>
      </c>
      <c r="B208" t="s">
        <v>397</v>
      </c>
      <c r="C208" s="1">
        <v>45404</v>
      </c>
      <c r="D208" t="s">
        <v>33</v>
      </c>
      <c r="E208">
        <v>8500</v>
      </c>
      <c r="F208">
        <v>48</v>
      </c>
      <c r="G208">
        <v>9.99</v>
      </c>
      <c r="H208">
        <v>215.54</v>
      </c>
      <c r="I208">
        <v>25.3</v>
      </c>
      <c r="J208" t="s">
        <v>27</v>
      </c>
      <c r="K208">
        <v>0</v>
      </c>
      <c r="L208">
        <v>0</v>
      </c>
      <c r="M208" t="s">
        <v>1144</v>
      </c>
    </row>
    <row r="209" spans="1:13" x14ac:dyDescent="0.25">
      <c r="A209" t="s">
        <v>399</v>
      </c>
      <c r="B209" t="s">
        <v>400</v>
      </c>
      <c r="C209" s="1">
        <v>45561</v>
      </c>
      <c r="D209" t="s">
        <v>14</v>
      </c>
      <c r="E209">
        <v>36800</v>
      </c>
      <c r="F209">
        <v>60</v>
      </c>
      <c r="G209">
        <v>7.78</v>
      </c>
      <c r="H209">
        <v>742.3</v>
      </c>
      <c r="I209">
        <v>39.5</v>
      </c>
      <c r="J209" t="s">
        <v>62</v>
      </c>
      <c r="K209">
        <v>30</v>
      </c>
      <c r="L209">
        <v>0</v>
      </c>
      <c r="M209" t="s">
        <v>1144</v>
      </c>
    </row>
    <row r="210" spans="1:13" x14ac:dyDescent="0.25">
      <c r="A210" t="s">
        <v>401</v>
      </c>
      <c r="B210" t="s">
        <v>402</v>
      </c>
      <c r="C210" s="1">
        <v>45667</v>
      </c>
      <c r="D210" t="s">
        <v>24</v>
      </c>
      <c r="E210">
        <v>2500</v>
      </c>
      <c r="F210">
        <v>12</v>
      </c>
      <c r="G210">
        <v>8.11</v>
      </c>
      <c r="H210">
        <v>217.6</v>
      </c>
      <c r="I210">
        <v>32.299999999999997</v>
      </c>
      <c r="J210" t="s">
        <v>27</v>
      </c>
      <c r="K210">
        <v>0</v>
      </c>
      <c r="L210">
        <v>0</v>
      </c>
      <c r="M210" t="s">
        <v>1144</v>
      </c>
    </row>
    <row r="211" spans="1:13" x14ac:dyDescent="0.25">
      <c r="A211" t="s">
        <v>606</v>
      </c>
      <c r="B211" t="s">
        <v>605</v>
      </c>
      <c r="C211" s="1">
        <v>45602</v>
      </c>
      <c r="D211" t="s">
        <v>41</v>
      </c>
      <c r="E211">
        <v>34700</v>
      </c>
      <c r="F211">
        <v>36</v>
      </c>
      <c r="G211">
        <v>8.31</v>
      </c>
      <c r="H211">
        <v>1092.3399999999999</v>
      </c>
      <c r="I211">
        <v>48.2</v>
      </c>
      <c r="J211" t="s">
        <v>15</v>
      </c>
      <c r="K211">
        <v>0</v>
      </c>
      <c r="L211">
        <v>0</v>
      </c>
      <c r="M211" t="s">
        <v>1144</v>
      </c>
    </row>
    <row r="212" spans="1:13" x14ac:dyDescent="0.25">
      <c r="A212" t="s">
        <v>598</v>
      </c>
      <c r="B212" t="s">
        <v>599</v>
      </c>
      <c r="C212" s="1">
        <v>45621</v>
      </c>
      <c r="D212" t="s">
        <v>30</v>
      </c>
      <c r="E212">
        <v>49000</v>
      </c>
      <c r="F212">
        <v>48</v>
      </c>
      <c r="G212">
        <v>10.83</v>
      </c>
      <c r="H212">
        <v>1262.3900000000001</v>
      </c>
      <c r="I212">
        <v>46.7</v>
      </c>
      <c r="J212" t="s">
        <v>27</v>
      </c>
      <c r="K212">
        <v>0</v>
      </c>
      <c r="L212">
        <v>0</v>
      </c>
      <c r="M212" t="s">
        <v>1144</v>
      </c>
    </row>
    <row r="213" spans="1:13" x14ac:dyDescent="0.25">
      <c r="A213" t="s">
        <v>406</v>
      </c>
      <c r="B213" t="s">
        <v>407</v>
      </c>
      <c r="C213" s="1">
        <v>45772</v>
      </c>
      <c r="D213" t="s">
        <v>17</v>
      </c>
      <c r="E213">
        <v>45300</v>
      </c>
      <c r="F213">
        <v>36</v>
      </c>
      <c r="G213">
        <v>7.2</v>
      </c>
      <c r="H213">
        <v>1402.88</v>
      </c>
      <c r="I213">
        <v>36.299999999999997</v>
      </c>
      <c r="J213" t="s">
        <v>62</v>
      </c>
      <c r="K213">
        <v>30</v>
      </c>
      <c r="L213">
        <v>0</v>
      </c>
      <c r="M213" t="s">
        <v>1144</v>
      </c>
    </row>
    <row r="214" spans="1:13" x14ac:dyDescent="0.25">
      <c r="A214" t="s">
        <v>595</v>
      </c>
      <c r="B214" t="s">
        <v>594</v>
      </c>
      <c r="C214" s="1">
        <v>45457</v>
      </c>
      <c r="D214" t="s">
        <v>30</v>
      </c>
      <c r="E214">
        <v>12200</v>
      </c>
      <c r="F214">
        <v>60</v>
      </c>
      <c r="G214">
        <v>8.36</v>
      </c>
      <c r="H214">
        <v>249.48</v>
      </c>
      <c r="I214">
        <v>26</v>
      </c>
      <c r="J214" t="s">
        <v>27</v>
      </c>
      <c r="K214">
        <v>0</v>
      </c>
      <c r="L214">
        <v>0</v>
      </c>
      <c r="M214" t="s">
        <v>1144</v>
      </c>
    </row>
    <row r="215" spans="1:13" x14ac:dyDescent="0.25">
      <c r="A215" t="s">
        <v>589</v>
      </c>
      <c r="B215" t="s">
        <v>590</v>
      </c>
      <c r="C215" s="1">
        <v>45708</v>
      </c>
      <c r="D215" t="s">
        <v>38</v>
      </c>
      <c r="E215">
        <v>33300</v>
      </c>
      <c r="F215">
        <v>24</v>
      </c>
      <c r="G215">
        <v>11.81</v>
      </c>
      <c r="H215">
        <v>1564.59</v>
      </c>
      <c r="I215">
        <v>34.299999999999997</v>
      </c>
      <c r="J215" t="s">
        <v>27</v>
      </c>
      <c r="K215">
        <v>0</v>
      </c>
      <c r="L215">
        <v>0</v>
      </c>
      <c r="M215" t="s">
        <v>1144</v>
      </c>
    </row>
    <row r="216" spans="1:13" x14ac:dyDescent="0.25">
      <c r="A216" t="s">
        <v>412</v>
      </c>
      <c r="B216" t="s">
        <v>413</v>
      </c>
      <c r="C216" s="1">
        <v>45389</v>
      </c>
      <c r="D216" t="s">
        <v>47</v>
      </c>
      <c r="E216">
        <v>10400</v>
      </c>
      <c r="F216">
        <v>12</v>
      </c>
      <c r="G216">
        <v>9.5399999999999991</v>
      </c>
      <c r="H216">
        <v>912.1</v>
      </c>
      <c r="I216">
        <v>33.700000000000003</v>
      </c>
      <c r="J216" t="s">
        <v>27</v>
      </c>
      <c r="K216">
        <v>0</v>
      </c>
      <c r="L216">
        <v>0</v>
      </c>
      <c r="M216" t="s">
        <v>1144</v>
      </c>
    </row>
    <row r="217" spans="1:13" x14ac:dyDescent="0.25">
      <c r="A217" t="s">
        <v>587</v>
      </c>
      <c r="B217" t="s">
        <v>588</v>
      </c>
      <c r="C217" s="1">
        <v>45311</v>
      </c>
      <c r="D217" t="s">
        <v>17</v>
      </c>
      <c r="E217">
        <v>2400</v>
      </c>
      <c r="F217">
        <v>24</v>
      </c>
      <c r="G217">
        <v>14.87</v>
      </c>
      <c r="H217">
        <v>116.22</v>
      </c>
      <c r="I217">
        <v>38.299999999999997</v>
      </c>
      <c r="J217" t="s">
        <v>18</v>
      </c>
      <c r="K217">
        <v>180</v>
      </c>
      <c r="L217">
        <v>1</v>
      </c>
      <c r="M217" t="s">
        <v>1144</v>
      </c>
    </row>
    <row r="218" spans="1:13" x14ac:dyDescent="0.25">
      <c r="A218" t="s">
        <v>585</v>
      </c>
      <c r="B218" t="s">
        <v>586</v>
      </c>
      <c r="C218" s="1">
        <v>45808</v>
      </c>
      <c r="D218" t="s">
        <v>38</v>
      </c>
      <c r="E218">
        <v>30100</v>
      </c>
      <c r="F218">
        <v>48</v>
      </c>
      <c r="G218">
        <v>13.59</v>
      </c>
      <c r="H218">
        <v>816.35</v>
      </c>
      <c r="I218">
        <v>27</v>
      </c>
      <c r="J218" t="s">
        <v>27</v>
      </c>
      <c r="K218">
        <v>0</v>
      </c>
      <c r="L218">
        <v>0</v>
      </c>
      <c r="M218" t="s">
        <v>1144</v>
      </c>
    </row>
    <row r="219" spans="1:13" x14ac:dyDescent="0.25">
      <c r="A219" t="s">
        <v>583</v>
      </c>
      <c r="B219" t="s">
        <v>584</v>
      </c>
      <c r="C219" s="1">
        <v>45623</v>
      </c>
      <c r="D219" t="s">
        <v>41</v>
      </c>
      <c r="E219">
        <v>5700</v>
      </c>
      <c r="F219">
        <v>24</v>
      </c>
      <c r="G219">
        <v>11.13</v>
      </c>
      <c r="H219">
        <v>266.01</v>
      </c>
      <c r="I219">
        <v>49.6</v>
      </c>
      <c r="J219" t="s">
        <v>62</v>
      </c>
      <c r="K219">
        <v>15</v>
      </c>
      <c r="L219">
        <v>0</v>
      </c>
      <c r="M219" t="s">
        <v>1144</v>
      </c>
    </row>
    <row r="220" spans="1:13" x14ac:dyDescent="0.25">
      <c r="A220" t="s">
        <v>420</v>
      </c>
      <c r="B220" t="s">
        <v>421</v>
      </c>
      <c r="C220" s="1">
        <v>45599</v>
      </c>
      <c r="D220" t="s">
        <v>41</v>
      </c>
      <c r="E220">
        <v>14000</v>
      </c>
      <c r="F220">
        <v>24</v>
      </c>
      <c r="G220">
        <v>7.97</v>
      </c>
      <c r="H220">
        <v>632.99</v>
      </c>
      <c r="I220">
        <v>31.5</v>
      </c>
      <c r="J220" t="s">
        <v>15</v>
      </c>
      <c r="K220">
        <v>0</v>
      </c>
      <c r="L220">
        <v>0</v>
      </c>
      <c r="M220" t="s">
        <v>1144</v>
      </c>
    </row>
    <row r="221" spans="1:13" x14ac:dyDescent="0.25">
      <c r="A221" t="s">
        <v>422</v>
      </c>
      <c r="B221" t="s">
        <v>421</v>
      </c>
      <c r="C221" s="1">
        <v>45456</v>
      </c>
      <c r="D221" t="s">
        <v>36</v>
      </c>
      <c r="E221">
        <v>34000</v>
      </c>
      <c r="F221">
        <v>36</v>
      </c>
      <c r="G221">
        <v>10.89</v>
      </c>
      <c r="H221">
        <v>1111.3499999999999</v>
      </c>
      <c r="I221">
        <v>46.7</v>
      </c>
      <c r="J221" t="s">
        <v>27</v>
      </c>
      <c r="K221">
        <v>0</v>
      </c>
      <c r="L221">
        <v>0</v>
      </c>
      <c r="M221" t="s">
        <v>1144</v>
      </c>
    </row>
    <row r="222" spans="1:13" x14ac:dyDescent="0.25">
      <c r="A222" t="s">
        <v>423</v>
      </c>
      <c r="B222" t="s">
        <v>424</v>
      </c>
      <c r="C222" s="1">
        <v>45738</v>
      </c>
      <c r="D222" t="s">
        <v>38</v>
      </c>
      <c r="E222">
        <v>22700</v>
      </c>
      <c r="F222">
        <v>36</v>
      </c>
      <c r="G222">
        <v>10.39</v>
      </c>
      <c r="H222">
        <v>736.63</v>
      </c>
      <c r="I222">
        <v>44.9</v>
      </c>
      <c r="J222" t="s">
        <v>62</v>
      </c>
      <c r="K222">
        <v>15</v>
      </c>
      <c r="L222">
        <v>0</v>
      </c>
      <c r="M222" t="s">
        <v>1144</v>
      </c>
    </row>
    <row r="223" spans="1:13" x14ac:dyDescent="0.25">
      <c r="A223" t="s">
        <v>570</v>
      </c>
      <c r="B223" t="s">
        <v>571</v>
      </c>
      <c r="C223" s="1">
        <v>45625</v>
      </c>
      <c r="D223" t="s">
        <v>21</v>
      </c>
      <c r="E223">
        <v>31000</v>
      </c>
      <c r="F223">
        <v>48</v>
      </c>
      <c r="G223">
        <v>9.18</v>
      </c>
      <c r="H223">
        <v>774.09</v>
      </c>
      <c r="I223">
        <v>40.200000000000003</v>
      </c>
      <c r="J223" t="s">
        <v>18</v>
      </c>
      <c r="K223">
        <v>134</v>
      </c>
      <c r="L223">
        <v>1</v>
      </c>
      <c r="M223" t="s">
        <v>1144</v>
      </c>
    </row>
    <row r="224" spans="1:13" x14ac:dyDescent="0.25">
      <c r="A224" t="s">
        <v>569</v>
      </c>
      <c r="B224" t="s">
        <v>568</v>
      </c>
      <c r="C224" s="1">
        <v>45678</v>
      </c>
      <c r="D224" t="s">
        <v>17</v>
      </c>
      <c r="E224">
        <v>16900</v>
      </c>
      <c r="F224">
        <v>48</v>
      </c>
      <c r="G224">
        <v>14.72</v>
      </c>
      <c r="H224">
        <v>467.94</v>
      </c>
      <c r="I224">
        <v>43.1</v>
      </c>
      <c r="J224" t="s">
        <v>62</v>
      </c>
      <c r="K224">
        <v>0</v>
      </c>
      <c r="L224">
        <v>0</v>
      </c>
      <c r="M224" t="s">
        <v>1144</v>
      </c>
    </row>
    <row r="225" spans="1:13" x14ac:dyDescent="0.25">
      <c r="A225" t="s">
        <v>565</v>
      </c>
      <c r="B225" t="s">
        <v>566</v>
      </c>
      <c r="C225" s="1">
        <v>45438</v>
      </c>
      <c r="D225" t="s">
        <v>24</v>
      </c>
      <c r="E225">
        <v>16600</v>
      </c>
      <c r="F225">
        <v>48</v>
      </c>
      <c r="G225">
        <v>7.86</v>
      </c>
      <c r="H225">
        <v>404.16</v>
      </c>
      <c r="I225">
        <v>49.6</v>
      </c>
      <c r="J225" t="s">
        <v>27</v>
      </c>
      <c r="K225">
        <v>0</v>
      </c>
      <c r="L225">
        <v>0</v>
      </c>
      <c r="M225" t="s">
        <v>1144</v>
      </c>
    </row>
    <row r="226" spans="1:13" x14ac:dyDescent="0.25">
      <c r="A226" t="s">
        <v>557</v>
      </c>
      <c r="B226" t="s">
        <v>558</v>
      </c>
      <c r="C226" s="1">
        <v>45704</v>
      </c>
      <c r="D226" t="s">
        <v>33</v>
      </c>
      <c r="E226">
        <v>22800</v>
      </c>
      <c r="F226">
        <v>36</v>
      </c>
      <c r="G226">
        <v>14.15</v>
      </c>
      <c r="H226">
        <v>780.91</v>
      </c>
      <c r="I226">
        <v>25.2</v>
      </c>
      <c r="J226" t="s">
        <v>27</v>
      </c>
      <c r="K226">
        <v>0</v>
      </c>
      <c r="L226">
        <v>0</v>
      </c>
      <c r="M226" t="s">
        <v>1144</v>
      </c>
    </row>
    <row r="227" spans="1:13" x14ac:dyDescent="0.25">
      <c r="A227" t="s">
        <v>553</v>
      </c>
      <c r="B227" t="s">
        <v>552</v>
      </c>
      <c r="C227" s="1">
        <v>45533</v>
      </c>
      <c r="D227" t="s">
        <v>14</v>
      </c>
      <c r="E227">
        <v>37400</v>
      </c>
      <c r="F227">
        <v>48</v>
      </c>
      <c r="G227">
        <v>10.51</v>
      </c>
      <c r="H227">
        <v>957.75</v>
      </c>
      <c r="I227">
        <v>41.7</v>
      </c>
      <c r="J227" t="s">
        <v>62</v>
      </c>
      <c r="K227">
        <v>30</v>
      </c>
      <c r="L227">
        <v>0</v>
      </c>
      <c r="M227" t="s">
        <v>1144</v>
      </c>
    </row>
    <row r="228" spans="1:13" x14ac:dyDescent="0.25">
      <c r="A228" t="s">
        <v>433</v>
      </c>
      <c r="B228" t="s">
        <v>434</v>
      </c>
      <c r="C228" s="1">
        <v>45544</v>
      </c>
      <c r="D228" t="s">
        <v>30</v>
      </c>
      <c r="E228">
        <v>5000</v>
      </c>
      <c r="F228">
        <v>60</v>
      </c>
      <c r="G228">
        <v>7.95</v>
      </c>
      <c r="H228">
        <v>101.26</v>
      </c>
      <c r="I228">
        <v>40.700000000000003</v>
      </c>
      <c r="J228" t="s">
        <v>62</v>
      </c>
      <c r="K228">
        <v>15</v>
      </c>
      <c r="L228">
        <v>0</v>
      </c>
      <c r="M228" t="s">
        <v>1144</v>
      </c>
    </row>
    <row r="229" spans="1:13" x14ac:dyDescent="0.25">
      <c r="A229" t="s">
        <v>551</v>
      </c>
      <c r="B229" t="s">
        <v>552</v>
      </c>
      <c r="C229" s="1">
        <v>45654</v>
      </c>
      <c r="D229" t="s">
        <v>36</v>
      </c>
      <c r="E229">
        <v>42400</v>
      </c>
      <c r="F229">
        <v>36</v>
      </c>
      <c r="G229">
        <v>11.95</v>
      </c>
      <c r="H229">
        <v>1407.27</v>
      </c>
      <c r="I229">
        <v>48.1</v>
      </c>
      <c r="J229" t="s">
        <v>18</v>
      </c>
      <c r="K229">
        <v>61</v>
      </c>
      <c r="L229">
        <v>1</v>
      </c>
      <c r="M229" t="s">
        <v>1144</v>
      </c>
    </row>
    <row r="230" spans="1:13" x14ac:dyDescent="0.25">
      <c r="A230" t="s">
        <v>547</v>
      </c>
      <c r="B230" t="s">
        <v>548</v>
      </c>
      <c r="C230" s="1">
        <v>45421</v>
      </c>
      <c r="D230" t="s">
        <v>24</v>
      </c>
      <c r="E230">
        <v>22300</v>
      </c>
      <c r="F230">
        <v>48</v>
      </c>
      <c r="G230">
        <v>11.48</v>
      </c>
      <c r="H230">
        <v>581.57000000000005</v>
      </c>
      <c r="I230">
        <v>49.1</v>
      </c>
      <c r="J230" t="s">
        <v>27</v>
      </c>
      <c r="K230">
        <v>0</v>
      </c>
      <c r="L230">
        <v>0</v>
      </c>
      <c r="M230" t="s">
        <v>1144</v>
      </c>
    </row>
    <row r="231" spans="1:13" x14ac:dyDescent="0.25">
      <c r="A231" t="s">
        <v>439</v>
      </c>
      <c r="B231" t="s">
        <v>440</v>
      </c>
      <c r="C231" s="1">
        <v>45456</v>
      </c>
      <c r="D231" t="s">
        <v>24</v>
      </c>
      <c r="E231">
        <v>46900</v>
      </c>
      <c r="F231">
        <v>24</v>
      </c>
      <c r="G231">
        <v>9.25</v>
      </c>
      <c r="H231">
        <v>2148</v>
      </c>
      <c r="I231">
        <v>34.9</v>
      </c>
      <c r="J231" t="s">
        <v>15</v>
      </c>
      <c r="K231">
        <v>0</v>
      </c>
      <c r="L231">
        <v>0</v>
      </c>
      <c r="M231" t="s">
        <v>1144</v>
      </c>
    </row>
    <row r="232" spans="1:13" x14ac:dyDescent="0.25">
      <c r="A232" t="s">
        <v>545</v>
      </c>
      <c r="B232" t="s">
        <v>546</v>
      </c>
      <c r="C232" s="1">
        <v>45645</v>
      </c>
      <c r="D232" t="s">
        <v>38</v>
      </c>
      <c r="E232">
        <v>32000</v>
      </c>
      <c r="F232">
        <v>60</v>
      </c>
      <c r="G232">
        <v>11.38</v>
      </c>
      <c r="H232">
        <v>701.84</v>
      </c>
      <c r="I232">
        <v>44.8</v>
      </c>
      <c r="J232" t="s">
        <v>27</v>
      </c>
      <c r="K232">
        <v>0</v>
      </c>
      <c r="L232">
        <v>0</v>
      </c>
      <c r="M232" t="s">
        <v>1144</v>
      </c>
    </row>
    <row r="233" spans="1:13" x14ac:dyDescent="0.25">
      <c r="A233" t="s">
        <v>443</v>
      </c>
      <c r="B233" t="s">
        <v>444</v>
      </c>
      <c r="C233" s="1">
        <v>45722</v>
      </c>
      <c r="D233" t="s">
        <v>36</v>
      </c>
      <c r="E233">
        <v>35500</v>
      </c>
      <c r="F233">
        <v>60</v>
      </c>
      <c r="G233">
        <v>10.07</v>
      </c>
      <c r="H233">
        <v>755.49</v>
      </c>
      <c r="I233">
        <v>33.200000000000003</v>
      </c>
      <c r="J233" t="s">
        <v>15</v>
      </c>
      <c r="K233">
        <v>0</v>
      </c>
      <c r="L233">
        <v>0</v>
      </c>
      <c r="M233" t="s">
        <v>1144</v>
      </c>
    </row>
    <row r="234" spans="1:13" x14ac:dyDescent="0.25">
      <c r="A234" t="s">
        <v>541</v>
      </c>
      <c r="B234" t="s">
        <v>542</v>
      </c>
      <c r="C234" s="1">
        <v>45824</v>
      </c>
      <c r="D234" t="s">
        <v>41</v>
      </c>
      <c r="E234">
        <v>32800</v>
      </c>
      <c r="F234">
        <v>60</v>
      </c>
      <c r="G234">
        <v>6.69</v>
      </c>
      <c r="H234">
        <v>644.69000000000005</v>
      </c>
      <c r="I234">
        <v>36.299999999999997</v>
      </c>
      <c r="J234" t="s">
        <v>15</v>
      </c>
      <c r="K234">
        <v>0</v>
      </c>
      <c r="L234">
        <v>0</v>
      </c>
      <c r="M234" t="s">
        <v>1144</v>
      </c>
    </row>
    <row r="235" spans="1:13" x14ac:dyDescent="0.25">
      <c r="A235" t="s">
        <v>539</v>
      </c>
      <c r="B235" t="s">
        <v>540</v>
      </c>
      <c r="C235" s="1">
        <v>45614</v>
      </c>
      <c r="D235" t="s">
        <v>41</v>
      </c>
      <c r="E235">
        <v>26800</v>
      </c>
      <c r="F235">
        <v>12</v>
      </c>
      <c r="G235">
        <v>9.7200000000000006</v>
      </c>
      <c r="H235">
        <v>2352.66</v>
      </c>
      <c r="I235">
        <v>31.1</v>
      </c>
      <c r="J235" t="s">
        <v>27</v>
      </c>
      <c r="K235">
        <v>0</v>
      </c>
      <c r="L235">
        <v>0</v>
      </c>
      <c r="M235" t="s">
        <v>1144</v>
      </c>
    </row>
    <row r="236" spans="1:13" x14ac:dyDescent="0.25">
      <c r="A236" t="s">
        <v>537</v>
      </c>
      <c r="B236" t="s">
        <v>538</v>
      </c>
      <c r="C236" s="1">
        <v>45820</v>
      </c>
      <c r="D236" t="s">
        <v>17</v>
      </c>
      <c r="E236">
        <v>21600</v>
      </c>
      <c r="F236">
        <v>48</v>
      </c>
      <c r="G236">
        <v>11.09</v>
      </c>
      <c r="H236">
        <v>559.21</v>
      </c>
      <c r="I236">
        <v>46.2</v>
      </c>
      <c r="J236" t="s">
        <v>27</v>
      </c>
      <c r="K236">
        <v>0</v>
      </c>
      <c r="L236">
        <v>0</v>
      </c>
      <c r="M236" t="s">
        <v>1144</v>
      </c>
    </row>
    <row r="237" spans="1:13" x14ac:dyDescent="0.25">
      <c r="A237" t="s">
        <v>535</v>
      </c>
      <c r="B237" t="s">
        <v>536</v>
      </c>
      <c r="C237" s="1">
        <v>45543</v>
      </c>
      <c r="D237" t="s">
        <v>36</v>
      </c>
      <c r="E237">
        <v>22300</v>
      </c>
      <c r="F237">
        <v>48</v>
      </c>
      <c r="G237">
        <v>8.94</v>
      </c>
      <c r="H237">
        <v>554.29999999999995</v>
      </c>
      <c r="I237">
        <v>25.8</v>
      </c>
      <c r="J237" t="s">
        <v>27</v>
      </c>
      <c r="K237">
        <v>0</v>
      </c>
      <c r="L237">
        <v>0</v>
      </c>
      <c r="M237" t="s">
        <v>1144</v>
      </c>
    </row>
    <row r="238" spans="1:13" x14ac:dyDescent="0.25">
      <c r="A238" t="s">
        <v>533</v>
      </c>
      <c r="B238" t="s">
        <v>534</v>
      </c>
      <c r="C238" s="1">
        <v>45298</v>
      </c>
      <c r="D238" t="s">
        <v>33</v>
      </c>
      <c r="E238">
        <v>8100</v>
      </c>
      <c r="F238">
        <v>48</v>
      </c>
      <c r="G238">
        <v>12</v>
      </c>
      <c r="H238">
        <v>213.3</v>
      </c>
      <c r="I238">
        <v>43.4</v>
      </c>
      <c r="J238" t="s">
        <v>27</v>
      </c>
      <c r="K238">
        <v>0</v>
      </c>
      <c r="L238">
        <v>0</v>
      </c>
      <c r="M238" t="s">
        <v>1144</v>
      </c>
    </row>
    <row r="239" spans="1:13" x14ac:dyDescent="0.25">
      <c r="A239" t="s">
        <v>455</v>
      </c>
      <c r="B239" t="s">
        <v>454</v>
      </c>
      <c r="C239" s="1">
        <v>45756</v>
      </c>
      <c r="D239" t="s">
        <v>33</v>
      </c>
      <c r="E239">
        <v>7600</v>
      </c>
      <c r="F239">
        <v>60</v>
      </c>
      <c r="G239">
        <v>8.91</v>
      </c>
      <c r="H239">
        <v>157.43</v>
      </c>
      <c r="I239">
        <v>47.1</v>
      </c>
      <c r="J239" t="s">
        <v>27</v>
      </c>
      <c r="K239">
        <v>0</v>
      </c>
      <c r="L239">
        <v>0</v>
      </c>
      <c r="M239" t="s">
        <v>1144</v>
      </c>
    </row>
    <row r="240" spans="1:13" x14ac:dyDescent="0.25">
      <c r="A240" t="s">
        <v>456</v>
      </c>
      <c r="B240" t="s">
        <v>457</v>
      </c>
      <c r="C240" s="1">
        <v>45503</v>
      </c>
      <c r="D240" t="s">
        <v>24</v>
      </c>
      <c r="E240">
        <v>13900</v>
      </c>
      <c r="F240">
        <v>24</v>
      </c>
      <c r="G240">
        <v>10.54</v>
      </c>
      <c r="H240">
        <v>644.88</v>
      </c>
      <c r="I240">
        <v>39.1</v>
      </c>
      <c r="J240" t="s">
        <v>62</v>
      </c>
      <c r="K240">
        <v>30</v>
      </c>
      <c r="L240">
        <v>0</v>
      </c>
      <c r="M240" t="s">
        <v>1144</v>
      </c>
    </row>
    <row r="241" spans="1:13" x14ac:dyDescent="0.25">
      <c r="A241" t="s">
        <v>522</v>
      </c>
      <c r="B241" t="s">
        <v>523</v>
      </c>
      <c r="C241" s="1">
        <v>45340</v>
      </c>
      <c r="D241" t="s">
        <v>17</v>
      </c>
      <c r="E241">
        <v>25700</v>
      </c>
      <c r="F241">
        <v>24</v>
      </c>
      <c r="G241">
        <v>7.93</v>
      </c>
      <c r="H241">
        <v>1161.52</v>
      </c>
      <c r="I241">
        <v>38.1</v>
      </c>
      <c r="J241" t="s">
        <v>27</v>
      </c>
      <c r="K241">
        <v>0</v>
      </c>
      <c r="L241">
        <v>0</v>
      </c>
      <c r="M241" t="s">
        <v>1144</v>
      </c>
    </row>
    <row r="242" spans="1:13" x14ac:dyDescent="0.25">
      <c r="A242" t="s">
        <v>520</v>
      </c>
      <c r="B242" t="s">
        <v>521</v>
      </c>
      <c r="C242" s="1">
        <v>45496</v>
      </c>
      <c r="D242" t="s">
        <v>24</v>
      </c>
      <c r="E242">
        <v>6100</v>
      </c>
      <c r="F242">
        <v>48</v>
      </c>
      <c r="G242">
        <v>10.48</v>
      </c>
      <c r="H242">
        <v>156.12</v>
      </c>
      <c r="I242">
        <v>42.8</v>
      </c>
      <c r="J242" t="s">
        <v>18</v>
      </c>
      <c r="K242">
        <v>155</v>
      </c>
      <c r="L242">
        <v>1</v>
      </c>
      <c r="M242" t="s">
        <v>1144</v>
      </c>
    </row>
    <row r="243" spans="1:13" x14ac:dyDescent="0.25">
      <c r="A243" t="s">
        <v>462</v>
      </c>
      <c r="B243" t="s">
        <v>463</v>
      </c>
      <c r="C243" s="1">
        <v>45532</v>
      </c>
      <c r="D243" t="s">
        <v>24</v>
      </c>
      <c r="E243">
        <v>17700</v>
      </c>
      <c r="F243">
        <v>12</v>
      </c>
      <c r="G243">
        <v>11.3</v>
      </c>
      <c r="H243">
        <v>1566.83</v>
      </c>
      <c r="I243">
        <v>48.2</v>
      </c>
      <c r="J243" t="s">
        <v>62</v>
      </c>
      <c r="K243">
        <v>0</v>
      </c>
      <c r="L243">
        <v>0</v>
      </c>
      <c r="M243" t="s">
        <v>1144</v>
      </c>
    </row>
    <row r="244" spans="1:13" x14ac:dyDescent="0.25">
      <c r="A244" t="s">
        <v>513</v>
      </c>
      <c r="B244" t="s">
        <v>512</v>
      </c>
      <c r="C244" s="1">
        <v>45354</v>
      </c>
      <c r="D244" t="s">
        <v>47</v>
      </c>
      <c r="E244">
        <v>45400</v>
      </c>
      <c r="F244">
        <v>48</v>
      </c>
      <c r="G244">
        <v>8.19</v>
      </c>
      <c r="H244">
        <v>1112.4000000000001</v>
      </c>
      <c r="I244">
        <v>43.3</v>
      </c>
      <c r="J244" t="s">
        <v>27</v>
      </c>
      <c r="K244">
        <v>0</v>
      </c>
      <c r="L244">
        <v>0</v>
      </c>
      <c r="M244" t="s">
        <v>1144</v>
      </c>
    </row>
    <row r="245" spans="1:13" x14ac:dyDescent="0.25">
      <c r="A245" t="s">
        <v>511</v>
      </c>
      <c r="B245" t="s">
        <v>512</v>
      </c>
      <c r="C245" s="1">
        <v>45329</v>
      </c>
      <c r="D245" t="s">
        <v>14</v>
      </c>
      <c r="E245">
        <v>30600</v>
      </c>
      <c r="F245">
        <v>60</v>
      </c>
      <c r="G245">
        <v>12.03</v>
      </c>
      <c r="H245">
        <v>681.14</v>
      </c>
      <c r="I245">
        <v>39.4</v>
      </c>
      <c r="J245" t="s">
        <v>27</v>
      </c>
      <c r="K245">
        <v>0</v>
      </c>
      <c r="L245">
        <v>0</v>
      </c>
      <c r="M245" t="s">
        <v>1144</v>
      </c>
    </row>
    <row r="246" spans="1:13" x14ac:dyDescent="0.25">
      <c r="A246" t="s">
        <v>468</v>
      </c>
      <c r="B246" t="s">
        <v>469</v>
      </c>
      <c r="C246" s="1">
        <v>45411</v>
      </c>
      <c r="D246" t="s">
        <v>33</v>
      </c>
      <c r="E246">
        <v>15500</v>
      </c>
      <c r="F246">
        <v>48</v>
      </c>
      <c r="G246">
        <v>7.34</v>
      </c>
      <c r="H246">
        <v>373.62</v>
      </c>
      <c r="I246">
        <v>49.7</v>
      </c>
      <c r="J246" t="s">
        <v>62</v>
      </c>
      <c r="K246">
        <v>30</v>
      </c>
      <c r="L246">
        <v>0</v>
      </c>
      <c r="M246" t="s">
        <v>1144</v>
      </c>
    </row>
    <row r="247" spans="1:13" x14ac:dyDescent="0.25">
      <c r="A247" t="s">
        <v>509</v>
      </c>
      <c r="B247" t="s">
        <v>510</v>
      </c>
      <c r="C247" s="1">
        <v>45300</v>
      </c>
      <c r="D247" t="s">
        <v>38</v>
      </c>
      <c r="E247">
        <v>39400</v>
      </c>
      <c r="F247">
        <v>48</v>
      </c>
      <c r="G247">
        <v>6.77</v>
      </c>
      <c r="H247">
        <v>939.28</v>
      </c>
      <c r="I247">
        <v>26.5</v>
      </c>
      <c r="J247" t="s">
        <v>18</v>
      </c>
      <c r="K247">
        <v>140</v>
      </c>
      <c r="L247">
        <v>1</v>
      </c>
      <c r="M247" t="s">
        <v>1144</v>
      </c>
    </row>
    <row r="248" spans="1:13" x14ac:dyDescent="0.25">
      <c r="A248" t="s">
        <v>507</v>
      </c>
      <c r="B248" t="s">
        <v>508</v>
      </c>
      <c r="C248" s="1">
        <v>45774</v>
      </c>
      <c r="D248" t="s">
        <v>36</v>
      </c>
      <c r="E248">
        <v>5500</v>
      </c>
      <c r="F248">
        <v>48</v>
      </c>
      <c r="G248">
        <v>11.5</v>
      </c>
      <c r="H248">
        <v>143.49</v>
      </c>
      <c r="I248">
        <v>36.6</v>
      </c>
      <c r="J248" t="s">
        <v>18</v>
      </c>
      <c r="K248">
        <v>145</v>
      </c>
      <c r="L248">
        <v>1</v>
      </c>
      <c r="M248" t="s">
        <v>1144</v>
      </c>
    </row>
    <row r="249" spans="1:13" x14ac:dyDescent="0.25">
      <c r="A249" t="s">
        <v>505</v>
      </c>
      <c r="B249" t="s">
        <v>506</v>
      </c>
      <c r="C249" s="1">
        <v>45487</v>
      </c>
      <c r="D249" t="s">
        <v>14</v>
      </c>
      <c r="E249">
        <v>27800</v>
      </c>
      <c r="F249">
        <v>48</v>
      </c>
      <c r="G249">
        <v>10.78</v>
      </c>
      <c r="H249">
        <v>715.54</v>
      </c>
      <c r="I249">
        <v>38.1</v>
      </c>
      <c r="J249" t="s">
        <v>27</v>
      </c>
      <c r="K249">
        <v>0</v>
      </c>
      <c r="L249">
        <v>0</v>
      </c>
      <c r="M249" t="s">
        <v>1144</v>
      </c>
    </row>
    <row r="250" spans="1:13" x14ac:dyDescent="0.25">
      <c r="A250" t="s">
        <v>501</v>
      </c>
      <c r="B250" t="s">
        <v>502</v>
      </c>
      <c r="C250" s="1">
        <v>45602</v>
      </c>
      <c r="D250" t="s">
        <v>14</v>
      </c>
      <c r="E250">
        <v>21400</v>
      </c>
      <c r="F250">
        <v>60</v>
      </c>
      <c r="G250">
        <v>12.71</v>
      </c>
      <c r="H250">
        <v>483.74</v>
      </c>
      <c r="I250">
        <v>34.4</v>
      </c>
      <c r="J250" t="s">
        <v>62</v>
      </c>
      <c r="K250">
        <v>30</v>
      </c>
      <c r="L250">
        <v>0</v>
      </c>
      <c r="M250" t="s">
        <v>1144</v>
      </c>
    </row>
    <row r="251" spans="1:13" x14ac:dyDescent="0.25">
      <c r="A251" t="s">
        <v>497</v>
      </c>
      <c r="B251" t="s">
        <v>498</v>
      </c>
      <c r="C251" s="1">
        <v>45563</v>
      </c>
      <c r="D251" t="s">
        <v>30</v>
      </c>
      <c r="E251">
        <v>23800</v>
      </c>
      <c r="F251">
        <v>48</v>
      </c>
      <c r="G251">
        <v>10.65</v>
      </c>
      <c r="H251">
        <v>611.09</v>
      </c>
      <c r="I251">
        <v>27.8</v>
      </c>
      <c r="J251" t="s">
        <v>62</v>
      </c>
      <c r="K251">
        <v>15</v>
      </c>
      <c r="L251">
        <v>0</v>
      </c>
      <c r="M251" t="s">
        <v>1144</v>
      </c>
    </row>
    <row r="252" spans="1:13" x14ac:dyDescent="0.25">
      <c r="A252" t="s">
        <v>496</v>
      </c>
      <c r="B252" t="s">
        <v>495</v>
      </c>
      <c r="C252" s="1">
        <v>45478</v>
      </c>
      <c r="D252" t="s">
        <v>36</v>
      </c>
      <c r="E252">
        <v>2600</v>
      </c>
      <c r="F252">
        <v>48</v>
      </c>
      <c r="G252">
        <v>10.56</v>
      </c>
      <c r="H252">
        <v>66.64</v>
      </c>
      <c r="I252">
        <v>41.2</v>
      </c>
      <c r="J252" t="s">
        <v>27</v>
      </c>
      <c r="K252">
        <v>0</v>
      </c>
      <c r="L252">
        <v>0</v>
      </c>
      <c r="M252" t="s">
        <v>1144</v>
      </c>
    </row>
    <row r="253" spans="1:13" x14ac:dyDescent="0.25">
      <c r="A253" t="s">
        <v>487</v>
      </c>
      <c r="B253" t="s">
        <v>486</v>
      </c>
      <c r="C253" s="1">
        <v>45793</v>
      </c>
      <c r="D253" t="s">
        <v>47</v>
      </c>
      <c r="E253">
        <v>31800</v>
      </c>
      <c r="F253">
        <v>36</v>
      </c>
      <c r="G253">
        <v>10.75</v>
      </c>
      <c r="H253">
        <v>1037.33</v>
      </c>
      <c r="I253">
        <v>49.8</v>
      </c>
      <c r="J253" t="s">
        <v>27</v>
      </c>
      <c r="K253">
        <v>0</v>
      </c>
      <c r="L253">
        <v>0</v>
      </c>
      <c r="M253" t="s">
        <v>1144</v>
      </c>
    </row>
    <row r="254" spans="1:13" x14ac:dyDescent="0.25">
      <c r="A254" t="s">
        <v>482</v>
      </c>
      <c r="B254" t="s">
        <v>481</v>
      </c>
      <c r="C254" s="1">
        <v>45341</v>
      </c>
      <c r="D254" t="s">
        <v>47</v>
      </c>
      <c r="E254">
        <v>12400</v>
      </c>
      <c r="F254">
        <v>60</v>
      </c>
      <c r="G254">
        <v>9.83</v>
      </c>
      <c r="H254">
        <v>262.43</v>
      </c>
      <c r="I254">
        <v>29.9</v>
      </c>
      <c r="J254" t="s">
        <v>15</v>
      </c>
      <c r="K254">
        <v>0</v>
      </c>
      <c r="L254">
        <v>0</v>
      </c>
      <c r="M254" t="s">
        <v>1144</v>
      </c>
    </row>
    <row r="255" spans="1:13" x14ac:dyDescent="0.25">
      <c r="A255" t="s">
        <v>485</v>
      </c>
      <c r="B255" t="s">
        <v>486</v>
      </c>
      <c r="C255" s="1">
        <v>45794</v>
      </c>
      <c r="D255" t="s">
        <v>33</v>
      </c>
      <c r="E255">
        <v>21300</v>
      </c>
      <c r="F255">
        <v>24</v>
      </c>
      <c r="G255">
        <v>8.7899999999999991</v>
      </c>
      <c r="H255">
        <v>971.03</v>
      </c>
      <c r="I255">
        <v>49</v>
      </c>
      <c r="J255" t="s">
        <v>15</v>
      </c>
      <c r="K255">
        <v>0</v>
      </c>
      <c r="L255">
        <v>0</v>
      </c>
      <c r="M255" t="s">
        <v>1144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70E7-EFD3-4C44-9F3F-3D57B8B637EE}">
  <dimension ref="A1:V602"/>
  <sheetViews>
    <sheetView topLeftCell="M1" workbookViewId="0">
      <selection activeCell="Q5" sqref="Q5"/>
    </sheetView>
  </sheetViews>
  <sheetFormatPr defaultRowHeight="15" x14ac:dyDescent="0.25"/>
  <cols>
    <col min="2" max="2" width="11.5703125" bestFit="1" customWidth="1"/>
    <col min="3" max="3" width="16" bestFit="1" customWidth="1"/>
    <col min="4" max="4" width="18.42578125" bestFit="1" customWidth="1"/>
    <col min="5" max="5" width="12.7109375" bestFit="1" customWidth="1"/>
    <col min="6" max="6" width="12.5703125" bestFit="1" customWidth="1"/>
    <col min="7" max="7" width="11.85546875" bestFit="1" customWidth="1"/>
    <col min="8" max="8" width="16.7109375" bestFit="1" customWidth="1"/>
    <col min="10" max="10" width="11.28515625" bestFit="1" customWidth="1"/>
    <col min="11" max="11" width="15.5703125" bestFit="1" customWidth="1"/>
    <col min="13" max="13" width="15.140625" bestFit="1" customWidth="1"/>
    <col min="15" max="15" width="19.85546875" bestFit="1" customWidth="1"/>
    <col min="16" max="16" width="16.85546875" bestFit="1" customWidth="1"/>
    <col min="17" max="19" width="7.140625" bestFit="1" customWidth="1"/>
    <col min="20" max="20" width="7.7109375" bestFit="1" customWidth="1"/>
    <col min="21" max="21" width="7.140625" bestFit="1" customWidth="1"/>
    <col min="22" max="22" width="12" bestFit="1" customWidth="1"/>
    <col min="24" max="24" width="11.28515625" bestFit="1" customWidth="1"/>
    <col min="25" max="27" width="19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1140</v>
      </c>
      <c r="O1" s="2" t="s">
        <v>0</v>
      </c>
      <c r="P1" t="s">
        <v>1139</v>
      </c>
    </row>
    <row r="2" spans="1:22" x14ac:dyDescent="0.25">
      <c r="A2" t="s">
        <v>12</v>
      </c>
      <c r="B2" t="s">
        <v>13</v>
      </c>
      <c r="C2" s="1">
        <v>45299</v>
      </c>
      <c r="D2" t="s">
        <v>14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15</v>
      </c>
      <c r="K2">
        <v>0</v>
      </c>
      <c r="L2">
        <v>0</v>
      </c>
      <c r="M2" t="str" cm="1">
        <f t="array" ref="M2">_xlfn.IFS(I2&lt;25,"0-25",I2&lt;50,"25-50",I2&lt;75,"50-75",I2&lt;100,"75-100",I2&lt;125,"100-125",I2&gt;=125,"125+")</f>
        <v>50-75</v>
      </c>
    </row>
    <row r="3" spans="1:22" x14ac:dyDescent="0.25">
      <c r="A3" t="s">
        <v>16</v>
      </c>
      <c r="B3" t="s">
        <v>13</v>
      </c>
      <c r="C3" s="1">
        <v>45517</v>
      </c>
      <c r="D3" t="s">
        <v>17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18</v>
      </c>
      <c r="K3">
        <v>138</v>
      </c>
      <c r="L3">
        <v>1</v>
      </c>
      <c r="M3" t="str" cm="1">
        <f t="array" ref="M3">_xlfn.IFS(I3&lt;25,"0-25",I3&lt;50,"25-50",I3&lt;75,"50-75",I3&lt;100,"75-100",I3&lt;125,"100-125",I3&gt;=125,"125+")</f>
        <v>25-50</v>
      </c>
      <c r="P3" s="2" t="s">
        <v>1138</v>
      </c>
    </row>
    <row r="4" spans="1:22" x14ac:dyDescent="0.25">
      <c r="A4" t="s">
        <v>19</v>
      </c>
      <c r="B4" t="s">
        <v>20</v>
      </c>
      <c r="C4" s="1">
        <v>45836</v>
      </c>
      <c r="D4" t="s">
        <v>21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15</v>
      </c>
      <c r="K4">
        <v>0</v>
      </c>
      <c r="L4">
        <v>0</v>
      </c>
      <c r="M4" t="str" cm="1">
        <f t="array" ref="M4">_xlfn.IFS(I4&lt;25,"0-25",I4&lt;50,"25-50",I4&lt;75,"50-75",I4&lt;100,"75-100",I4&lt;125,"100-125",I4&gt;=125,"125+")</f>
        <v>50-75</v>
      </c>
      <c r="P4" t="s">
        <v>1141</v>
      </c>
      <c r="Q4" t="s">
        <v>1144</v>
      </c>
      <c r="R4" t="s">
        <v>1145</v>
      </c>
      <c r="S4" t="s">
        <v>1146</v>
      </c>
      <c r="T4" t="s">
        <v>1142</v>
      </c>
      <c r="U4" t="s">
        <v>1143</v>
      </c>
      <c r="V4" t="s">
        <v>1136</v>
      </c>
    </row>
    <row r="5" spans="1:22" x14ac:dyDescent="0.25">
      <c r="A5" t="s">
        <v>22</v>
      </c>
      <c r="B5" t="s">
        <v>23</v>
      </c>
      <c r="C5" s="1">
        <v>45795</v>
      </c>
      <c r="D5" t="s">
        <v>24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18</v>
      </c>
      <c r="K5">
        <v>34</v>
      </c>
      <c r="L5">
        <v>1</v>
      </c>
      <c r="M5" t="str" cm="1">
        <f t="array" ref="M5">_xlfn.IFS(I5&lt;25,"0-25",I5&lt;50,"25-50",I5&lt;75,"50-75",I5&lt;100,"75-100",I5&lt;125,"100-125",I5&gt;=125,"125+")</f>
        <v>50-75</v>
      </c>
      <c r="O5" t="s">
        <v>1137</v>
      </c>
      <c r="P5" s="4">
        <v>0.11538461538461539</v>
      </c>
      <c r="Q5" s="4">
        <v>0.17460317460317459</v>
      </c>
      <c r="R5" s="4">
        <v>0.35784313725490197</v>
      </c>
      <c r="S5" s="4">
        <v>0.26666666666666666</v>
      </c>
      <c r="T5" s="4">
        <v>0.33333333333333331</v>
      </c>
      <c r="U5" s="4">
        <v>0.42857142857142855</v>
      </c>
      <c r="V5">
        <v>0.24292845257903495</v>
      </c>
    </row>
    <row r="6" spans="1:22" x14ac:dyDescent="0.25">
      <c r="A6" t="s">
        <v>25</v>
      </c>
      <c r="B6" t="s">
        <v>26</v>
      </c>
      <c r="C6" s="1">
        <v>45740</v>
      </c>
      <c r="D6" t="s">
        <v>21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27</v>
      </c>
      <c r="K6">
        <v>0</v>
      </c>
      <c r="L6">
        <v>0</v>
      </c>
      <c r="M6" t="str" cm="1">
        <f t="array" ref="M6">_xlfn.IFS(I6&lt;25,"0-25",I6&lt;50,"25-50",I6&lt;75,"50-75",I6&lt;100,"75-100",I6&lt;125,"100-125",I6&gt;=125,"125+")</f>
        <v>25-50</v>
      </c>
    </row>
    <row r="7" spans="1:22" x14ac:dyDescent="0.25">
      <c r="A7" t="s">
        <v>28</v>
      </c>
      <c r="B7" t="s">
        <v>29</v>
      </c>
      <c r="C7" s="1">
        <v>45766</v>
      </c>
      <c r="D7" t="s">
        <v>30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27</v>
      </c>
      <c r="K7">
        <v>0</v>
      </c>
      <c r="L7">
        <v>0</v>
      </c>
      <c r="M7" t="str" cm="1">
        <f t="array" ref="M7">_xlfn.IFS(I7&lt;25,"0-25",I7&lt;50,"25-50",I7&lt;75,"50-75",I7&lt;100,"75-100",I7&lt;125,"100-125",I7&gt;=125,"125+")</f>
        <v>25-50</v>
      </c>
    </row>
    <row r="8" spans="1:22" x14ac:dyDescent="0.25">
      <c r="A8" t="s">
        <v>31</v>
      </c>
      <c r="B8" t="s">
        <v>32</v>
      </c>
      <c r="C8" s="1">
        <v>45477</v>
      </c>
      <c r="D8" t="s">
        <v>33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15</v>
      </c>
      <c r="K8">
        <v>0</v>
      </c>
      <c r="L8">
        <v>0</v>
      </c>
      <c r="M8" t="str" cm="1">
        <f t="array" ref="M8">_xlfn.IFS(I8&lt;25,"0-25",I8&lt;50,"25-50",I8&lt;75,"50-75",I8&lt;100,"75-100",I8&lt;125,"100-125",I8&gt;=125,"125+")</f>
        <v>25-50</v>
      </c>
    </row>
    <row r="9" spans="1:22" x14ac:dyDescent="0.25">
      <c r="A9" t="s">
        <v>34</v>
      </c>
      <c r="B9" t="s">
        <v>35</v>
      </c>
      <c r="C9" s="1">
        <v>45745</v>
      </c>
      <c r="D9" t="s">
        <v>36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18</v>
      </c>
      <c r="K9">
        <v>38</v>
      </c>
      <c r="L9">
        <v>1</v>
      </c>
      <c r="M9" t="str" cm="1">
        <f t="array" ref="M9">_xlfn.IFS(I9&lt;25,"0-25",I9&lt;50,"25-50",I9&lt;75,"50-75",I9&lt;100,"75-100",I9&lt;125,"100-125",I9&gt;=125,"125+")</f>
        <v>25-50</v>
      </c>
    </row>
    <row r="10" spans="1:22" x14ac:dyDescent="0.25">
      <c r="A10" t="s">
        <v>37</v>
      </c>
      <c r="B10" t="s">
        <v>35</v>
      </c>
      <c r="C10" s="1">
        <v>45505</v>
      </c>
      <c r="D10" t="s">
        <v>38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27</v>
      </c>
      <c r="K10">
        <v>0</v>
      </c>
      <c r="L10">
        <v>0</v>
      </c>
      <c r="M10" t="str" cm="1">
        <f t="array" ref="M10">_xlfn.IFS(I10&lt;25,"0-25",I10&lt;50,"25-50",I10&lt;75,"50-75",I10&lt;100,"75-100",I10&lt;125,"100-125",I10&gt;=125,"125+")</f>
        <v>25-50</v>
      </c>
    </row>
    <row r="11" spans="1:22" x14ac:dyDescent="0.25">
      <c r="A11" t="s">
        <v>39</v>
      </c>
      <c r="B11" t="s">
        <v>40</v>
      </c>
      <c r="C11" s="1">
        <v>45597</v>
      </c>
      <c r="D11" t="s">
        <v>41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18</v>
      </c>
      <c r="K11">
        <v>43</v>
      </c>
      <c r="L11">
        <v>1</v>
      </c>
      <c r="M11" t="str" cm="1">
        <f t="array" ref="M11">_xlfn.IFS(I11&lt;25,"0-25",I11&lt;50,"25-50",I11&lt;75,"50-75",I11&lt;100,"75-100",I11&lt;125,"100-125",I11&gt;=125,"125+")</f>
        <v>50-75</v>
      </c>
    </row>
    <row r="12" spans="1:22" x14ac:dyDescent="0.25">
      <c r="A12" t="s">
        <v>42</v>
      </c>
      <c r="B12" t="s">
        <v>43</v>
      </c>
      <c r="C12" s="1">
        <v>45463</v>
      </c>
      <c r="D12" t="s">
        <v>38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27</v>
      </c>
      <c r="K12">
        <v>0</v>
      </c>
      <c r="L12">
        <v>0</v>
      </c>
      <c r="M12" t="str" cm="1">
        <f t="array" ref="M12">_xlfn.IFS(I12&lt;25,"0-25",I12&lt;50,"25-50",I12&lt;75,"50-75",I12&lt;100,"75-100",I12&lt;125,"100-125",I12&gt;=125,"125+")</f>
        <v>0-25</v>
      </c>
    </row>
    <row r="13" spans="1:22" x14ac:dyDescent="0.25">
      <c r="A13" t="s">
        <v>44</v>
      </c>
      <c r="B13" t="s">
        <v>43</v>
      </c>
      <c r="C13" s="1">
        <v>45450</v>
      </c>
      <c r="D13" t="s">
        <v>38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27</v>
      </c>
      <c r="K13">
        <v>0</v>
      </c>
      <c r="L13">
        <v>0</v>
      </c>
      <c r="M13" t="str" cm="1">
        <f t="array" ref="M13">_xlfn.IFS(I13&lt;25,"0-25",I13&lt;50,"25-50",I13&lt;75,"50-75",I13&lt;100,"75-100",I13&lt;125,"100-125",I13&gt;=125,"125+")</f>
        <v>0-25</v>
      </c>
    </row>
    <row r="14" spans="1:22" x14ac:dyDescent="0.25">
      <c r="A14" t="s">
        <v>45</v>
      </c>
      <c r="B14" t="s">
        <v>46</v>
      </c>
      <c r="C14" s="1">
        <v>45449</v>
      </c>
      <c r="D14" t="s">
        <v>47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27</v>
      </c>
      <c r="K14">
        <v>0</v>
      </c>
      <c r="L14">
        <v>0</v>
      </c>
      <c r="M14" t="str" cm="1">
        <f t="array" ref="M14">_xlfn.IFS(I14&lt;25,"0-25",I14&lt;50,"25-50",I14&lt;75,"50-75",I14&lt;100,"75-100",I14&lt;125,"100-125",I14&gt;=125,"125+")</f>
        <v>125+</v>
      </c>
    </row>
    <row r="15" spans="1:22" x14ac:dyDescent="0.25">
      <c r="A15" t="s">
        <v>48</v>
      </c>
      <c r="B15" t="s">
        <v>49</v>
      </c>
      <c r="C15" s="1">
        <v>45313</v>
      </c>
      <c r="D15" t="s">
        <v>21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27</v>
      </c>
      <c r="K15">
        <v>0</v>
      </c>
      <c r="L15">
        <v>0</v>
      </c>
      <c r="M15" t="str" cm="1">
        <f t="array" ref="M15">_xlfn.IFS(I15&lt;25,"0-25",I15&lt;50,"25-50",I15&lt;75,"50-75",I15&lt;100,"75-100",I15&lt;125,"100-125",I15&gt;=125,"125+")</f>
        <v>50-75</v>
      </c>
    </row>
    <row r="16" spans="1:22" x14ac:dyDescent="0.25">
      <c r="A16" t="s">
        <v>50</v>
      </c>
      <c r="B16" t="s">
        <v>51</v>
      </c>
      <c r="C16" s="1">
        <v>45486</v>
      </c>
      <c r="D16" t="s">
        <v>14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27</v>
      </c>
      <c r="K16">
        <v>0</v>
      </c>
      <c r="L16">
        <v>0</v>
      </c>
      <c r="M16" t="str" cm="1">
        <f t="array" ref="M16">_xlfn.IFS(I16&lt;25,"0-25",I16&lt;50,"25-50",I16&lt;75,"50-75",I16&lt;100,"75-100",I16&lt;125,"100-125",I16&gt;=125,"125+")</f>
        <v>25-50</v>
      </c>
    </row>
    <row r="17" spans="1:13" x14ac:dyDescent="0.25">
      <c r="A17" t="s">
        <v>52</v>
      </c>
      <c r="B17" t="s">
        <v>51</v>
      </c>
      <c r="C17" s="1">
        <v>45835</v>
      </c>
      <c r="D17" t="s">
        <v>14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18</v>
      </c>
      <c r="K17">
        <v>105</v>
      </c>
      <c r="L17">
        <v>1</v>
      </c>
      <c r="M17" t="str" cm="1">
        <f t="array" ref="M17">_xlfn.IFS(I17&lt;25,"0-25",I17&lt;50,"25-50",I17&lt;75,"50-75",I17&lt;100,"75-100",I17&lt;125,"100-125",I17&gt;=125,"125+")</f>
        <v>25-50</v>
      </c>
    </row>
    <row r="18" spans="1:13" x14ac:dyDescent="0.25">
      <c r="A18" t="s">
        <v>53</v>
      </c>
      <c r="B18" t="s">
        <v>54</v>
      </c>
      <c r="C18" s="1">
        <v>45481</v>
      </c>
      <c r="D18" t="s">
        <v>21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27</v>
      </c>
      <c r="K18">
        <v>0</v>
      </c>
      <c r="L18">
        <v>0</v>
      </c>
      <c r="M18" t="str" cm="1">
        <f t="array" ref="M18">_xlfn.IFS(I18&lt;25,"0-25",I18&lt;50,"25-50",I18&lt;75,"50-75",I18&lt;100,"75-100",I18&lt;125,"100-125",I18&gt;=125,"125+")</f>
        <v>0-25</v>
      </c>
    </row>
    <row r="19" spans="1:13" x14ac:dyDescent="0.25">
      <c r="A19" t="s">
        <v>55</v>
      </c>
      <c r="B19" t="s">
        <v>54</v>
      </c>
      <c r="C19" s="1">
        <v>45486</v>
      </c>
      <c r="D19" t="s">
        <v>47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27</v>
      </c>
      <c r="K19">
        <v>0</v>
      </c>
      <c r="L19">
        <v>0</v>
      </c>
      <c r="M19" t="str" cm="1">
        <f t="array" ref="M19">_xlfn.IFS(I19&lt;25,"0-25",I19&lt;50,"25-50",I19&lt;75,"50-75",I19&lt;100,"75-100",I19&lt;125,"100-125",I19&gt;=125,"125+")</f>
        <v>25-50</v>
      </c>
    </row>
    <row r="20" spans="1:13" x14ac:dyDescent="0.25">
      <c r="A20" t="s">
        <v>56</v>
      </c>
      <c r="B20" t="s">
        <v>57</v>
      </c>
      <c r="C20" s="1">
        <v>45360</v>
      </c>
      <c r="D20" t="s">
        <v>30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18</v>
      </c>
      <c r="K20">
        <v>63</v>
      </c>
      <c r="L20">
        <v>1</v>
      </c>
      <c r="M20" t="str" cm="1">
        <f t="array" ref="M20">_xlfn.IFS(I20&lt;25,"0-25",I20&lt;50,"25-50",I20&lt;75,"50-75",I20&lt;100,"75-100",I20&lt;125,"100-125",I20&gt;=125,"125+")</f>
        <v>25-50</v>
      </c>
    </row>
    <row r="21" spans="1:13" x14ac:dyDescent="0.25">
      <c r="A21" t="s">
        <v>58</v>
      </c>
      <c r="B21" t="s">
        <v>59</v>
      </c>
      <c r="C21" s="1">
        <v>45689</v>
      </c>
      <c r="D21" t="s">
        <v>41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15</v>
      </c>
      <c r="K21">
        <v>0</v>
      </c>
      <c r="L21">
        <v>0</v>
      </c>
      <c r="M21" t="str" cm="1">
        <f t="array" ref="M21">_xlfn.IFS(I21&lt;25,"0-25",I21&lt;50,"25-50",I21&lt;75,"50-75",I21&lt;100,"75-100",I21&lt;125,"100-125",I21&gt;=125,"125+")</f>
        <v>50-75</v>
      </c>
    </row>
    <row r="22" spans="1:13" x14ac:dyDescent="0.25">
      <c r="A22" t="s">
        <v>60</v>
      </c>
      <c r="B22" t="s">
        <v>61</v>
      </c>
      <c r="C22" s="1">
        <v>45505</v>
      </c>
      <c r="D22" t="s">
        <v>30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62</v>
      </c>
      <c r="K22">
        <v>15</v>
      </c>
      <c r="L22">
        <v>0</v>
      </c>
      <c r="M22" t="str" cm="1">
        <f t="array" ref="M22">_xlfn.IFS(I22&lt;25,"0-25",I22&lt;50,"25-50",I22&lt;75,"50-75",I22&lt;100,"75-100",I22&lt;125,"100-125",I22&gt;=125,"125+")</f>
        <v>75-100</v>
      </c>
    </row>
    <row r="23" spans="1:13" x14ac:dyDescent="0.25">
      <c r="A23" t="s">
        <v>63</v>
      </c>
      <c r="B23" t="s">
        <v>64</v>
      </c>
      <c r="C23" s="1">
        <v>45351</v>
      </c>
      <c r="D23" t="s">
        <v>41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27</v>
      </c>
      <c r="K23">
        <v>0</v>
      </c>
      <c r="L23">
        <v>0</v>
      </c>
      <c r="M23" t="str" cm="1">
        <f t="array" ref="M23">_xlfn.IFS(I23&lt;25,"0-25",I23&lt;50,"25-50",I23&lt;75,"50-75",I23&lt;100,"75-100",I23&lt;125,"100-125",I23&gt;=125,"125+")</f>
        <v>50-75</v>
      </c>
    </row>
    <row r="24" spans="1:13" x14ac:dyDescent="0.25">
      <c r="A24" t="s">
        <v>65</v>
      </c>
      <c r="B24" t="s">
        <v>66</v>
      </c>
      <c r="C24" s="1">
        <v>45528</v>
      </c>
      <c r="D24" t="s">
        <v>24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27</v>
      </c>
      <c r="K24">
        <v>0</v>
      </c>
      <c r="L24">
        <v>0</v>
      </c>
      <c r="M24" t="str" cm="1">
        <f t="array" ref="M24">_xlfn.IFS(I24&lt;25,"0-25",I24&lt;50,"25-50",I24&lt;75,"50-75",I24&lt;100,"75-100",I24&lt;125,"100-125",I24&gt;=125,"125+")</f>
        <v>0-25</v>
      </c>
    </row>
    <row r="25" spans="1:13" x14ac:dyDescent="0.25">
      <c r="A25" t="s">
        <v>67</v>
      </c>
      <c r="B25" t="s">
        <v>68</v>
      </c>
      <c r="C25" s="1">
        <v>45658</v>
      </c>
      <c r="D25" t="s">
        <v>33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27</v>
      </c>
      <c r="K25">
        <v>0</v>
      </c>
      <c r="L25">
        <v>0</v>
      </c>
      <c r="M25" t="str" cm="1">
        <f t="array" ref="M25">_xlfn.IFS(I25&lt;25,"0-25",I25&lt;50,"25-50",I25&lt;75,"50-75",I25&lt;100,"75-100",I25&lt;125,"100-125",I25&gt;=125,"125+")</f>
        <v>100-125</v>
      </c>
    </row>
    <row r="26" spans="1:13" x14ac:dyDescent="0.25">
      <c r="A26" t="s">
        <v>69</v>
      </c>
      <c r="B26" t="s">
        <v>70</v>
      </c>
      <c r="C26" s="1">
        <v>45745</v>
      </c>
      <c r="D26" t="s">
        <v>33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62</v>
      </c>
      <c r="K26">
        <v>15</v>
      </c>
      <c r="L26">
        <v>0</v>
      </c>
      <c r="M26" t="str" cm="1">
        <f t="array" ref="M26">_xlfn.IFS(I26&lt;25,"0-25",I26&lt;50,"25-50",I26&lt;75,"50-75",I26&lt;100,"75-100",I26&lt;125,"100-125",I26&gt;=125,"125+")</f>
        <v>50-75</v>
      </c>
    </row>
    <row r="27" spans="1:13" x14ac:dyDescent="0.25">
      <c r="A27" t="s">
        <v>71</v>
      </c>
      <c r="B27" t="s">
        <v>72</v>
      </c>
      <c r="C27" s="1">
        <v>45511</v>
      </c>
      <c r="D27" t="s">
        <v>30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18</v>
      </c>
      <c r="K27">
        <v>170</v>
      </c>
      <c r="L27">
        <v>1</v>
      </c>
      <c r="M27" t="str" cm="1">
        <f t="array" ref="M27">_xlfn.IFS(I27&lt;25,"0-25",I27&lt;50,"25-50",I27&lt;75,"50-75",I27&lt;100,"75-100",I27&lt;125,"100-125",I27&gt;=125,"125+")</f>
        <v>50-75</v>
      </c>
    </row>
    <row r="28" spans="1:13" x14ac:dyDescent="0.25">
      <c r="A28" t="s">
        <v>73</v>
      </c>
      <c r="B28" t="s">
        <v>72</v>
      </c>
      <c r="C28" s="1">
        <v>45327</v>
      </c>
      <c r="D28" t="s">
        <v>24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27</v>
      </c>
      <c r="K28">
        <v>0</v>
      </c>
      <c r="L28">
        <v>0</v>
      </c>
      <c r="M28" t="str" cm="1">
        <f t="array" ref="M28">_xlfn.IFS(I28&lt;25,"0-25",I28&lt;50,"25-50",I28&lt;75,"50-75",I28&lt;100,"75-100",I28&lt;125,"100-125",I28&gt;=125,"125+")</f>
        <v>50-75</v>
      </c>
    </row>
    <row r="29" spans="1:13" x14ac:dyDescent="0.25">
      <c r="A29" t="s">
        <v>74</v>
      </c>
      <c r="B29" t="s">
        <v>75</v>
      </c>
      <c r="C29" s="1">
        <v>45314</v>
      </c>
      <c r="D29" t="s">
        <v>24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62</v>
      </c>
      <c r="K29">
        <v>15</v>
      </c>
      <c r="L29">
        <v>0</v>
      </c>
      <c r="M29" t="str" cm="1">
        <f t="array" ref="M29">_xlfn.IFS(I29&lt;25,"0-25",I29&lt;50,"25-50",I29&lt;75,"50-75",I29&lt;100,"75-100",I29&lt;125,"100-125",I29&gt;=125,"125+")</f>
        <v>25-50</v>
      </c>
    </row>
    <row r="30" spans="1:13" x14ac:dyDescent="0.25">
      <c r="A30" t="s">
        <v>76</v>
      </c>
      <c r="B30" t="s">
        <v>75</v>
      </c>
      <c r="C30" s="1">
        <v>45330</v>
      </c>
      <c r="D30" t="s">
        <v>21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27</v>
      </c>
      <c r="K30">
        <v>0</v>
      </c>
      <c r="L30">
        <v>0</v>
      </c>
      <c r="M30" t="str" cm="1">
        <f t="array" ref="M30">_xlfn.IFS(I30&lt;25,"0-25",I30&lt;50,"25-50",I30&lt;75,"50-75",I30&lt;100,"75-100",I30&lt;125,"100-125",I30&gt;=125,"125+")</f>
        <v>25-50</v>
      </c>
    </row>
    <row r="31" spans="1:13" x14ac:dyDescent="0.25">
      <c r="A31" t="s">
        <v>77</v>
      </c>
      <c r="B31" t="s">
        <v>78</v>
      </c>
      <c r="C31" s="1">
        <v>45514</v>
      </c>
      <c r="D31" t="s">
        <v>38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15</v>
      </c>
      <c r="K31">
        <v>0</v>
      </c>
      <c r="L31">
        <v>0</v>
      </c>
      <c r="M31" t="str" cm="1">
        <f t="array" ref="M31">_xlfn.IFS(I31&lt;25,"0-25",I31&lt;50,"25-50",I31&lt;75,"50-75",I31&lt;100,"75-100",I31&lt;125,"100-125",I31&gt;=125,"125+")</f>
        <v>75-100</v>
      </c>
    </row>
    <row r="32" spans="1:13" x14ac:dyDescent="0.25">
      <c r="A32" t="s">
        <v>79</v>
      </c>
      <c r="B32" t="s">
        <v>78</v>
      </c>
      <c r="C32" s="1">
        <v>45389</v>
      </c>
      <c r="D32" t="s">
        <v>33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15</v>
      </c>
      <c r="K32">
        <v>0</v>
      </c>
      <c r="L32">
        <v>0</v>
      </c>
      <c r="M32" t="str" cm="1">
        <f t="array" ref="M32">_xlfn.IFS(I32&lt;25,"0-25",I32&lt;50,"25-50",I32&lt;75,"50-75",I32&lt;100,"75-100",I32&lt;125,"100-125",I32&gt;=125,"125+")</f>
        <v>50-75</v>
      </c>
    </row>
    <row r="33" spans="1:13" x14ac:dyDescent="0.25">
      <c r="A33" t="s">
        <v>80</v>
      </c>
      <c r="B33" t="s">
        <v>81</v>
      </c>
      <c r="C33" s="1">
        <v>45736</v>
      </c>
      <c r="D33" t="s">
        <v>36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62</v>
      </c>
      <c r="K33">
        <v>15</v>
      </c>
      <c r="L33">
        <v>0</v>
      </c>
      <c r="M33" t="str" cm="1">
        <f t="array" ref="M33">_xlfn.IFS(I33&lt;25,"0-25",I33&lt;50,"25-50",I33&lt;75,"50-75",I33&lt;100,"75-100",I33&lt;125,"100-125",I33&gt;=125,"125+")</f>
        <v>25-50</v>
      </c>
    </row>
    <row r="34" spans="1:13" x14ac:dyDescent="0.25">
      <c r="A34" t="s">
        <v>82</v>
      </c>
      <c r="B34" t="s">
        <v>83</v>
      </c>
      <c r="C34" s="1">
        <v>45828</v>
      </c>
      <c r="D34" t="s">
        <v>47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18</v>
      </c>
      <c r="K34">
        <v>168</v>
      </c>
      <c r="L34">
        <v>1</v>
      </c>
      <c r="M34" t="str" cm="1">
        <f t="array" ref="M34">_xlfn.IFS(I34&lt;25,"0-25",I34&lt;50,"25-50",I34&lt;75,"50-75",I34&lt;100,"75-100",I34&lt;125,"100-125",I34&gt;=125,"125+")</f>
        <v>50-75</v>
      </c>
    </row>
    <row r="35" spans="1:13" x14ac:dyDescent="0.25">
      <c r="A35" t="s">
        <v>84</v>
      </c>
      <c r="B35" t="s">
        <v>85</v>
      </c>
      <c r="C35" s="1">
        <v>45694</v>
      </c>
      <c r="D35" t="s">
        <v>30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27</v>
      </c>
      <c r="K35">
        <v>0</v>
      </c>
      <c r="L35">
        <v>0</v>
      </c>
      <c r="M35" t="str" cm="1">
        <f t="array" ref="M35">_xlfn.IFS(I35&lt;25,"0-25",I35&lt;50,"25-50",I35&lt;75,"50-75",I35&lt;100,"75-100",I35&lt;125,"100-125",I35&gt;=125,"125+")</f>
        <v>50-75</v>
      </c>
    </row>
    <row r="36" spans="1:13" x14ac:dyDescent="0.25">
      <c r="A36" t="s">
        <v>86</v>
      </c>
      <c r="B36" t="s">
        <v>87</v>
      </c>
      <c r="C36" s="1">
        <v>45779</v>
      </c>
      <c r="D36" t="s">
        <v>17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27</v>
      </c>
      <c r="K36">
        <v>0</v>
      </c>
      <c r="L36">
        <v>0</v>
      </c>
      <c r="M36" t="str" cm="1">
        <f t="array" ref="M36">_xlfn.IFS(I36&lt;25,"0-25",I36&lt;50,"25-50",I36&lt;75,"50-75",I36&lt;100,"75-100",I36&lt;125,"100-125",I36&gt;=125,"125+")</f>
        <v>50-75</v>
      </c>
    </row>
    <row r="37" spans="1:13" x14ac:dyDescent="0.25">
      <c r="A37" t="s">
        <v>88</v>
      </c>
      <c r="B37" t="s">
        <v>89</v>
      </c>
      <c r="C37" s="1">
        <v>45494</v>
      </c>
      <c r="D37" t="s">
        <v>21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27</v>
      </c>
      <c r="K37">
        <v>0</v>
      </c>
      <c r="L37">
        <v>0</v>
      </c>
      <c r="M37" t="str" cm="1">
        <f t="array" ref="M37">_xlfn.IFS(I37&lt;25,"0-25",I37&lt;50,"25-50",I37&lt;75,"50-75",I37&lt;100,"75-100",I37&lt;125,"100-125",I37&gt;=125,"125+")</f>
        <v>50-75</v>
      </c>
    </row>
    <row r="38" spans="1:13" x14ac:dyDescent="0.25">
      <c r="A38" t="s">
        <v>90</v>
      </c>
      <c r="B38" t="s">
        <v>91</v>
      </c>
      <c r="C38" s="1">
        <v>45383</v>
      </c>
      <c r="D38" t="s">
        <v>21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18</v>
      </c>
      <c r="K38">
        <v>135</v>
      </c>
      <c r="L38">
        <v>1</v>
      </c>
      <c r="M38" t="str" cm="1">
        <f t="array" ref="M38">_xlfn.IFS(I38&lt;25,"0-25",I38&lt;50,"25-50",I38&lt;75,"50-75",I38&lt;100,"75-100",I38&lt;125,"100-125",I38&gt;=125,"125+")</f>
        <v>25-50</v>
      </c>
    </row>
    <row r="39" spans="1:13" x14ac:dyDescent="0.25">
      <c r="A39" t="s">
        <v>92</v>
      </c>
      <c r="B39" t="s">
        <v>93</v>
      </c>
      <c r="C39" s="1">
        <v>45465</v>
      </c>
      <c r="D39" t="s">
        <v>30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15</v>
      </c>
      <c r="K39">
        <v>0</v>
      </c>
      <c r="L39">
        <v>0</v>
      </c>
      <c r="M39" t="str" cm="1">
        <f t="array" ref="M39">_xlfn.IFS(I39&lt;25,"0-25",I39&lt;50,"25-50",I39&lt;75,"50-75",I39&lt;100,"75-100",I39&lt;125,"100-125",I39&gt;=125,"125+")</f>
        <v>75-100</v>
      </c>
    </row>
    <row r="40" spans="1:13" x14ac:dyDescent="0.25">
      <c r="A40" t="s">
        <v>94</v>
      </c>
      <c r="B40" t="s">
        <v>95</v>
      </c>
      <c r="C40" s="1">
        <v>45674</v>
      </c>
      <c r="D40" t="s">
        <v>33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27</v>
      </c>
      <c r="K40">
        <v>0</v>
      </c>
      <c r="L40">
        <v>0</v>
      </c>
      <c r="M40" t="str" cm="1">
        <f t="array" ref="M40">_xlfn.IFS(I40&lt;25,"0-25",I40&lt;50,"25-50",I40&lt;75,"50-75",I40&lt;100,"75-100",I40&lt;125,"100-125",I40&gt;=125,"125+")</f>
        <v>25-50</v>
      </c>
    </row>
    <row r="41" spans="1:13" x14ac:dyDescent="0.25">
      <c r="A41" t="s">
        <v>96</v>
      </c>
      <c r="B41" t="s">
        <v>97</v>
      </c>
      <c r="C41" s="1">
        <v>45405</v>
      </c>
      <c r="D41" t="s">
        <v>38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27</v>
      </c>
      <c r="K41">
        <v>0</v>
      </c>
      <c r="L41">
        <v>0</v>
      </c>
      <c r="M41" t="str" cm="1">
        <f t="array" ref="M41">_xlfn.IFS(I41&lt;25,"0-25",I41&lt;50,"25-50",I41&lt;75,"50-75",I41&lt;100,"75-100",I41&lt;125,"100-125",I41&gt;=125,"125+")</f>
        <v>25-50</v>
      </c>
    </row>
    <row r="42" spans="1:13" x14ac:dyDescent="0.25">
      <c r="A42" t="s">
        <v>98</v>
      </c>
      <c r="B42" t="s">
        <v>99</v>
      </c>
      <c r="C42" s="1">
        <v>45436</v>
      </c>
      <c r="D42" t="s">
        <v>38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27</v>
      </c>
      <c r="K42">
        <v>0</v>
      </c>
      <c r="L42">
        <v>0</v>
      </c>
      <c r="M42" t="str" cm="1">
        <f t="array" ref="M42">_xlfn.IFS(I42&lt;25,"0-25",I42&lt;50,"25-50",I42&lt;75,"50-75",I42&lt;100,"75-100",I42&lt;125,"100-125",I42&gt;=125,"125+")</f>
        <v>50-75</v>
      </c>
    </row>
    <row r="43" spans="1:13" x14ac:dyDescent="0.25">
      <c r="A43" t="s">
        <v>100</v>
      </c>
      <c r="B43" t="s">
        <v>101</v>
      </c>
      <c r="C43" s="1">
        <v>45569</v>
      </c>
      <c r="D43" t="s">
        <v>21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18</v>
      </c>
      <c r="K43">
        <v>32</v>
      </c>
      <c r="L43">
        <v>1</v>
      </c>
      <c r="M43" t="str" cm="1">
        <f t="array" ref="M43">_xlfn.IFS(I43&lt;25,"0-25",I43&lt;50,"25-50",I43&lt;75,"50-75",I43&lt;100,"75-100",I43&lt;125,"100-125",I43&gt;=125,"125+")</f>
        <v>25-50</v>
      </c>
    </row>
    <row r="44" spans="1:13" x14ac:dyDescent="0.25">
      <c r="A44" t="s">
        <v>102</v>
      </c>
      <c r="B44" t="s">
        <v>101</v>
      </c>
      <c r="C44" s="1">
        <v>45311</v>
      </c>
      <c r="D44" t="s">
        <v>36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62</v>
      </c>
      <c r="K44">
        <v>15</v>
      </c>
      <c r="L44">
        <v>0</v>
      </c>
      <c r="M44" t="str" cm="1">
        <f t="array" ref="M44">_xlfn.IFS(I44&lt;25,"0-25",I44&lt;50,"25-50",I44&lt;75,"50-75",I44&lt;100,"75-100",I44&lt;125,"100-125",I44&gt;=125,"125+")</f>
        <v>25-50</v>
      </c>
    </row>
    <row r="45" spans="1:13" x14ac:dyDescent="0.25">
      <c r="A45" t="s">
        <v>103</v>
      </c>
      <c r="B45" t="s">
        <v>104</v>
      </c>
      <c r="C45" s="1">
        <v>45836</v>
      </c>
      <c r="D45" t="s">
        <v>21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18</v>
      </c>
      <c r="K45">
        <v>80</v>
      </c>
      <c r="L45">
        <v>1</v>
      </c>
      <c r="M45" t="str" cm="1">
        <f t="array" ref="M45">_xlfn.IFS(I45&lt;25,"0-25",I45&lt;50,"25-50",I45&lt;75,"50-75",I45&lt;100,"75-100",I45&lt;125,"100-125",I45&gt;=125,"125+")</f>
        <v>0-25</v>
      </c>
    </row>
    <row r="46" spans="1:13" x14ac:dyDescent="0.25">
      <c r="A46" t="s">
        <v>105</v>
      </c>
      <c r="B46" t="s">
        <v>104</v>
      </c>
      <c r="C46" s="1">
        <v>45834</v>
      </c>
      <c r="D46" t="s">
        <v>21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18</v>
      </c>
      <c r="K46">
        <v>155</v>
      </c>
      <c r="L46">
        <v>1</v>
      </c>
      <c r="M46" t="str" cm="1">
        <f t="array" ref="M46">_xlfn.IFS(I46&lt;25,"0-25",I46&lt;50,"25-50",I46&lt;75,"50-75",I46&lt;100,"75-100",I46&lt;125,"100-125",I46&gt;=125,"125+")</f>
        <v>75-100</v>
      </c>
    </row>
    <row r="47" spans="1:13" x14ac:dyDescent="0.25">
      <c r="A47" t="s">
        <v>106</v>
      </c>
      <c r="B47" t="s">
        <v>107</v>
      </c>
      <c r="C47" s="1">
        <v>45533</v>
      </c>
      <c r="D47" t="s">
        <v>33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62</v>
      </c>
      <c r="K47">
        <v>30</v>
      </c>
      <c r="L47">
        <v>0</v>
      </c>
      <c r="M47" t="str" cm="1">
        <f t="array" ref="M47">_xlfn.IFS(I47&lt;25,"0-25",I47&lt;50,"25-50",I47&lt;75,"50-75",I47&lt;100,"75-100",I47&lt;125,"100-125",I47&gt;=125,"125+")</f>
        <v>25-50</v>
      </c>
    </row>
    <row r="48" spans="1:13" x14ac:dyDescent="0.25">
      <c r="A48" t="s">
        <v>108</v>
      </c>
      <c r="B48" t="s">
        <v>109</v>
      </c>
      <c r="C48" s="1">
        <v>45578</v>
      </c>
      <c r="D48" t="s">
        <v>24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18</v>
      </c>
      <c r="K48">
        <v>117</v>
      </c>
      <c r="L48">
        <v>1</v>
      </c>
      <c r="M48" t="str" cm="1">
        <f t="array" ref="M48">_xlfn.IFS(I48&lt;25,"0-25",I48&lt;50,"25-50",I48&lt;75,"50-75",I48&lt;100,"75-100",I48&lt;125,"100-125",I48&gt;=125,"125+")</f>
        <v>75-100</v>
      </c>
    </row>
    <row r="49" spans="1:13" x14ac:dyDescent="0.25">
      <c r="A49" t="s">
        <v>110</v>
      </c>
      <c r="B49" t="s">
        <v>111</v>
      </c>
      <c r="C49" s="1">
        <v>45524</v>
      </c>
      <c r="D49" t="s">
        <v>33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27</v>
      </c>
      <c r="K49">
        <v>0</v>
      </c>
      <c r="L49">
        <v>0</v>
      </c>
      <c r="M49" t="str" cm="1">
        <f t="array" ref="M49">_xlfn.IFS(I49&lt;25,"0-25",I49&lt;50,"25-50",I49&lt;75,"50-75",I49&lt;100,"75-100",I49&lt;125,"100-125",I49&gt;=125,"125+")</f>
        <v>25-50</v>
      </c>
    </row>
    <row r="50" spans="1:13" x14ac:dyDescent="0.25">
      <c r="A50" t="s">
        <v>112</v>
      </c>
      <c r="B50" t="s">
        <v>111</v>
      </c>
      <c r="C50" s="1">
        <v>45433</v>
      </c>
      <c r="D50" t="s">
        <v>24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27</v>
      </c>
      <c r="K50">
        <v>0</v>
      </c>
      <c r="L50">
        <v>0</v>
      </c>
      <c r="M50" t="str" cm="1">
        <f t="array" ref="M50">_xlfn.IFS(I50&lt;25,"0-25",I50&lt;50,"25-50",I50&lt;75,"50-75",I50&lt;100,"75-100",I50&lt;125,"100-125",I50&gt;=125,"125+")</f>
        <v>25-50</v>
      </c>
    </row>
    <row r="51" spans="1:13" x14ac:dyDescent="0.25">
      <c r="A51" t="s">
        <v>113</v>
      </c>
      <c r="B51" t="s">
        <v>114</v>
      </c>
      <c r="C51" s="1">
        <v>45453</v>
      </c>
      <c r="D51" t="s">
        <v>21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15</v>
      </c>
      <c r="K51">
        <v>0</v>
      </c>
      <c r="L51">
        <v>0</v>
      </c>
      <c r="M51" t="str" cm="1">
        <f t="array" ref="M51">_xlfn.IFS(I51&lt;25,"0-25",I51&lt;50,"25-50",I51&lt;75,"50-75",I51&lt;100,"75-100",I51&lt;125,"100-125",I51&gt;=125,"125+")</f>
        <v>25-50</v>
      </c>
    </row>
    <row r="52" spans="1:13" x14ac:dyDescent="0.25">
      <c r="A52" t="s">
        <v>115</v>
      </c>
      <c r="B52" t="s">
        <v>116</v>
      </c>
      <c r="C52" s="1">
        <v>45715</v>
      </c>
      <c r="D52" t="s">
        <v>30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15</v>
      </c>
      <c r="K52">
        <v>0</v>
      </c>
      <c r="L52">
        <v>0</v>
      </c>
      <c r="M52" t="str" cm="1">
        <f t="array" ref="M52">_xlfn.IFS(I52&lt;25,"0-25",I52&lt;50,"25-50",I52&lt;75,"50-75",I52&lt;100,"75-100",I52&lt;125,"100-125",I52&gt;=125,"125+")</f>
        <v>50-75</v>
      </c>
    </row>
    <row r="53" spans="1:13" x14ac:dyDescent="0.25">
      <c r="A53" t="s">
        <v>117</v>
      </c>
      <c r="B53" t="s">
        <v>118</v>
      </c>
      <c r="C53" s="1">
        <v>45565</v>
      </c>
      <c r="D53" t="s">
        <v>24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27</v>
      </c>
      <c r="K53">
        <v>0</v>
      </c>
      <c r="L53">
        <v>0</v>
      </c>
      <c r="M53" t="str" cm="1">
        <f t="array" ref="M53">_xlfn.IFS(I53&lt;25,"0-25",I53&lt;50,"25-50",I53&lt;75,"50-75",I53&lt;100,"75-100",I53&lt;125,"100-125",I53&gt;=125,"125+")</f>
        <v>25-50</v>
      </c>
    </row>
    <row r="54" spans="1:13" x14ac:dyDescent="0.25">
      <c r="A54" t="s">
        <v>119</v>
      </c>
      <c r="B54" t="s">
        <v>118</v>
      </c>
      <c r="C54" s="1">
        <v>45772</v>
      </c>
      <c r="D54" t="s">
        <v>38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15</v>
      </c>
      <c r="K54">
        <v>0</v>
      </c>
      <c r="L54">
        <v>0</v>
      </c>
      <c r="M54" t="str" cm="1">
        <f t="array" ref="M54">_xlfn.IFS(I54&lt;25,"0-25",I54&lt;50,"25-50",I54&lt;75,"50-75",I54&lt;100,"75-100",I54&lt;125,"100-125",I54&gt;=125,"125+")</f>
        <v>25-50</v>
      </c>
    </row>
    <row r="55" spans="1:13" x14ac:dyDescent="0.25">
      <c r="A55" t="s">
        <v>120</v>
      </c>
      <c r="B55" t="s">
        <v>121</v>
      </c>
      <c r="C55" s="1">
        <v>45307</v>
      </c>
      <c r="D55" t="s">
        <v>33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62</v>
      </c>
      <c r="K55">
        <v>30</v>
      </c>
      <c r="L55">
        <v>0</v>
      </c>
      <c r="M55" t="str" cm="1">
        <f t="array" ref="M55">_xlfn.IFS(I55&lt;25,"0-25",I55&lt;50,"25-50",I55&lt;75,"50-75",I55&lt;100,"75-100",I55&lt;125,"100-125",I55&gt;=125,"125+")</f>
        <v>0-25</v>
      </c>
    </row>
    <row r="56" spans="1:13" x14ac:dyDescent="0.25">
      <c r="A56" t="s">
        <v>122</v>
      </c>
      <c r="B56" t="s">
        <v>123</v>
      </c>
      <c r="C56" s="1">
        <v>45793</v>
      </c>
      <c r="D56" t="s">
        <v>38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62</v>
      </c>
      <c r="K56">
        <v>15</v>
      </c>
      <c r="L56">
        <v>0</v>
      </c>
      <c r="M56" t="str" cm="1">
        <f t="array" ref="M56">_xlfn.IFS(I56&lt;25,"0-25",I56&lt;50,"25-50",I56&lt;75,"50-75",I56&lt;100,"75-100",I56&lt;125,"100-125",I56&gt;=125,"125+")</f>
        <v>25-50</v>
      </c>
    </row>
    <row r="57" spans="1:13" x14ac:dyDescent="0.25">
      <c r="A57" t="s">
        <v>124</v>
      </c>
      <c r="B57" t="s">
        <v>125</v>
      </c>
      <c r="C57" s="1">
        <v>45829</v>
      </c>
      <c r="D57" t="s">
        <v>41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27</v>
      </c>
      <c r="K57">
        <v>0</v>
      </c>
      <c r="L57">
        <v>0</v>
      </c>
      <c r="M57" t="str" cm="1">
        <f t="array" ref="M57">_xlfn.IFS(I57&lt;25,"0-25",I57&lt;50,"25-50",I57&lt;75,"50-75",I57&lt;100,"75-100",I57&lt;125,"100-125",I57&gt;=125,"125+")</f>
        <v>25-50</v>
      </c>
    </row>
    <row r="58" spans="1:13" x14ac:dyDescent="0.25">
      <c r="A58" t="s">
        <v>126</v>
      </c>
      <c r="B58" t="s">
        <v>127</v>
      </c>
      <c r="C58" s="1">
        <v>45697</v>
      </c>
      <c r="D58" t="s">
        <v>14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27</v>
      </c>
      <c r="K58">
        <v>0</v>
      </c>
      <c r="L58">
        <v>0</v>
      </c>
      <c r="M58" t="str" cm="1">
        <f t="array" ref="M58">_xlfn.IFS(I58&lt;25,"0-25",I58&lt;50,"25-50",I58&lt;75,"50-75",I58&lt;100,"75-100",I58&lt;125,"100-125",I58&gt;=125,"125+")</f>
        <v>0-25</v>
      </c>
    </row>
    <row r="59" spans="1:13" x14ac:dyDescent="0.25">
      <c r="A59" t="s">
        <v>128</v>
      </c>
      <c r="B59" t="s">
        <v>129</v>
      </c>
      <c r="C59" s="1">
        <v>45584</v>
      </c>
      <c r="D59" t="s">
        <v>41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62</v>
      </c>
      <c r="K59">
        <v>0</v>
      </c>
      <c r="L59">
        <v>0</v>
      </c>
      <c r="M59" t="str" cm="1">
        <f t="array" ref="M59">_xlfn.IFS(I59&lt;25,"0-25",I59&lt;50,"25-50",I59&lt;75,"50-75",I59&lt;100,"75-100",I59&lt;125,"100-125",I59&gt;=125,"125+")</f>
        <v>25-50</v>
      </c>
    </row>
    <row r="60" spans="1:13" x14ac:dyDescent="0.25">
      <c r="A60" t="s">
        <v>130</v>
      </c>
      <c r="B60" t="s">
        <v>131</v>
      </c>
      <c r="C60" s="1">
        <v>45804</v>
      </c>
      <c r="D60" t="s">
        <v>21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15</v>
      </c>
      <c r="K60">
        <v>0</v>
      </c>
      <c r="L60">
        <v>0</v>
      </c>
      <c r="M60" t="str" cm="1">
        <f t="array" ref="M60">_xlfn.IFS(I60&lt;25,"0-25",I60&lt;50,"25-50",I60&lt;75,"50-75",I60&lt;100,"75-100",I60&lt;125,"100-125",I60&gt;=125,"125+")</f>
        <v>25-50</v>
      </c>
    </row>
    <row r="61" spans="1:13" x14ac:dyDescent="0.25">
      <c r="A61" t="s">
        <v>132</v>
      </c>
      <c r="B61" t="s">
        <v>133</v>
      </c>
      <c r="C61" s="1">
        <v>45498</v>
      </c>
      <c r="D61" t="s">
        <v>33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27</v>
      </c>
      <c r="K61">
        <v>0</v>
      </c>
      <c r="L61">
        <v>0</v>
      </c>
      <c r="M61" t="str" cm="1">
        <f t="array" ref="M61">_xlfn.IFS(I61&lt;25,"0-25",I61&lt;50,"25-50",I61&lt;75,"50-75",I61&lt;100,"75-100",I61&lt;125,"100-125",I61&gt;=125,"125+")</f>
        <v>50-75</v>
      </c>
    </row>
    <row r="62" spans="1:13" x14ac:dyDescent="0.25">
      <c r="A62" t="s">
        <v>134</v>
      </c>
      <c r="B62" t="s">
        <v>135</v>
      </c>
      <c r="C62" s="1">
        <v>45663</v>
      </c>
      <c r="D62" t="s">
        <v>33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18</v>
      </c>
      <c r="K62">
        <v>128</v>
      </c>
      <c r="L62">
        <v>1</v>
      </c>
      <c r="M62" t="str" cm="1">
        <f t="array" ref="M62">_xlfn.IFS(I62&lt;25,"0-25",I62&lt;50,"25-50",I62&lt;75,"50-75",I62&lt;100,"75-100",I62&lt;125,"100-125",I62&gt;=125,"125+")</f>
        <v>50-75</v>
      </c>
    </row>
    <row r="63" spans="1:13" x14ac:dyDescent="0.25">
      <c r="A63" t="s">
        <v>136</v>
      </c>
      <c r="B63" t="s">
        <v>137</v>
      </c>
      <c r="C63" s="1">
        <v>45466</v>
      </c>
      <c r="D63" t="s">
        <v>21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62</v>
      </c>
      <c r="K63">
        <v>0</v>
      </c>
      <c r="L63">
        <v>0</v>
      </c>
      <c r="M63" t="str" cm="1">
        <f t="array" ref="M63">_xlfn.IFS(I63&lt;25,"0-25",I63&lt;50,"25-50",I63&lt;75,"50-75",I63&lt;100,"75-100",I63&lt;125,"100-125",I63&gt;=125,"125+")</f>
        <v>0-25</v>
      </c>
    </row>
    <row r="64" spans="1:13" x14ac:dyDescent="0.25">
      <c r="A64" t="s">
        <v>138</v>
      </c>
      <c r="B64" t="s">
        <v>139</v>
      </c>
      <c r="C64" s="1">
        <v>45748</v>
      </c>
      <c r="D64" t="s">
        <v>33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15</v>
      </c>
      <c r="K64">
        <v>0</v>
      </c>
      <c r="L64">
        <v>0</v>
      </c>
      <c r="M64" t="str" cm="1">
        <f t="array" ref="M64">_xlfn.IFS(I64&lt;25,"0-25",I64&lt;50,"25-50",I64&lt;75,"50-75",I64&lt;100,"75-100",I64&lt;125,"100-125",I64&gt;=125,"125+")</f>
        <v>50-75</v>
      </c>
    </row>
    <row r="65" spans="1:13" x14ac:dyDescent="0.25">
      <c r="A65" t="s">
        <v>140</v>
      </c>
      <c r="B65" t="s">
        <v>141</v>
      </c>
      <c r="C65" s="1">
        <v>45802</v>
      </c>
      <c r="D65" t="s">
        <v>41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15</v>
      </c>
      <c r="K65">
        <v>0</v>
      </c>
      <c r="L65">
        <v>0</v>
      </c>
      <c r="M65" t="str" cm="1">
        <f t="array" ref="M65">_xlfn.IFS(I65&lt;25,"0-25",I65&lt;50,"25-50",I65&lt;75,"50-75",I65&lt;100,"75-100",I65&lt;125,"100-125",I65&gt;=125,"125+")</f>
        <v>25-50</v>
      </c>
    </row>
    <row r="66" spans="1:13" x14ac:dyDescent="0.25">
      <c r="A66" t="s">
        <v>142</v>
      </c>
      <c r="B66" t="s">
        <v>141</v>
      </c>
      <c r="C66" s="1">
        <v>45373</v>
      </c>
      <c r="D66" t="s">
        <v>38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15</v>
      </c>
      <c r="K66">
        <v>0</v>
      </c>
      <c r="L66">
        <v>0</v>
      </c>
      <c r="M66" t="str" cm="1">
        <f t="array" ref="M66">_xlfn.IFS(I66&lt;25,"0-25",I66&lt;50,"25-50",I66&lt;75,"50-75",I66&lt;100,"75-100",I66&lt;125,"100-125",I66&gt;=125,"125+")</f>
        <v>25-50</v>
      </c>
    </row>
    <row r="67" spans="1:13" x14ac:dyDescent="0.25">
      <c r="A67" t="s">
        <v>143</v>
      </c>
      <c r="B67" t="s">
        <v>144</v>
      </c>
      <c r="C67" s="1">
        <v>45649</v>
      </c>
      <c r="D67" t="s">
        <v>21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18</v>
      </c>
      <c r="K67">
        <v>38</v>
      </c>
      <c r="L67">
        <v>1</v>
      </c>
      <c r="M67" t="str" cm="1">
        <f t="array" ref="M67">_xlfn.IFS(I67&lt;25,"0-25",I67&lt;50,"25-50",I67&lt;75,"50-75",I67&lt;100,"75-100",I67&lt;125,"100-125",I67&gt;=125,"125+")</f>
        <v>0-25</v>
      </c>
    </row>
    <row r="68" spans="1:13" x14ac:dyDescent="0.25">
      <c r="A68" t="s">
        <v>145</v>
      </c>
      <c r="B68" t="s">
        <v>146</v>
      </c>
      <c r="C68" s="1">
        <v>45474</v>
      </c>
      <c r="D68" t="s">
        <v>47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18</v>
      </c>
      <c r="K68">
        <v>102</v>
      </c>
      <c r="L68">
        <v>1</v>
      </c>
      <c r="M68" t="str" cm="1">
        <f t="array" ref="M68">_xlfn.IFS(I68&lt;25,"0-25",I68&lt;50,"25-50",I68&lt;75,"50-75",I68&lt;100,"75-100",I68&lt;125,"100-125",I68&gt;=125,"125+")</f>
        <v>50-75</v>
      </c>
    </row>
    <row r="69" spans="1:13" x14ac:dyDescent="0.25">
      <c r="A69" t="s">
        <v>147</v>
      </c>
      <c r="B69" t="s">
        <v>148</v>
      </c>
      <c r="C69" s="1">
        <v>45660</v>
      </c>
      <c r="D69" t="s">
        <v>47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27</v>
      </c>
      <c r="K69">
        <v>0</v>
      </c>
      <c r="L69">
        <v>0</v>
      </c>
      <c r="M69" t="str" cm="1">
        <f t="array" ref="M69">_xlfn.IFS(I69&lt;25,"0-25",I69&lt;50,"25-50",I69&lt;75,"50-75",I69&lt;100,"75-100",I69&lt;125,"100-125",I69&gt;=125,"125+")</f>
        <v>0-25</v>
      </c>
    </row>
    <row r="70" spans="1:13" x14ac:dyDescent="0.25">
      <c r="A70" t="s">
        <v>149</v>
      </c>
      <c r="B70" t="s">
        <v>150</v>
      </c>
      <c r="C70" s="1">
        <v>45774</v>
      </c>
      <c r="D70" t="s">
        <v>17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18</v>
      </c>
      <c r="K70">
        <v>100</v>
      </c>
      <c r="L70">
        <v>1</v>
      </c>
      <c r="M70" t="str" cm="1">
        <f t="array" ref="M70">_xlfn.IFS(I70&lt;25,"0-25",I70&lt;50,"25-50",I70&lt;75,"50-75",I70&lt;100,"75-100",I70&lt;125,"100-125",I70&gt;=125,"125+")</f>
        <v>50-75</v>
      </c>
    </row>
    <row r="71" spans="1:13" x14ac:dyDescent="0.25">
      <c r="A71" t="s">
        <v>151</v>
      </c>
      <c r="B71" t="s">
        <v>152</v>
      </c>
      <c r="C71" s="1">
        <v>45833</v>
      </c>
      <c r="D71" t="s">
        <v>17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62</v>
      </c>
      <c r="K71">
        <v>0</v>
      </c>
      <c r="L71">
        <v>0</v>
      </c>
      <c r="M71" t="str" cm="1">
        <f t="array" ref="M71">_xlfn.IFS(I71&lt;25,"0-25",I71&lt;50,"25-50",I71&lt;75,"50-75",I71&lt;100,"75-100",I71&lt;125,"100-125",I71&gt;=125,"125+")</f>
        <v>25-50</v>
      </c>
    </row>
    <row r="72" spans="1:13" x14ac:dyDescent="0.25">
      <c r="A72" t="s">
        <v>153</v>
      </c>
      <c r="B72" t="s">
        <v>154</v>
      </c>
      <c r="C72" s="1">
        <v>45654</v>
      </c>
      <c r="D72" t="s">
        <v>24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27</v>
      </c>
      <c r="K72">
        <v>0</v>
      </c>
      <c r="L72">
        <v>0</v>
      </c>
      <c r="M72" t="str" cm="1">
        <f t="array" ref="M72">_xlfn.IFS(I72&lt;25,"0-25",I72&lt;50,"25-50",I72&lt;75,"50-75",I72&lt;100,"75-100",I72&lt;125,"100-125",I72&gt;=125,"125+")</f>
        <v>25-50</v>
      </c>
    </row>
    <row r="73" spans="1:13" x14ac:dyDescent="0.25">
      <c r="A73" t="s">
        <v>155</v>
      </c>
      <c r="B73" t="s">
        <v>154</v>
      </c>
      <c r="C73" s="1">
        <v>45589</v>
      </c>
      <c r="D73" t="s">
        <v>14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27</v>
      </c>
      <c r="K73">
        <v>0</v>
      </c>
      <c r="L73">
        <v>0</v>
      </c>
      <c r="M73" t="str" cm="1">
        <f t="array" ref="M73">_xlfn.IFS(I73&lt;25,"0-25",I73&lt;50,"25-50",I73&lt;75,"50-75",I73&lt;100,"75-100",I73&lt;125,"100-125",I73&gt;=125,"125+")</f>
        <v>0-25</v>
      </c>
    </row>
    <row r="74" spans="1:13" x14ac:dyDescent="0.25">
      <c r="A74" t="s">
        <v>156</v>
      </c>
      <c r="B74" t="s">
        <v>157</v>
      </c>
      <c r="C74" s="1">
        <v>45715</v>
      </c>
      <c r="D74" t="s">
        <v>36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18</v>
      </c>
      <c r="K74">
        <v>119</v>
      </c>
      <c r="L74">
        <v>1</v>
      </c>
      <c r="M74" t="str" cm="1">
        <f t="array" ref="M74">_xlfn.IFS(I74&lt;25,"0-25",I74&lt;50,"25-50",I74&lt;75,"50-75",I74&lt;100,"75-100",I74&lt;125,"100-125",I74&gt;=125,"125+")</f>
        <v>50-75</v>
      </c>
    </row>
    <row r="75" spans="1:13" x14ac:dyDescent="0.25">
      <c r="A75" t="s">
        <v>158</v>
      </c>
      <c r="B75" t="s">
        <v>159</v>
      </c>
      <c r="C75" s="1">
        <v>45361</v>
      </c>
      <c r="D75" t="s">
        <v>38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27</v>
      </c>
      <c r="K75">
        <v>0</v>
      </c>
      <c r="L75">
        <v>0</v>
      </c>
      <c r="M75" t="str" cm="1">
        <f t="array" ref="M75">_xlfn.IFS(I75&lt;25,"0-25",I75&lt;50,"25-50",I75&lt;75,"50-75",I75&lt;100,"75-100",I75&lt;125,"100-125",I75&gt;=125,"125+")</f>
        <v>0-25</v>
      </c>
    </row>
    <row r="76" spans="1:13" x14ac:dyDescent="0.25">
      <c r="A76" t="s">
        <v>160</v>
      </c>
      <c r="B76" t="s">
        <v>161</v>
      </c>
      <c r="C76" s="1">
        <v>45471</v>
      </c>
      <c r="D76" t="s">
        <v>30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18</v>
      </c>
      <c r="K76">
        <v>116</v>
      </c>
      <c r="L76">
        <v>1</v>
      </c>
      <c r="M76" t="str" cm="1">
        <f t="array" ref="M76">_xlfn.IFS(I76&lt;25,"0-25",I76&lt;50,"25-50",I76&lt;75,"50-75",I76&lt;100,"75-100",I76&lt;125,"100-125",I76&gt;=125,"125+")</f>
        <v>50-75</v>
      </c>
    </row>
    <row r="77" spans="1:13" x14ac:dyDescent="0.25">
      <c r="A77" t="s">
        <v>162</v>
      </c>
      <c r="B77" t="s">
        <v>163</v>
      </c>
      <c r="C77" s="1">
        <v>45763</v>
      </c>
      <c r="D77" t="s">
        <v>14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27</v>
      </c>
      <c r="K77">
        <v>0</v>
      </c>
      <c r="L77">
        <v>0</v>
      </c>
      <c r="M77" t="str" cm="1">
        <f t="array" ref="M77">_xlfn.IFS(I77&lt;25,"0-25",I77&lt;50,"25-50",I77&lt;75,"50-75",I77&lt;100,"75-100",I77&lt;125,"100-125",I77&gt;=125,"125+")</f>
        <v>50-75</v>
      </c>
    </row>
    <row r="78" spans="1:13" x14ac:dyDescent="0.25">
      <c r="A78" t="s">
        <v>164</v>
      </c>
      <c r="B78" t="s">
        <v>163</v>
      </c>
      <c r="C78" s="1">
        <v>45615</v>
      </c>
      <c r="D78" t="s">
        <v>17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27</v>
      </c>
      <c r="K78">
        <v>0</v>
      </c>
      <c r="L78">
        <v>0</v>
      </c>
      <c r="M78" t="str" cm="1">
        <f t="array" ref="M78">_xlfn.IFS(I78&lt;25,"0-25",I78&lt;50,"25-50",I78&lt;75,"50-75",I78&lt;100,"75-100",I78&lt;125,"100-125",I78&gt;=125,"125+")</f>
        <v>0-25</v>
      </c>
    </row>
    <row r="79" spans="1:13" x14ac:dyDescent="0.25">
      <c r="A79" t="s">
        <v>165</v>
      </c>
      <c r="B79" t="s">
        <v>166</v>
      </c>
      <c r="C79" s="1">
        <v>45676</v>
      </c>
      <c r="D79" t="s">
        <v>30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27</v>
      </c>
      <c r="K79">
        <v>0</v>
      </c>
      <c r="L79">
        <v>0</v>
      </c>
      <c r="M79" t="str" cm="1">
        <f t="array" ref="M79">_xlfn.IFS(I79&lt;25,"0-25",I79&lt;50,"25-50",I79&lt;75,"50-75",I79&lt;100,"75-100",I79&lt;125,"100-125",I79&gt;=125,"125+")</f>
        <v>25-50</v>
      </c>
    </row>
    <row r="80" spans="1:13" x14ac:dyDescent="0.25">
      <c r="A80" t="s">
        <v>167</v>
      </c>
      <c r="B80" t="s">
        <v>168</v>
      </c>
      <c r="C80" s="1">
        <v>45614</v>
      </c>
      <c r="D80" t="s">
        <v>47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27</v>
      </c>
      <c r="K80">
        <v>0</v>
      </c>
      <c r="L80">
        <v>0</v>
      </c>
      <c r="M80" t="str" cm="1">
        <f t="array" ref="M80">_xlfn.IFS(I80&lt;25,"0-25",I80&lt;50,"25-50",I80&lt;75,"50-75",I80&lt;100,"75-100",I80&lt;125,"100-125",I80&gt;=125,"125+")</f>
        <v>25-50</v>
      </c>
    </row>
    <row r="81" spans="1:13" x14ac:dyDescent="0.25">
      <c r="A81" t="s">
        <v>169</v>
      </c>
      <c r="B81" t="s">
        <v>170</v>
      </c>
      <c r="C81" s="1">
        <v>45471</v>
      </c>
      <c r="D81" t="s">
        <v>30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18</v>
      </c>
      <c r="K81">
        <v>39</v>
      </c>
      <c r="L81">
        <v>1</v>
      </c>
      <c r="M81" t="str" cm="1">
        <f t="array" ref="M81">_xlfn.IFS(I81&lt;25,"0-25",I81&lt;50,"25-50",I81&lt;75,"50-75",I81&lt;100,"75-100",I81&lt;125,"100-125",I81&gt;=125,"125+")</f>
        <v>75-100</v>
      </c>
    </row>
    <row r="82" spans="1:13" x14ac:dyDescent="0.25">
      <c r="A82" t="s">
        <v>171</v>
      </c>
      <c r="B82" t="s">
        <v>170</v>
      </c>
      <c r="C82" s="1">
        <v>45804</v>
      </c>
      <c r="D82" t="s">
        <v>38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18</v>
      </c>
      <c r="K82">
        <v>117</v>
      </c>
      <c r="L82">
        <v>1</v>
      </c>
      <c r="M82" t="str" cm="1">
        <f t="array" ref="M82">_xlfn.IFS(I82&lt;25,"0-25",I82&lt;50,"25-50",I82&lt;75,"50-75",I82&lt;100,"75-100",I82&lt;125,"100-125",I82&gt;=125,"125+")</f>
        <v>75-100</v>
      </c>
    </row>
    <row r="83" spans="1:13" x14ac:dyDescent="0.25">
      <c r="A83" t="s">
        <v>172</v>
      </c>
      <c r="B83" t="s">
        <v>173</v>
      </c>
      <c r="C83" s="1">
        <v>45820</v>
      </c>
      <c r="D83" t="s">
        <v>21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15</v>
      </c>
      <c r="K83">
        <v>0</v>
      </c>
      <c r="L83">
        <v>0</v>
      </c>
      <c r="M83" t="str" cm="1">
        <f t="array" ref="M83">_xlfn.IFS(I83&lt;25,"0-25",I83&lt;50,"25-50",I83&lt;75,"50-75",I83&lt;100,"75-100",I83&lt;125,"100-125",I83&gt;=125,"125+")</f>
        <v>75-100</v>
      </c>
    </row>
    <row r="84" spans="1:13" x14ac:dyDescent="0.25">
      <c r="A84" t="s">
        <v>174</v>
      </c>
      <c r="B84" t="s">
        <v>173</v>
      </c>
      <c r="C84" s="1">
        <v>45337</v>
      </c>
      <c r="D84" t="s">
        <v>14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27</v>
      </c>
      <c r="K84">
        <v>0</v>
      </c>
      <c r="L84">
        <v>0</v>
      </c>
      <c r="M84" t="str" cm="1">
        <f t="array" ref="M84">_xlfn.IFS(I84&lt;25,"0-25",I84&lt;50,"25-50",I84&lt;75,"50-75",I84&lt;100,"75-100",I84&lt;125,"100-125",I84&gt;=125,"125+")</f>
        <v>100-125</v>
      </c>
    </row>
    <row r="85" spans="1:13" x14ac:dyDescent="0.25">
      <c r="A85" t="s">
        <v>175</v>
      </c>
      <c r="B85" t="s">
        <v>176</v>
      </c>
      <c r="C85" s="1">
        <v>45611</v>
      </c>
      <c r="D85" t="s">
        <v>41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27</v>
      </c>
      <c r="K85">
        <v>0</v>
      </c>
      <c r="L85">
        <v>0</v>
      </c>
      <c r="M85" t="str" cm="1">
        <f t="array" ref="M85">_xlfn.IFS(I85&lt;25,"0-25",I85&lt;50,"25-50",I85&lt;75,"50-75",I85&lt;100,"75-100",I85&lt;125,"100-125",I85&gt;=125,"125+")</f>
        <v>25-50</v>
      </c>
    </row>
    <row r="86" spans="1:13" x14ac:dyDescent="0.25">
      <c r="A86" t="s">
        <v>177</v>
      </c>
      <c r="B86" t="s">
        <v>178</v>
      </c>
      <c r="C86" s="1">
        <v>45453</v>
      </c>
      <c r="D86" t="s">
        <v>21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62</v>
      </c>
      <c r="K86">
        <v>0</v>
      </c>
      <c r="L86">
        <v>0</v>
      </c>
      <c r="M86" t="str" cm="1">
        <f t="array" ref="M86">_xlfn.IFS(I86&lt;25,"0-25",I86&lt;50,"25-50",I86&lt;75,"50-75",I86&lt;100,"75-100",I86&lt;125,"100-125",I86&gt;=125,"125+")</f>
        <v>50-75</v>
      </c>
    </row>
    <row r="87" spans="1:13" x14ac:dyDescent="0.25">
      <c r="A87" t="s">
        <v>179</v>
      </c>
      <c r="B87" t="s">
        <v>180</v>
      </c>
      <c r="C87" s="1">
        <v>45582</v>
      </c>
      <c r="D87" t="s">
        <v>38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27</v>
      </c>
      <c r="K87">
        <v>0</v>
      </c>
      <c r="L87">
        <v>0</v>
      </c>
      <c r="M87" t="str" cm="1">
        <f t="array" ref="M87">_xlfn.IFS(I87&lt;25,"0-25",I87&lt;50,"25-50",I87&lt;75,"50-75",I87&lt;100,"75-100",I87&lt;125,"100-125",I87&gt;=125,"125+")</f>
        <v>25-50</v>
      </c>
    </row>
    <row r="88" spans="1:13" x14ac:dyDescent="0.25">
      <c r="A88" t="s">
        <v>181</v>
      </c>
      <c r="B88" t="s">
        <v>182</v>
      </c>
      <c r="C88" s="1">
        <v>45343</v>
      </c>
      <c r="D88" t="s">
        <v>21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27</v>
      </c>
      <c r="K88">
        <v>0</v>
      </c>
      <c r="L88">
        <v>0</v>
      </c>
      <c r="M88" t="str" cm="1">
        <f t="array" ref="M88">_xlfn.IFS(I88&lt;25,"0-25",I88&lt;50,"25-50",I88&lt;75,"50-75",I88&lt;100,"75-100",I88&lt;125,"100-125",I88&gt;=125,"125+")</f>
        <v>25-50</v>
      </c>
    </row>
    <row r="89" spans="1:13" x14ac:dyDescent="0.25">
      <c r="A89" t="s">
        <v>183</v>
      </c>
      <c r="B89" t="s">
        <v>182</v>
      </c>
      <c r="C89" s="1">
        <v>45611</v>
      </c>
      <c r="D89" t="s">
        <v>33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15</v>
      </c>
      <c r="K89">
        <v>0</v>
      </c>
      <c r="L89">
        <v>0</v>
      </c>
      <c r="M89" t="str" cm="1">
        <f t="array" ref="M89">_xlfn.IFS(I89&lt;25,"0-25",I89&lt;50,"25-50",I89&lt;75,"50-75",I89&lt;100,"75-100",I89&lt;125,"100-125",I89&gt;=125,"125+")</f>
        <v>25-50</v>
      </c>
    </row>
    <row r="90" spans="1:13" x14ac:dyDescent="0.25">
      <c r="A90" t="s">
        <v>184</v>
      </c>
      <c r="B90" t="s">
        <v>185</v>
      </c>
      <c r="C90" s="1">
        <v>45387</v>
      </c>
      <c r="D90" t="s">
        <v>36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62</v>
      </c>
      <c r="K90">
        <v>15</v>
      </c>
      <c r="L90">
        <v>0</v>
      </c>
      <c r="M90" t="str" cm="1">
        <f t="array" ref="M90">_xlfn.IFS(I90&lt;25,"0-25",I90&lt;50,"25-50",I90&lt;75,"50-75",I90&lt;100,"75-100",I90&lt;125,"100-125",I90&gt;=125,"125+")</f>
        <v>50-75</v>
      </c>
    </row>
    <row r="91" spans="1:13" x14ac:dyDescent="0.25">
      <c r="A91" t="s">
        <v>186</v>
      </c>
      <c r="B91" t="s">
        <v>185</v>
      </c>
      <c r="C91" s="1">
        <v>45521</v>
      </c>
      <c r="D91" t="s">
        <v>14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62</v>
      </c>
      <c r="K91">
        <v>15</v>
      </c>
      <c r="L91">
        <v>0</v>
      </c>
      <c r="M91" t="str" cm="1">
        <f t="array" ref="M91">_xlfn.IFS(I91&lt;25,"0-25",I91&lt;50,"25-50",I91&lt;75,"50-75",I91&lt;100,"75-100",I91&lt;125,"100-125",I91&gt;=125,"125+")</f>
        <v>25-50</v>
      </c>
    </row>
    <row r="92" spans="1:13" x14ac:dyDescent="0.25">
      <c r="A92" t="s">
        <v>187</v>
      </c>
      <c r="B92" t="s">
        <v>188</v>
      </c>
      <c r="C92" s="1">
        <v>45322</v>
      </c>
      <c r="D92" t="s">
        <v>33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18</v>
      </c>
      <c r="K92">
        <v>58</v>
      </c>
      <c r="L92">
        <v>1</v>
      </c>
      <c r="M92" t="str" cm="1">
        <f t="array" ref="M92">_xlfn.IFS(I92&lt;25,"0-25",I92&lt;50,"25-50",I92&lt;75,"50-75",I92&lt;100,"75-100",I92&lt;125,"100-125",I92&gt;=125,"125+")</f>
        <v>50-75</v>
      </c>
    </row>
    <row r="93" spans="1:13" x14ac:dyDescent="0.25">
      <c r="A93" t="s">
        <v>189</v>
      </c>
      <c r="B93" t="s">
        <v>190</v>
      </c>
      <c r="C93" s="1">
        <v>45422</v>
      </c>
      <c r="D93" t="s">
        <v>14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15</v>
      </c>
      <c r="K93">
        <v>0</v>
      </c>
      <c r="L93">
        <v>0</v>
      </c>
      <c r="M93" t="str" cm="1">
        <f t="array" ref="M93">_xlfn.IFS(I93&lt;25,"0-25",I93&lt;50,"25-50",I93&lt;75,"50-75",I93&lt;100,"75-100",I93&lt;125,"100-125",I93&gt;=125,"125+")</f>
        <v>25-50</v>
      </c>
    </row>
    <row r="94" spans="1:13" x14ac:dyDescent="0.25">
      <c r="A94" t="s">
        <v>191</v>
      </c>
      <c r="B94" t="s">
        <v>192</v>
      </c>
      <c r="C94" s="1">
        <v>45715</v>
      </c>
      <c r="D94" t="s">
        <v>21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18</v>
      </c>
      <c r="K94">
        <v>92</v>
      </c>
      <c r="L94">
        <v>1</v>
      </c>
      <c r="M94" t="str" cm="1">
        <f t="array" ref="M94">_xlfn.IFS(I94&lt;25,"0-25",I94&lt;50,"25-50",I94&lt;75,"50-75",I94&lt;100,"75-100",I94&lt;125,"100-125",I94&gt;=125,"125+")</f>
        <v>50-75</v>
      </c>
    </row>
    <row r="95" spans="1:13" x14ac:dyDescent="0.25">
      <c r="A95" t="s">
        <v>193</v>
      </c>
      <c r="B95" t="s">
        <v>194</v>
      </c>
      <c r="C95" s="1">
        <v>45737</v>
      </c>
      <c r="D95" t="s">
        <v>14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62</v>
      </c>
      <c r="K95">
        <v>0</v>
      </c>
      <c r="L95">
        <v>0</v>
      </c>
      <c r="M95" t="str" cm="1">
        <f t="array" ref="M95">_xlfn.IFS(I95&lt;25,"0-25",I95&lt;50,"25-50",I95&lt;75,"50-75",I95&lt;100,"75-100",I95&lt;125,"100-125",I95&gt;=125,"125+")</f>
        <v>50-75</v>
      </c>
    </row>
    <row r="96" spans="1:13" x14ac:dyDescent="0.25">
      <c r="A96" t="s">
        <v>195</v>
      </c>
      <c r="B96" t="s">
        <v>196</v>
      </c>
      <c r="C96" s="1">
        <v>45766</v>
      </c>
      <c r="D96" t="s">
        <v>36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27</v>
      </c>
      <c r="K96">
        <v>0</v>
      </c>
      <c r="L96">
        <v>0</v>
      </c>
      <c r="M96" t="str" cm="1">
        <f t="array" ref="M96">_xlfn.IFS(I96&lt;25,"0-25",I96&lt;50,"25-50",I96&lt;75,"50-75",I96&lt;100,"75-100",I96&lt;125,"100-125",I96&gt;=125,"125+")</f>
        <v>0-25</v>
      </c>
    </row>
    <row r="97" spans="1:13" x14ac:dyDescent="0.25">
      <c r="A97" t="s">
        <v>197</v>
      </c>
      <c r="B97" t="s">
        <v>198</v>
      </c>
      <c r="C97" s="1">
        <v>45680</v>
      </c>
      <c r="D97" t="s">
        <v>17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27</v>
      </c>
      <c r="K97">
        <v>0</v>
      </c>
      <c r="L97">
        <v>0</v>
      </c>
      <c r="M97" t="str" cm="1">
        <f t="array" ref="M97">_xlfn.IFS(I97&lt;25,"0-25",I97&lt;50,"25-50",I97&lt;75,"50-75",I97&lt;100,"75-100",I97&lt;125,"100-125",I97&gt;=125,"125+")</f>
        <v>25-50</v>
      </c>
    </row>
    <row r="98" spans="1:13" x14ac:dyDescent="0.25">
      <c r="A98" t="s">
        <v>199</v>
      </c>
      <c r="B98" t="s">
        <v>200</v>
      </c>
      <c r="C98" s="1">
        <v>45444</v>
      </c>
      <c r="D98" t="s">
        <v>33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62</v>
      </c>
      <c r="K98">
        <v>0</v>
      </c>
      <c r="L98">
        <v>0</v>
      </c>
      <c r="M98" t="str" cm="1">
        <f t="array" ref="M98">_xlfn.IFS(I98&lt;25,"0-25",I98&lt;50,"25-50",I98&lt;75,"50-75",I98&lt;100,"75-100",I98&lt;125,"100-125",I98&gt;=125,"125+")</f>
        <v>75-100</v>
      </c>
    </row>
    <row r="99" spans="1:13" x14ac:dyDescent="0.25">
      <c r="A99" t="s">
        <v>201</v>
      </c>
      <c r="B99" t="s">
        <v>202</v>
      </c>
      <c r="C99" s="1">
        <v>45603</v>
      </c>
      <c r="D99" t="s">
        <v>38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62</v>
      </c>
      <c r="K99">
        <v>15</v>
      </c>
      <c r="L99">
        <v>0</v>
      </c>
      <c r="M99" t="str" cm="1">
        <f t="array" ref="M99">_xlfn.IFS(I99&lt;25,"0-25",I99&lt;50,"25-50",I99&lt;75,"50-75",I99&lt;100,"75-100",I99&lt;125,"100-125",I99&gt;=125,"125+")</f>
        <v>25-50</v>
      </c>
    </row>
    <row r="100" spans="1:13" x14ac:dyDescent="0.25">
      <c r="A100" t="s">
        <v>203</v>
      </c>
      <c r="B100" t="s">
        <v>204</v>
      </c>
      <c r="C100" s="1">
        <v>45422</v>
      </c>
      <c r="D100" t="s">
        <v>36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15</v>
      </c>
      <c r="K100">
        <v>0</v>
      </c>
      <c r="L100">
        <v>0</v>
      </c>
      <c r="M100" t="str" cm="1">
        <f t="array" ref="M100">_xlfn.IFS(I100&lt;25,"0-25",I100&lt;50,"25-50",I100&lt;75,"50-75",I100&lt;100,"75-100",I100&lt;125,"100-125",I100&gt;=125,"125+")</f>
        <v>50-75</v>
      </c>
    </row>
    <row r="101" spans="1:13" x14ac:dyDescent="0.25">
      <c r="A101" t="s">
        <v>205</v>
      </c>
      <c r="B101" t="s">
        <v>204</v>
      </c>
      <c r="C101" s="1">
        <v>45580</v>
      </c>
      <c r="D101" t="s">
        <v>41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15</v>
      </c>
      <c r="K101">
        <v>0</v>
      </c>
      <c r="L101">
        <v>0</v>
      </c>
      <c r="M101" t="str" cm="1">
        <f t="array" ref="M101">_xlfn.IFS(I101&lt;25,"0-25",I101&lt;50,"25-50",I101&lt;75,"50-75",I101&lt;100,"75-100",I101&lt;125,"100-125",I101&gt;=125,"125+")</f>
        <v>50-75</v>
      </c>
    </row>
    <row r="102" spans="1:13" x14ac:dyDescent="0.25">
      <c r="A102" t="s">
        <v>206</v>
      </c>
      <c r="B102" t="s">
        <v>207</v>
      </c>
      <c r="C102" s="1">
        <v>45469</v>
      </c>
      <c r="D102" t="s">
        <v>30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18</v>
      </c>
      <c r="K102">
        <v>78</v>
      </c>
      <c r="L102">
        <v>1</v>
      </c>
      <c r="M102" t="str" cm="1">
        <f t="array" ref="M102">_xlfn.IFS(I102&lt;25,"0-25",I102&lt;50,"25-50",I102&lt;75,"50-75",I102&lt;100,"75-100",I102&lt;125,"100-125",I102&gt;=125,"125+")</f>
        <v>50-75</v>
      </c>
    </row>
    <row r="103" spans="1:13" x14ac:dyDescent="0.25">
      <c r="A103" t="s">
        <v>208</v>
      </c>
      <c r="B103" t="s">
        <v>209</v>
      </c>
      <c r="C103" s="1">
        <v>45365</v>
      </c>
      <c r="D103" t="s">
        <v>30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15</v>
      </c>
      <c r="K103">
        <v>0</v>
      </c>
      <c r="L103">
        <v>0</v>
      </c>
      <c r="M103" t="str" cm="1">
        <f t="array" ref="M103">_xlfn.IFS(I103&lt;25,"0-25",I103&lt;50,"25-50",I103&lt;75,"50-75",I103&lt;100,"75-100",I103&lt;125,"100-125",I103&gt;=125,"125+")</f>
        <v>50-75</v>
      </c>
    </row>
    <row r="104" spans="1:13" x14ac:dyDescent="0.25">
      <c r="A104" t="s">
        <v>210</v>
      </c>
      <c r="B104" t="s">
        <v>211</v>
      </c>
      <c r="C104" s="1">
        <v>45727</v>
      </c>
      <c r="D104" t="s">
        <v>33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27</v>
      </c>
      <c r="K104">
        <v>0</v>
      </c>
      <c r="L104">
        <v>0</v>
      </c>
      <c r="M104" t="str" cm="1">
        <f t="array" ref="M104">_xlfn.IFS(I104&lt;25,"0-25",I104&lt;50,"25-50",I104&lt;75,"50-75",I104&lt;100,"75-100",I104&lt;125,"100-125",I104&gt;=125,"125+")</f>
        <v>0-25</v>
      </c>
    </row>
    <row r="105" spans="1:13" x14ac:dyDescent="0.25">
      <c r="A105" t="s">
        <v>212</v>
      </c>
      <c r="B105" t="s">
        <v>213</v>
      </c>
      <c r="C105" s="1">
        <v>45802</v>
      </c>
      <c r="D105" t="s">
        <v>17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27</v>
      </c>
      <c r="K105">
        <v>0</v>
      </c>
      <c r="L105">
        <v>0</v>
      </c>
      <c r="M105" t="str" cm="1">
        <f t="array" ref="M105">_xlfn.IFS(I105&lt;25,"0-25",I105&lt;50,"25-50",I105&lt;75,"50-75",I105&lt;100,"75-100",I105&lt;125,"100-125",I105&gt;=125,"125+")</f>
        <v>25-50</v>
      </c>
    </row>
    <row r="106" spans="1:13" x14ac:dyDescent="0.25">
      <c r="A106" t="s">
        <v>214</v>
      </c>
      <c r="B106" t="s">
        <v>213</v>
      </c>
      <c r="C106" s="1">
        <v>45786</v>
      </c>
      <c r="D106" t="s">
        <v>17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27</v>
      </c>
      <c r="K106">
        <v>0</v>
      </c>
      <c r="L106">
        <v>0</v>
      </c>
      <c r="M106" t="str" cm="1">
        <f t="array" ref="M106">_xlfn.IFS(I106&lt;25,"0-25",I106&lt;50,"25-50",I106&lt;75,"50-75",I106&lt;100,"75-100",I106&lt;125,"100-125",I106&gt;=125,"125+")</f>
        <v>75-100</v>
      </c>
    </row>
    <row r="107" spans="1:13" x14ac:dyDescent="0.25">
      <c r="A107" t="s">
        <v>215</v>
      </c>
      <c r="B107" t="s">
        <v>216</v>
      </c>
      <c r="C107" s="1">
        <v>45372</v>
      </c>
      <c r="D107" t="s">
        <v>33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27</v>
      </c>
      <c r="K107">
        <v>0</v>
      </c>
      <c r="L107">
        <v>0</v>
      </c>
      <c r="M107" t="str" cm="1">
        <f t="array" ref="M107">_xlfn.IFS(I107&lt;25,"0-25",I107&lt;50,"25-50",I107&lt;75,"50-75",I107&lt;100,"75-100",I107&lt;125,"100-125",I107&gt;=125,"125+")</f>
        <v>50-75</v>
      </c>
    </row>
    <row r="108" spans="1:13" x14ac:dyDescent="0.25">
      <c r="A108" t="s">
        <v>217</v>
      </c>
      <c r="B108" t="s">
        <v>218</v>
      </c>
      <c r="C108" s="1">
        <v>45346</v>
      </c>
      <c r="D108" t="s">
        <v>36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27</v>
      </c>
      <c r="K108">
        <v>0</v>
      </c>
      <c r="L108">
        <v>0</v>
      </c>
      <c r="M108" t="str" cm="1">
        <f t="array" ref="M108">_xlfn.IFS(I108&lt;25,"0-25",I108&lt;50,"25-50",I108&lt;75,"50-75",I108&lt;100,"75-100",I108&lt;125,"100-125",I108&gt;=125,"125+")</f>
        <v>25-50</v>
      </c>
    </row>
    <row r="109" spans="1:13" x14ac:dyDescent="0.25">
      <c r="A109" t="s">
        <v>219</v>
      </c>
      <c r="B109" t="s">
        <v>220</v>
      </c>
      <c r="C109" s="1">
        <v>45593</v>
      </c>
      <c r="D109" t="s">
        <v>14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18</v>
      </c>
      <c r="K109">
        <v>39</v>
      </c>
      <c r="L109">
        <v>1</v>
      </c>
      <c r="M109" t="str" cm="1">
        <f t="array" ref="M109">_xlfn.IFS(I109&lt;25,"0-25",I109&lt;50,"25-50",I109&lt;75,"50-75",I109&lt;100,"75-100",I109&lt;125,"100-125",I109&gt;=125,"125+")</f>
        <v>25-50</v>
      </c>
    </row>
    <row r="110" spans="1:13" x14ac:dyDescent="0.25">
      <c r="A110" t="s">
        <v>221</v>
      </c>
      <c r="B110" t="s">
        <v>222</v>
      </c>
      <c r="C110" s="1">
        <v>45776</v>
      </c>
      <c r="D110" t="s">
        <v>47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62</v>
      </c>
      <c r="K110">
        <v>0</v>
      </c>
      <c r="L110">
        <v>0</v>
      </c>
      <c r="M110" t="str" cm="1">
        <f t="array" ref="M110">_xlfn.IFS(I110&lt;25,"0-25",I110&lt;50,"25-50",I110&lt;75,"50-75",I110&lt;100,"75-100",I110&lt;125,"100-125",I110&gt;=125,"125+")</f>
        <v>25-50</v>
      </c>
    </row>
    <row r="111" spans="1:13" x14ac:dyDescent="0.25">
      <c r="A111" t="s">
        <v>223</v>
      </c>
      <c r="B111" t="s">
        <v>224</v>
      </c>
      <c r="C111" s="1">
        <v>45576</v>
      </c>
      <c r="D111" t="s">
        <v>47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18</v>
      </c>
      <c r="K111">
        <v>101</v>
      </c>
      <c r="L111">
        <v>1</v>
      </c>
      <c r="M111" t="str" cm="1">
        <f t="array" ref="M111">_xlfn.IFS(I111&lt;25,"0-25",I111&lt;50,"25-50",I111&lt;75,"50-75",I111&lt;100,"75-100",I111&lt;125,"100-125",I111&gt;=125,"125+")</f>
        <v>25-50</v>
      </c>
    </row>
    <row r="112" spans="1:13" x14ac:dyDescent="0.25">
      <c r="A112" t="s">
        <v>225</v>
      </c>
      <c r="B112" t="s">
        <v>226</v>
      </c>
      <c r="C112" s="1">
        <v>45446</v>
      </c>
      <c r="D112" t="s">
        <v>24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27</v>
      </c>
      <c r="K112">
        <v>0</v>
      </c>
      <c r="L112">
        <v>0</v>
      </c>
      <c r="M112" t="str" cm="1">
        <f t="array" ref="M112">_xlfn.IFS(I112&lt;25,"0-25",I112&lt;50,"25-50",I112&lt;75,"50-75",I112&lt;100,"75-100",I112&lt;125,"100-125",I112&gt;=125,"125+")</f>
        <v>25-50</v>
      </c>
    </row>
    <row r="113" spans="1:13" x14ac:dyDescent="0.25">
      <c r="A113" t="s">
        <v>227</v>
      </c>
      <c r="B113" t="s">
        <v>228</v>
      </c>
      <c r="C113" s="1">
        <v>45378</v>
      </c>
      <c r="D113" t="s">
        <v>38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15</v>
      </c>
      <c r="K113">
        <v>0</v>
      </c>
      <c r="L113">
        <v>0</v>
      </c>
      <c r="M113" t="str" cm="1">
        <f t="array" ref="M113">_xlfn.IFS(I113&lt;25,"0-25",I113&lt;50,"25-50",I113&lt;75,"50-75",I113&lt;100,"75-100",I113&lt;125,"100-125",I113&gt;=125,"125+")</f>
        <v>75-100</v>
      </c>
    </row>
    <row r="114" spans="1:13" x14ac:dyDescent="0.25">
      <c r="A114" t="s">
        <v>229</v>
      </c>
      <c r="B114" t="s">
        <v>230</v>
      </c>
      <c r="C114" s="1">
        <v>45463</v>
      </c>
      <c r="D114" t="s">
        <v>17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18</v>
      </c>
      <c r="K114">
        <v>118</v>
      </c>
      <c r="L114">
        <v>1</v>
      </c>
      <c r="M114" t="str" cm="1">
        <f t="array" ref="M114">_xlfn.IFS(I114&lt;25,"0-25",I114&lt;50,"25-50",I114&lt;75,"50-75",I114&lt;100,"75-100",I114&lt;125,"100-125",I114&gt;=125,"125+")</f>
        <v>50-75</v>
      </c>
    </row>
    <row r="115" spans="1:13" x14ac:dyDescent="0.25">
      <c r="A115" t="s">
        <v>231</v>
      </c>
      <c r="B115" t="s">
        <v>230</v>
      </c>
      <c r="C115" s="1">
        <v>45767</v>
      </c>
      <c r="D115" t="s">
        <v>41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18</v>
      </c>
      <c r="K115">
        <v>107</v>
      </c>
      <c r="L115">
        <v>1</v>
      </c>
      <c r="M115" t="str" cm="1">
        <f t="array" ref="M115">_xlfn.IFS(I115&lt;25,"0-25",I115&lt;50,"25-50",I115&lt;75,"50-75",I115&lt;100,"75-100",I115&lt;125,"100-125",I115&gt;=125,"125+")</f>
        <v>125+</v>
      </c>
    </row>
    <row r="116" spans="1:13" x14ac:dyDescent="0.25">
      <c r="A116" t="s">
        <v>232</v>
      </c>
      <c r="B116" t="s">
        <v>233</v>
      </c>
      <c r="C116" s="1">
        <v>45440</v>
      </c>
      <c r="D116" t="s">
        <v>21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27</v>
      </c>
      <c r="K116">
        <v>0</v>
      </c>
      <c r="L116">
        <v>0</v>
      </c>
      <c r="M116" t="str" cm="1">
        <f t="array" ref="M116">_xlfn.IFS(I116&lt;25,"0-25",I116&lt;50,"25-50",I116&lt;75,"50-75",I116&lt;100,"75-100",I116&lt;125,"100-125",I116&gt;=125,"125+")</f>
        <v>50-75</v>
      </c>
    </row>
    <row r="117" spans="1:13" x14ac:dyDescent="0.25">
      <c r="A117" t="s">
        <v>234</v>
      </c>
      <c r="B117" t="s">
        <v>235</v>
      </c>
      <c r="C117" s="1">
        <v>45836</v>
      </c>
      <c r="D117" t="s">
        <v>17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62</v>
      </c>
      <c r="K117">
        <v>30</v>
      </c>
      <c r="L117">
        <v>0</v>
      </c>
      <c r="M117" t="str" cm="1">
        <f t="array" ref="M117">_xlfn.IFS(I117&lt;25,"0-25",I117&lt;50,"25-50",I117&lt;75,"50-75",I117&lt;100,"75-100",I117&lt;125,"100-125",I117&gt;=125,"125+")</f>
        <v>75-100</v>
      </c>
    </row>
    <row r="118" spans="1:13" x14ac:dyDescent="0.25">
      <c r="A118" t="s">
        <v>236</v>
      </c>
      <c r="B118" t="s">
        <v>237</v>
      </c>
      <c r="C118" s="1">
        <v>45692</v>
      </c>
      <c r="D118" t="s">
        <v>24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27</v>
      </c>
      <c r="K118">
        <v>0</v>
      </c>
      <c r="L118">
        <v>0</v>
      </c>
      <c r="M118" t="str" cm="1">
        <f t="array" ref="M118">_xlfn.IFS(I118&lt;25,"0-25",I118&lt;50,"25-50",I118&lt;75,"50-75",I118&lt;100,"75-100",I118&lt;125,"100-125",I118&gt;=125,"125+")</f>
        <v>25-50</v>
      </c>
    </row>
    <row r="119" spans="1:13" x14ac:dyDescent="0.25">
      <c r="A119" t="s">
        <v>238</v>
      </c>
      <c r="B119" t="s">
        <v>237</v>
      </c>
      <c r="C119" s="1">
        <v>45302</v>
      </c>
      <c r="D119" t="s">
        <v>47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27</v>
      </c>
      <c r="K119">
        <v>0</v>
      </c>
      <c r="L119">
        <v>0</v>
      </c>
      <c r="M119" t="str" cm="1">
        <f t="array" ref="M119">_xlfn.IFS(I119&lt;25,"0-25",I119&lt;50,"25-50",I119&lt;75,"50-75",I119&lt;100,"75-100",I119&lt;125,"100-125",I119&gt;=125,"125+")</f>
        <v>25-50</v>
      </c>
    </row>
    <row r="120" spans="1:13" x14ac:dyDescent="0.25">
      <c r="A120" t="s">
        <v>239</v>
      </c>
      <c r="B120" t="s">
        <v>240</v>
      </c>
      <c r="C120" s="1">
        <v>45326</v>
      </c>
      <c r="D120" t="s">
        <v>36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18</v>
      </c>
      <c r="K120">
        <v>53</v>
      </c>
      <c r="L120">
        <v>1</v>
      </c>
      <c r="M120" t="str" cm="1">
        <f t="array" ref="M120">_xlfn.IFS(I120&lt;25,"0-25",I120&lt;50,"25-50",I120&lt;75,"50-75",I120&lt;100,"75-100",I120&lt;125,"100-125",I120&gt;=125,"125+")</f>
        <v>50-75</v>
      </c>
    </row>
    <row r="121" spans="1:13" x14ac:dyDescent="0.25">
      <c r="A121" t="s">
        <v>241</v>
      </c>
      <c r="B121" t="s">
        <v>242</v>
      </c>
      <c r="C121" s="1">
        <v>45414</v>
      </c>
      <c r="D121" t="s">
        <v>47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18</v>
      </c>
      <c r="K121">
        <v>63</v>
      </c>
      <c r="L121">
        <v>1</v>
      </c>
      <c r="M121" t="str" cm="1">
        <f t="array" ref="M121">_xlfn.IFS(I121&lt;25,"0-25",I121&lt;50,"25-50",I121&lt;75,"50-75",I121&lt;100,"75-100",I121&lt;125,"100-125",I121&gt;=125,"125+")</f>
        <v>50-75</v>
      </c>
    </row>
    <row r="122" spans="1:13" x14ac:dyDescent="0.25">
      <c r="A122" t="s">
        <v>243</v>
      </c>
      <c r="B122" t="s">
        <v>244</v>
      </c>
      <c r="C122" s="1">
        <v>45551</v>
      </c>
      <c r="D122" t="s">
        <v>47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27</v>
      </c>
      <c r="K122">
        <v>0</v>
      </c>
      <c r="L122">
        <v>0</v>
      </c>
      <c r="M122" t="str" cm="1">
        <f t="array" ref="M122">_xlfn.IFS(I122&lt;25,"0-25",I122&lt;50,"25-50",I122&lt;75,"50-75",I122&lt;100,"75-100",I122&lt;125,"100-125",I122&gt;=125,"125+")</f>
        <v>50-75</v>
      </c>
    </row>
    <row r="123" spans="1:13" x14ac:dyDescent="0.25">
      <c r="A123" t="s">
        <v>245</v>
      </c>
      <c r="B123" t="s">
        <v>246</v>
      </c>
      <c r="C123" s="1">
        <v>45367</v>
      </c>
      <c r="D123" t="s">
        <v>24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18</v>
      </c>
      <c r="K123">
        <v>45</v>
      </c>
      <c r="L123">
        <v>1</v>
      </c>
      <c r="M123" t="str" cm="1">
        <f t="array" ref="M123">_xlfn.IFS(I123&lt;25,"0-25",I123&lt;50,"25-50",I123&lt;75,"50-75",I123&lt;100,"75-100",I123&lt;125,"100-125",I123&gt;=125,"125+")</f>
        <v>25-50</v>
      </c>
    </row>
    <row r="124" spans="1:13" x14ac:dyDescent="0.25">
      <c r="A124" t="s">
        <v>247</v>
      </c>
      <c r="B124" t="s">
        <v>248</v>
      </c>
      <c r="C124" s="1">
        <v>45363</v>
      </c>
      <c r="D124" t="s">
        <v>30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62</v>
      </c>
      <c r="K124">
        <v>15</v>
      </c>
      <c r="L124">
        <v>0</v>
      </c>
      <c r="M124" t="str" cm="1">
        <f t="array" ref="M124">_xlfn.IFS(I124&lt;25,"0-25",I124&lt;50,"25-50",I124&lt;75,"50-75",I124&lt;100,"75-100",I124&lt;125,"100-125",I124&gt;=125,"125+")</f>
        <v>25-50</v>
      </c>
    </row>
    <row r="125" spans="1:13" x14ac:dyDescent="0.25">
      <c r="A125" t="s">
        <v>249</v>
      </c>
      <c r="B125" t="s">
        <v>250</v>
      </c>
      <c r="C125" s="1">
        <v>45400</v>
      </c>
      <c r="D125" t="s">
        <v>14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27</v>
      </c>
      <c r="K125">
        <v>0</v>
      </c>
      <c r="L125">
        <v>0</v>
      </c>
      <c r="M125" t="str" cm="1">
        <f t="array" ref="M125">_xlfn.IFS(I125&lt;25,"0-25",I125&lt;50,"25-50",I125&lt;75,"50-75",I125&lt;100,"75-100",I125&lt;125,"100-125",I125&gt;=125,"125+")</f>
        <v>50-75</v>
      </c>
    </row>
    <row r="126" spans="1:13" x14ac:dyDescent="0.25">
      <c r="A126" t="s">
        <v>251</v>
      </c>
      <c r="B126" t="s">
        <v>252</v>
      </c>
      <c r="C126" s="1">
        <v>45444</v>
      </c>
      <c r="D126" t="s">
        <v>47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27</v>
      </c>
      <c r="K126">
        <v>0</v>
      </c>
      <c r="L126">
        <v>0</v>
      </c>
      <c r="M126" t="str" cm="1">
        <f t="array" ref="M126">_xlfn.IFS(I126&lt;25,"0-25",I126&lt;50,"25-50",I126&lt;75,"50-75",I126&lt;100,"75-100",I126&lt;125,"100-125",I126&gt;=125,"125+")</f>
        <v>75-100</v>
      </c>
    </row>
    <row r="127" spans="1:13" x14ac:dyDescent="0.25">
      <c r="A127" t="s">
        <v>253</v>
      </c>
      <c r="B127" t="s">
        <v>254</v>
      </c>
      <c r="C127" s="1">
        <v>45794</v>
      </c>
      <c r="D127" t="s">
        <v>33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15</v>
      </c>
      <c r="K127">
        <v>0</v>
      </c>
      <c r="L127">
        <v>0</v>
      </c>
      <c r="M127" t="str" cm="1">
        <f t="array" ref="M127">_xlfn.IFS(I127&lt;25,"0-25",I127&lt;50,"25-50",I127&lt;75,"50-75",I127&lt;100,"75-100",I127&lt;125,"100-125",I127&gt;=125,"125+")</f>
        <v>50-75</v>
      </c>
    </row>
    <row r="128" spans="1:13" x14ac:dyDescent="0.25">
      <c r="A128" t="s">
        <v>255</v>
      </c>
      <c r="B128" t="s">
        <v>256</v>
      </c>
      <c r="C128" s="1">
        <v>45659</v>
      </c>
      <c r="D128" t="s">
        <v>36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27</v>
      </c>
      <c r="K128">
        <v>0</v>
      </c>
      <c r="L128">
        <v>0</v>
      </c>
      <c r="M128" t="str" cm="1">
        <f t="array" ref="M128">_xlfn.IFS(I128&lt;25,"0-25",I128&lt;50,"25-50",I128&lt;75,"50-75",I128&lt;100,"75-100",I128&lt;125,"100-125",I128&gt;=125,"125+")</f>
        <v>50-75</v>
      </c>
    </row>
    <row r="129" spans="1:13" x14ac:dyDescent="0.25">
      <c r="A129" t="s">
        <v>257</v>
      </c>
      <c r="B129" t="s">
        <v>256</v>
      </c>
      <c r="C129" s="1">
        <v>45762</v>
      </c>
      <c r="D129" t="s">
        <v>36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27</v>
      </c>
      <c r="K129">
        <v>0</v>
      </c>
      <c r="L129">
        <v>0</v>
      </c>
      <c r="M129" t="str" cm="1">
        <f t="array" ref="M129">_xlfn.IFS(I129&lt;25,"0-25",I129&lt;50,"25-50",I129&lt;75,"50-75",I129&lt;100,"75-100",I129&lt;125,"100-125",I129&gt;=125,"125+")</f>
        <v>50-75</v>
      </c>
    </row>
    <row r="130" spans="1:13" x14ac:dyDescent="0.25">
      <c r="A130" t="s">
        <v>258</v>
      </c>
      <c r="B130" t="s">
        <v>259</v>
      </c>
      <c r="C130" s="1">
        <v>45659</v>
      </c>
      <c r="D130" t="s">
        <v>17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62</v>
      </c>
      <c r="K130">
        <v>15</v>
      </c>
      <c r="L130">
        <v>0</v>
      </c>
      <c r="M130" t="str" cm="1">
        <f t="array" ref="M130">_xlfn.IFS(I130&lt;25,"0-25",I130&lt;50,"25-50",I130&lt;75,"50-75",I130&lt;100,"75-100",I130&lt;125,"100-125",I130&gt;=125,"125+")</f>
        <v>25-50</v>
      </c>
    </row>
    <row r="131" spans="1:13" x14ac:dyDescent="0.25">
      <c r="A131" t="s">
        <v>260</v>
      </c>
      <c r="B131" t="s">
        <v>261</v>
      </c>
      <c r="C131" s="1">
        <v>45690</v>
      </c>
      <c r="D131" t="s">
        <v>41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18</v>
      </c>
      <c r="K131">
        <v>168</v>
      </c>
      <c r="L131">
        <v>1</v>
      </c>
      <c r="M131" t="str" cm="1">
        <f t="array" ref="M131">_xlfn.IFS(I131&lt;25,"0-25",I131&lt;50,"25-50",I131&lt;75,"50-75",I131&lt;100,"75-100",I131&lt;125,"100-125",I131&gt;=125,"125+")</f>
        <v>25-50</v>
      </c>
    </row>
    <row r="132" spans="1:13" x14ac:dyDescent="0.25">
      <c r="A132" t="s">
        <v>262</v>
      </c>
      <c r="B132" t="s">
        <v>263</v>
      </c>
      <c r="C132" s="1">
        <v>45308</v>
      </c>
      <c r="D132" t="s">
        <v>14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18</v>
      </c>
      <c r="K132">
        <v>44</v>
      </c>
      <c r="L132">
        <v>1</v>
      </c>
      <c r="M132" t="str" cm="1">
        <f t="array" ref="M132">_xlfn.IFS(I132&lt;25,"0-25",I132&lt;50,"25-50",I132&lt;75,"50-75",I132&lt;100,"75-100",I132&lt;125,"100-125",I132&gt;=125,"125+")</f>
        <v>25-50</v>
      </c>
    </row>
    <row r="133" spans="1:13" x14ac:dyDescent="0.25">
      <c r="A133" t="s">
        <v>264</v>
      </c>
      <c r="B133" t="s">
        <v>265</v>
      </c>
      <c r="C133" s="1">
        <v>45444</v>
      </c>
      <c r="D133" t="s">
        <v>41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27</v>
      </c>
      <c r="K133">
        <v>0</v>
      </c>
      <c r="L133">
        <v>0</v>
      </c>
      <c r="M133" t="str" cm="1">
        <f t="array" ref="M133">_xlfn.IFS(I133&lt;25,"0-25",I133&lt;50,"25-50",I133&lt;75,"50-75",I133&lt;100,"75-100",I133&lt;125,"100-125",I133&gt;=125,"125+")</f>
        <v>25-50</v>
      </c>
    </row>
    <row r="134" spans="1:13" x14ac:dyDescent="0.25">
      <c r="A134" t="s">
        <v>266</v>
      </c>
      <c r="B134" t="s">
        <v>267</v>
      </c>
      <c r="C134" s="1">
        <v>45425</v>
      </c>
      <c r="D134" t="s">
        <v>14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18</v>
      </c>
      <c r="K134">
        <v>42</v>
      </c>
      <c r="L134">
        <v>1</v>
      </c>
      <c r="M134" t="str" cm="1">
        <f t="array" ref="M134">_xlfn.IFS(I134&lt;25,"0-25",I134&lt;50,"25-50",I134&lt;75,"50-75",I134&lt;100,"75-100",I134&lt;125,"100-125",I134&gt;=125,"125+")</f>
        <v>25-50</v>
      </c>
    </row>
    <row r="135" spans="1:13" x14ac:dyDescent="0.25">
      <c r="A135" t="s">
        <v>268</v>
      </c>
      <c r="B135" t="s">
        <v>269</v>
      </c>
      <c r="C135" s="1">
        <v>45400</v>
      </c>
      <c r="D135" t="s">
        <v>36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18</v>
      </c>
      <c r="K135">
        <v>86</v>
      </c>
      <c r="L135">
        <v>1</v>
      </c>
      <c r="M135" t="str" cm="1">
        <f t="array" ref="M135">_xlfn.IFS(I135&lt;25,"0-25",I135&lt;50,"25-50",I135&lt;75,"50-75",I135&lt;100,"75-100",I135&lt;125,"100-125",I135&gt;=125,"125+")</f>
        <v>0-25</v>
      </c>
    </row>
    <row r="136" spans="1:13" x14ac:dyDescent="0.25">
      <c r="A136" t="s">
        <v>270</v>
      </c>
      <c r="B136" t="s">
        <v>269</v>
      </c>
      <c r="C136" s="1">
        <v>45432</v>
      </c>
      <c r="D136" t="s">
        <v>36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62</v>
      </c>
      <c r="K136">
        <v>30</v>
      </c>
      <c r="L136">
        <v>0</v>
      </c>
      <c r="M136" t="str" cm="1">
        <f t="array" ref="M136">_xlfn.IFS(I136&lt;25,"0-25",I136&lt;50,"25-50",I136&lt;75,"50-75",I136&lt;100,"75-100",I136&lt;125,"100-125",I136&gt;=125,"125+")</f>
        <v>0-25</v>
      </c>
    </row>
    <row r="137" spans="1:13" x14ac:dyDescent="0.25">
      <c r="A137" t="s">
        <v>271</v>
      </c>
      <c r="B137" t="s">
        <v>272</v>
      </c>
      <c r="C137" s="1">
        <v>45464</v>
      </c>
      <c r="D137" t="s">
        <v>33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27</v>
      </c>
      <c r="K137">
        <v>0</v>
      </c>
      <c r="L137">
        <v>0</v>
      </c>
      <c r="M137" t="str" cm="1">
        <f t="array" ref="M137">_xlfn.IFS(I137&lt;25,"0-25",I137&lt;50,"25-50",I137&lt;75,"50-75",I137&lt;100,"75-100",I137&lt;125,"100-125",I137&gt;=125,"125+")</f>
        <v>50-75</v>
      </c>
    </row>
    <row r="138" spans="1:13" x14ac:dyDescent="0.25">
      <c r="A138" t="s">
        <v>273</v>
      </c>
      <c r="B138" t="s">
        <v>274</v>
      </c>
      <c r="C138" s="1">
        <v>45453</v>
      </c>
      <c r="D138" t="s">
        <v>41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18</v>
      </c>
      <c r="K138">
        <v>154</v>
      </c>
      <c r="L138">
        <v>1</v>
      </c>
      <c r="M138" t="str" cm="1">
        <f t="array" ref="M138">_xlfn.IFS(I138&lt;25,"0-25",I138&lt;50,"25-50",I138&lt;75,"50-75",I138&lt;100,"75-100",I138&lt;125,"100-125",I138&gt;=125,"125+")</f>
        <v>50-75</v>
      </c>
    </row>
    <row r="139" spans="1:13" x14ac:dyDescent="0.25">
      <c r="A139" t="s">
        <v>275</v>
      </c>
      <c r="B139" t="s">
        <v>274</v>
      </c>
      <c r="C139" s="1">
        <v>45582</v>
      </c>
      <c r="D139" t="s">
        <v>36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18</v>
      </c>
      <c r="K139">
        <v>151</v>
      </c>
      <c r="L139">
        <v>1</v>
      </c>
      <c r="M139" t="str" cm="1">
        <f t="array" ref="M139">_xlfn.IFS(I139&lt;25,"0-25",I139&lt;50,"25-50",I139&lt;75,"50-75",I139&lt;100,"75-100",I139&lt;125,"100-125",I139&gt;=125,"125+")</f>
        <v>50-75</v>
      </c>
    </row>
    <row r="140" spans="1:13" x14ac:dyDescent="0.25">
      <c r="A140" t="s">
        <v>276</v>
      </c>
      <c r="B140" t="s">
        <v>277</v>
      </c>
      <c r="C140" s="1">
        <v>45470</v>
      </c>
      <c r="D140" t="s">
        <v>38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27</v>
      </c>
      <c r="K140">
        <v>0</v>
      </c>
      <c r="L140">
        <v>0</v>
      </c>
      <c r="M140" t="str" cm="1">
        <f t="array" ref="M140">_xlfn.IFS(I140&lt;25,"0-25",I140&lt;50,"25-50",I140&lt;75,"50-75",I140&lt;100,"75-100",I140&lt;125,"100-125",I140&gt;=125,"125+")</f>
        <v>25-50</v>
      </c>
    </row>
    <row r="141" spans="1:13" x14ac:dyDescent="0.25">
      <c r="A141" t="s">
        <v>278</v>
      </c>
      <c r="B141" t="s">
        <v>279</v>
      </c>
      <c r="C141" s="1">
        <v>45533</v>
      </c>
      <c r="D141" t="s">
        <v>36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18</v>
      </c>
      <c r="K141">
        <v>165</v>
      </c>
      <c r="L141">
        <v>1</v>
      </c>
      <c r="M141" t="str" cm="1">
        <f t="array" ref="M141">_xlfn.IFS(I141&lt;25,"0-25",I141&lt;50,"25-50",I141&lt;75,"50-75",I141&lt;100,"75-100",I141&lt;125,"100-125",I141&gt;=125,"125+")</f>
        <v>50-75</v>
      </c>
    </row>
    <row r="142" spans="1:13" x14ac:dyDescent="0.25">
      <c r="A142" t="s">
        <v>280</v>
      </c>
      <c r="B142" t="s">
        <v>281</v>
      </c>
      <c r="C142" s="1">
        <v>45767</v>
      </c>
      <c r="D142" t="s">
        <v>47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27</v>
      </c>
      <c r="K142">
        <v>0</v>
      </c>
      <c r="L142">
        <v>0</v>
      </c>
      <c r="M142" t="str" cm="1">
        <f t="array" ref="M142">_xlfn.IFS(I142&lt;25,"0-25",I142&lt;50,"25-50",I142&lt;75,"50-75",I142&lt;100,"75-100",I142&lt;125,"100-125",I142&gt;=125,"125+")</f>
        <v>25-50</v>
      </c>
    </row>
    <row r="143" spans="1:13" x14ac:dyDescent="0.25">
      <c r="A143" t="s">
        <v>282</v>
      </c>
      <c r="B143" t="s">
        <v>281</v>
      </c>
      <c r="C143" s="1">
        <v>45455</v>
      </c>
      <c r="D143" t="s">
        <v>38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62</v>
      </c>
      <c r="K143">
        <v>0</v>
      </c>
      <c r="L143">
        <v>0</v>
      </c>
      <c r="M143" t="str" cm="1">
        <f t="array" ref="M143">_xlfn.IFS(I143&lt;25,"0-25",I143&lt;50,"25-50",I143&lt;75,"50-75",I143&lt;100,"75-100",I143&lt;125,"100-125",I143&gt;=125,"125+")</f>
        <v>0-25</v>
      </c>
    </row>
    <row r="144" spans="1:13" x14ac:dyDescent="0.25">
      <c r="A144" t="s">
        <v>283</v>
      </c>
      <c r="B144" t="s">
        <v>284</v>
      </c>
      <c r="C144" s="1">
        <v>45345</v>
      </c>
      <c r="D144" t="s">
        <v>17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15</v>
      </c>
      <c r="K144">
        <v>0</v>
      </c>
      <c r="L144">
        <v>0</v>
      </c>
      <c r="M144" t="str" cm="1">
        <f t="array" ref="M144">_xlfn.IFS(I144&lt;25,"0-25",I144&lt;50,"25-50",I144&lt;75,"50-75",I144&lt;100,"75-100",I144&lt;125,"100-125",I144&gt;=125,"125+")</f>
        <v>50-75</v>
      </c>
    </row>
    <row r="145" spans="1:13" x14ac:dyDescent="0.25">
      <c r="A145" t="s">
        <v>285</v>
      </c>
      <c r="B145" t="s">
        <v>286</v>
      </c>
      <c r="C145" s="1">
        <v>45625</v>
      </c>
      <c r="D145" t="s">
        <v>36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15</v>
      </c>
      <c r="K145">
        <v>0</v>
      </c>
      <c r="L145">
        <v>0</v>
      </c>
      <c r="M145" t="str" cm="1">
        <f t="array" ref="M145">_xlfn.IFS(I145&lt;25,"0-25",I145&lt;50,"25-50",I145&lt;75,"50-75",I145&lt;100,"75-100",I145&lt;125,"100-125",I145&gt;=125,"125+")</f>
        <v>25-50</v>
      </c>
    </row>
    <row r="146" spans="1:13" x14ac:dyDescent="0.25">
      <c r="A146" t="s">
        <v>287</v>
      </c>
      <c r="B146" t="s">
        <v>288</v>
      </c>
      <c r="C146" s="1">
        <v>45676</v>
      </c>
      <c r="D146" t="s">
        <v>36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27</v>
      </c>
      <c r="K146">
        <v>0</v>
      </c>
      <c r="L146">
        <v>0</v>
      </c>
      <c r="M146" t="str" cm="1">
        <f t="array" ref="M146">_xlfn.IFS(I146&lt;25,"0-25",I146&lt;50,"25-50",I146&lt;75,"50-75",I146&lt;100,"75-100",I146&lt;125,"100-125",I146&gt;=125,"125+")</f>
        <v>0-25</v>
      </c>
    </row>
    <row r="147" spans="1:13" x14ac:dyDescent="0.25">
      <c r="A147" t="s">
        <v>289</v>
      </c>
      <c r="B147" t="s">
        <v>290</v>
      </c>
      <c r="C147" s="1">
        <v>45674</v>
      </c>
      <c r="D147" t="s">
        <v>17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18</v>
      </c>
      <c r="K147">
        <v>79</v>
      </c>
      <c r="L147">
        <v>1</v>
      </c>
      <c r="M147" t="str" cm="1">
        <f t="array" ref="M147">_xlfn.IFS(I147&lt;25,"0-25",I147&lt;50,"25-50",I147&lt;75,"50-75",I147&lt;100,"75-100",I147&lt;125,"100-125",I147&gt;=125,"125+")</f>
        <v>25-50</v>
      </c>
    </row>
    <row r="148" spans="1:13" x14ac:dyDescent="0.25">
      <c r="A148" t="s">
        <v>291</v>
      </c>
      <c r="B148" t="s">
        <v>292</v>
      </c>
      <c r="C148" s="1">
        <v>45431</v>
      </c>
      <c r="D148" t="s">
        <v>24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18</v>
      </c>
      <c r="K148">
        <v>149</v>
      </c>
      <c r="L148">
        <v>1</v>
      </c>
      <c r="M148" t="str" cm="1">
        <f t="array" ref="M148">_xlfn.IFS(I148&lt;25,"0-25",I148&lt;50,"25-50",I148&lt;75,"50-75",I148&lt;100,"75-100",I148&lt;125,"100-125",I148&gt;=125,"125+")</f>
        <v>25-50</v>
      </c>
    </row>
    <row r="149" spans="1:13" x14ac:dyDescent="0.25">
      <c r="A149" t="s">
        <v>293</v>
      </c>
      <c r="B149" t="s">
        <v>294</v>
      </c>
      <c r="C149" s="1">
        <v>45466</v>
      </c>
      <c r="D149" t="s">
        <v>33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27</v>
      </c>
      <c r="K149">
        <v>0</v>
      </c>
      <c r="L149">
        <v>0</v>
      </c>
      <c r="M149" t="str" cm="1">
        <f t="array" ref="M149">_xlfn.IFS(I149&lt;25,"0-25",I149&lt;50,"25-50",I149&lt;75,"50-75",I149&lt;100,"75-100",I149&lt;125,"100-125",I149&gt;=125,"125+")</f>
        <v>25-50</v>
      </c>
    </row>
    <row r="150" spans="1:13" x14ac:dyDescent="0.25">
      <c r="A150" t="s">
        <v>295</v>
      </c>
      <c r="B150" t="s">
        <v>296</v>
      </c>
      <c r="C150" s="1">
        <v>45765</v>
      </c>
      <c r="D150" t="s">
        <v>21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15</v>
      </c>
      <c r="K150">
        <v>0</v>
      </c>
      <c r="L150">
        <v>0</v>
      </c>
      <c r="M150" t="str" cm="1">
        <f t="array" ref="M150">_xlfn.IFS(I150&lt;25,"0-25",I150&lt;50,"25-50",I150&lt;75,"50-75",I150&lt;100,"75-100",I150&lt;125,"100-125",I150&gt;=125,"125+")</f>
        <v>25-50</v>
      </c>
    </row>
    <row r="151" spans="1:13" x14ac:dyDescent="0.25">
      <c r="A151" t="s">
        <v>297</v>
      </c>
      <c r="B151" t="s">
        <v>298</v>
      </c>
      <c r="C151" s="1">
        <v>45297</v>
      </c>
      <c r="D151" t="s">
        <v>30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15</v>
      </c>
      <c r="K151">
        <v>0</v>
      </c>
      <c r="L151">
        <v>0</v>
      </c>
      <c r="M151" t="str" cm="1">
        <f t="array" ref="M151">_xlfn.IFS(I151&lt;25,"0-25",I151&lt;50,"25-50",I151&lt;75,"50-75",I151&lt;100,"75-100",I151&lt;125,"100-125",I151&gt;=125,"125+")</f>
        <v>25-50</v>
      </c>
    </row>
    <row r="152" spans="1:13" x14ac:dyDescent="0.25">
      <c r="A152" t="s">
        <v>299</v>
      </c>
      <c r="B152" t="s">
        <v>300</v>
      </c>
      <c r="C152" s="1">
        <v>45392</v>
      </c>
      <c r="D152" t="s">
        <v>21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27</v>
      </c>
      <c r="K152">
        <v>0</v>
      </c>
      <c r="L152">
        <v>0</v>
      </c>
      <c r="M152" t="str" cm="1">
        <f t="array" ref="M152">_xlfn.IFS(I152&lt;25,"0-25",I152&lt;50,"25-50",I152&lt;75,"50-75",I152&lt;100,"75-100",I152&lt;125,"100-125",I152&gt;=125,"125+")</f>
        <v>25-50</v>
      </c>
    </row>
    <row r="153" spans="1:13" x14ac:dyDescent="0.25">
      <c r="A153" t="s">
        <v>301</v>
      </c>
      <c r="B153" t="s">
        <v>302</v>
      </c>
      <c r="C153" s="1">
        <v>45384</v>
      </c>
      <c r="D153" t="s">
        <v>17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18</v>
      </c>
      <c r="K153">
        <v>108</v>
      </c>
      <c r="L153">
        <v>1</v>
      </c>
      <c r="M153" t="str" cm="1">
        <f t="array" ref="M153">_xlfn.IFS(I153&lt;25,"0-25",I153&lt;50,"25-50",I153&lt;75,"50-75",I153&lt;100,"75-100",I153&lt;125,"100-125",I153&gt;=125,"125+")</f>
        <v>25-50</v>
      </c>
    </row>
    <row r="154" spans="1:13" x14ac:dyDescent="0.25">
      <c r="A154" t="s">
        <v>303</v>
      </c>
      <c r="B154" t="s">
        <v>304</v>
      </c>
      <c r="C154" s="1">
        <v>45766</v>
      </c>
      <c r="D154" t="s">
        <v>14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62</v>
      </c>
      <c r="K154">
        <v>15</v>
      </c>
      <c r="L154">
        <v>0</v>
      </c>
      <c r="M154" t="str" cm="1">
        <f t="array" ref="M154">_xlfn.IFS(I154&lt;25,"0-25",I154&lt;50,"25-50",I154&lt;75,"50-75",I154&lt;100,"75-100",I154&lt;125,"100-125",I154&gt;=125,"125+")</f>
        <v>75-100</v>
      </c>
    </row>
    <row r="155" spans="1:13" x14ac:dyDescent="0.25">
      <c r="A155" t="s">
        <v>305</v>
      </c>
      <c r="B155" t="s">
        <v>306</v>
      </c>
      <c r="C155" s="1">
        <v>45364</v>
      </c>
      <c r="D155" t="s">
        <v>30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18</v>
      </c>
      <c r="K155">
        <v>115</v>
      </c>
      <c r="L155">
        <v>1</v>
      </c>
      <c r="M155" t="str" cm="1">
        <f t="array" ref="M155">_xlfn.IFS(I155&lt;25,"0-25",I155&lt;50,"25-50",I155&lt;75,"50-75",I155&lt;100,"75-100",I155&lt;125,"100-125",I155&gt;=125,"125+")</f>
        <v>100-125</v>
      </c>
    </row>
    <row r="156" spans="1:13" x14ac:dyDescent="0.25">
      <c r="A156" t="s">
        <v>307</v>
      </c>
      <c r="B156" t="s">
        <v>308</v>
      </c>
      <c r="C156" s="1">
        <v>45504</v>
      </c>
      <c r="D156" t="s">
        <v>24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15</v>
      </c>
      <c r="K156">
        <v>0</v>
      </c>
      <c r="L156">
        <v>0</v>
      </c>
      <c r="M156" t="str" cm="1">
        <f t="array" ref="M156">_xlfn.IFS(I156&lt;25,"0-25",I156&lt;50,"25-50",I156&lt;75,"50-75",I156&lt;100,"75-100",I156&lt;125,"100-125",I156&gt;=125,"125+")</f>
        <v>0-25</v>
      </c>
    </row>
    <row r="157" spans="1:13" x14ac:dyDescent="0.25">
      <c r="A157" t="s">
        <v>309</v>
      </c>
      <c r="B157" t="s">
        <v>310</v>
      </c>
      <c r="C157" s="1">
        <v>45405</v>
      </c>
      <c r="D157" t="s">
        <v>41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27</v>
      </c>
      <c r="K157">
        <v>0</v>
      </c>
      <c r="L157">
        <v>0</v>
      </c>
      <c r="M157" t="str" cm="1">
        <f t="array" ref="M157">_xlfn.IFS(I157&lt;25,"0-25",I157&lt;50,"25-50",I157&lt;75,"50-75",I157&lt;100,"75-100",I157&lt;125,"100-125",I157&gt;=125,"125+")</f>
        <v>50-75</v>
      </c>
    </row>
    <row r="158" spans="1:13" x14ac:dyDescent="0.25">
      <c r="A158" t="s">
        <v>311</v>
      </c>
      <c r="B158" t="s">
        <v>312</v>
      </c>
      <c r="C158" s="1">
        <v>45634</v>
      </c>
      <c r="D158" t="s">
        <v>21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27</v>
      </c>
      <c r="K158">
        <v>0</v>
      </c>
      <c r="L158">
        <v>0</v>
      </c>
      <c r="M158" t="str" cm="1">
        <f t="array" ref="M158">_xlfn.IFS(I158&lt;25,"0-25",I158&lt;50,"25-50",I158&lt;75,"50-75",I158&lt;100,"75-100",I158&lt;125,"100-125",I158&gt;=125,"125+")</f>
        <v>50-75</v>
      </c>
    </row>
    <row r="159" spans="1:13" x14ac:dyDescent="0.25">
      <c r="A159" t="s">
        <v>313</v>
      </c>
      <c r="B159" t="s">
        <v>314</v>
      </c>
      <c r="C159" s="1">
        <v>45565</v>
      </c>
      <c r="D159" t="s">
        <v>47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27</v>
      </c>
      <c r="K159">
        <v>0</v>
      </c>
      <c r="L159">
        <v>0</v>
      </c>
      <c r="M159" t="str" cm="1">
        <f t="array" ref="M159">_xlfn.IFS(I159&lt;25,"0-25",I159&lt;50,"25-50",I159&lt;75,"50-75",I159&lt;100,"75-100",I159&lt;125,"100-125",I159&gt;=125,"125+")</f>
        <v>50-75</v>
      </c>
    </row>
    <row r="160" spans="1:13" x14ac:dyDescent="0.25">
      <c r="A160" t="s">
        <v>315</v>
      </c>
      <c r="B160" t="s">
        <v>314</v>
      </c>
      <c r="C160" s="1">
        <v>45773</v>
      </c>
      <c r="D160" t="s">
        <v>30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27</v>
      </c>
      <c r="K160">
        <v>0</v>
      </c>
      <c r="L160">
        <v>0</v>
      </c>
      <c r="M160" t="str" cm="1">
        <f t="array" ref="M160">_xlfn.IFS(I160&lt;25,"0-25",I160&lt;50,"25-50",I160&lt;75,"50-75",I160&lt;100,"75-100",I160&lt;125,"100-125",I160&gt;=125,"125+")</f>
        <v>0-25</v>
      </c>
    </row>
    <row r="161" spans="1:13" x14ac:dyDescent="0.25">
      <c r="A161" t="s">
        <v>316</v>
      </c>
      <c r="B161" t="s">
        <v>317</v>
      </c>
      <c r="C161" s="1">
        <v>45760</v>
      </c>
      <c r="D161" t="s">
        <v>47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18</v>
      </c>
      <c r="K161">
        <v>130</v>
      </c>
      <c r="L161">
        <v>1</v>
      </c>
      <c r="M161" t="str" cm="1">
        <f t="array" ref="M161">_xlfn.IFS(I161&lt;25,"0-25",I161&lt;50,"25-50",I161&lt;75,"50-75",I161&lt;100,"75-100",I161&lt;125,"100-125",I161&gt;=125,"125+")</f>
        <v>50-75</v>
      </c>
    </row>
    <row r="162" spans="1:13" x14ac:dyDescent="0.25">
      <c r="A162" t="s">
        <v>318</v>
      </c>
      <c r="B162" t="s">
        <v>319</v>
      </c>
      <c r="C162" s="1">
        <v>45443</v>
      </c>
      <c r="D162" t="s">
        <v>24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62</v>
      </c>
      <c r="K162">
        <v>15</v>
      </c>
      <c r="L162">
        <v>0</v>
      </c>
      <c r="M162" t="str" cm="1">
        <f t="array" ref="M162">_xlfn.IFS(I162&lt;25,"0-25",I162&lt;50,"25-50",I162&lt;75,"50-75",I162&lt;100,"75-100",I162&lt;125,"100-125",I162&gt;=125,"125+")</f>
        <v>0-25</v>
      </c>
    </row>
    <row r="163" spans="1:13" x14ac:dyDescent="0.25">
      <c r="A163" t="s">
        <v>320</v>
      </c>
      <c r="B163" t="s">
        <v>319</v>
      </c>
      <c r="C163" s="1">
        <v>45777</v>
      </c>
      <c r="D163" t="s">
        <v>41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62</v>
      </c>
      <c r="K163">
        <v>0</v>
      </c>
      <c r="L163">
        <v>0</v>
      </c>
      <c r="M163" t="str" cm="1">
        <f t="array" ref="M163">_xlfn.IFS(I163&lt;25,"0-25",I163&lt;50,"25-50",I163&lt;75,"50-75",I163&lt;100,"75-100",I163&lt;125,"100-125",I163&gt;=125,"125+")</f>
        <v>25-50</v>
      </c>
    </row>
    <row r="164" spans="1:13" x14ac:dyDescent="0.25">
      <c r="A164" t="s">
        <v>321</v>
      </c>
      <c r="B164" t="s">
        <v>322</v>
      </c>
      <c r="C164" s="1">
        <v>45713</v>
      </c>
      <c r="D164" t="s">
        <v>36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15</v>
      </c>
      <c r="K164">
        <v>0</v>
      </c>
      <c r="L164">
        <v>0</v>
      </c>
      <c r="M164" t="str" cm="1">
        <f t="array" ref="M164">_xlfn.IFS(I164&lt;25,"0-25",I164&lt;50,"25-50",I164&lt;75,"50-75",I164&lt;100,"75-100",I164&lt;125,"100-125",I164&gt;=125,"125+")</f>
        <v>25-50</v>
      </c>
    </row>
    <row r="165" spans="1:13" x14ac:dyDescent="0.25">
      <c r="A165" t="s">
        <v>323</v>
      </c>
      <c r="B165" t="s">
        <v>324</v>
      </c>
      <c r="C165" s="1">
        <v>45605</v>
      </c>
      <c r="D165" t="s">
        <v>21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27</v>
      </c>
      <c r="K165">
        <v>0</v>
      </c>
      <c r="L165">
        <v>0</v>
      </c>
      <c r="M165" t="str" cm="1">
        <f t="array" ref="M165">_xlfn.IFS(I165&lt;25,"0-25",I165&lt;50,"25-50",I165&lt;75,"50-75",I165&lt;100,"75-100",I165&lt;125,"100-125",I165&gt;=125,"125+")</f>
        <v>25-50</v>
      </c>
    </row>
    <row r="166" spans="1:13" x14ac:dyDescent="0.25">
      <c r="A166" t="s">
        <v>325</v>
      </c>
      <c r="B166" t="s">
        <v>326</v>
      </c>
      <c r="C166" s="1">
        <v>45456</v>
      </c>
      <c r="D166" t="s">
        <v>41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15</v>
      </c>
      <c r="K166">
        <v>0</v>
      </c>
      <c r="L166">
        <v>0</v>
      </c>
      <c r="M166" t="str" cm="1">
        <f t="array" ref="M166">_xlfn.IFS(I166&lt;25,"0-25",I166&lt;50,"25-50",I166&lt;75,"50-75",I166&lt;100,"75-100",I166&lt;125,"100-125",I166&gt;=125,"125+")</f>
        <v>25-50</v>
      </c>
    </row>
    <row r="167" spans="1:13" x14ac:dyDescent="0.25">
      <c r="A167" t="s">
        <v>327</v>
      </c>
      <c r="B167" t="s">
        <v>326</v>
      </c>
      <c r="C167" s="1">
        <v>45743</v>
      </c>
      <c r="D167" t="s">
        <v>33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27</v>
      </c>
      <c r="K167">
        <v>0</v>
      </c>
      <c r="L167">
        <v>0</v>
      </c>
      <c r="M167" t="str" cm="1">
        <f t="array" ref="M167">_xlfn.IFS(I167&lt;25,"0-25",I167&lt;50,"25-50",I167&lt;75,"50-75",I167&lt;100,"75-100",I167&lt;125,"100-125",I167&gt;=125,"125+")</f>
        <v>0-25</v>
      </c>
    </row>
    <row r="168" spans="1:13" x14ac:dyDescent="0.25">
      <c r="A168" t="s">
        <v>328</v>
      </c>
      <c r="B168" t="s">
        <v>329</v>
      </c>
      <c r="C168" s="1">
        <v>45458</v>
      </c>
      <c r="D168" t="s">
        <v>30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27</v>
      </c>
      <c r="K168">
        <v>0</v>
      </c>
      <c r="L168">
        <v>0</v>
      </c>
      <c r="M168" t="str" cm="1">
        <f t="array" ref="M168">_xlfn.IFS(I168&lt;25,"0-25",I168&lt;50,"25-50",I168&lt;75,"50-75",I168&lt;100,"75-100",I168&lt;125,"100-125",I168&gt;=125,"125+")</f>
        <v>0-25</v>
      </c>
    </row>
    <row r="169" spans="1:13" x14ac:dyDescent="0.25">
      <c r="A169" t="s">
        <v>330</v>
      </c>
      <c r="B169" t="s">
        <v>331</v>
      </c>
      <c r="C169" s="1">
        <v>45811</v>
      </c>
      <c r="D169" t="s">
        <v>33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18</v>
      </c>
      <c r="K169">
        <v>105</v>
      </c>
      <c r="L169">
        <v>1</v>
      </c>
      <c r="M169" t="str" cm="1">
        <f t="array" ref="M169">_xlfn.IFS(I169&lt;25,"0-25",I169&lt;50,"25-50",I169&lt;75,"50-75",I169&lt;100,"75-100",I169&lt;125,"100-125",I169&gt;=125,"125+")</f>
        <v>50-75</v>
      </c>
    </row>
    <row r="170" spans="1:13" x14ac:dyDescent="0.25">
      <c r="A170" t="s">
        <v>332</v>
      </c>
      <c r="B170" t="s">
        <v>331</v>
      </c>
      <c r="C170" s="1">
        <v>45744</v>
      </c>
      <c r="D170" t="s">
        <v>14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18</v>
      </c>
      <c r="K170">
        <v>58</v>
      </c>
      <c r="L170">
        <v>1</v>
      </c>
      <c r="M170" t="str" cm="1">
        <f t="array" ref="M170">_xlfn.IFS(I170&lt;25,"0-25",I170&lt;50,"25-50",I170&lt;75,"50-75",I170&lt;100,"75-100",I170&lt;125,"100-125",I170&gt;=125,"125+")</f>
        <v>50-75</v>
      </c>
    </row>
    <row r="171" spans="1:13" x14ac:dyDescent="0.25">
      <c r="A171" t="s">
        <v>333</v>
      </c>
      <c r="B171" t="s">
        <v>334</v>
      </c>
      <c r="C171" s="1">
        <v>45517</v>
      </c>
      <c r="D171" t="s">
        <v>41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27</v>
      </c>
      <c r="K171">
        <v>0</v>
      </c>
      <c r="L171">
        <v>0</v>
      </c>
      <c r="M171" t="str" cm="1">
        <f t="array" ref="M171">_xlfn.IFS(I171&lt;25,"0-25",I171&lt;50,"25-50",I171&lt;75,"50-75",I171&lt;100,"75-100",I171&lt;125,"100-125",I171&gt;=125,"125+")</f>
        <v>25-50</v>
      </c>
    </row>
    <row r="172" spans="1:13" x14ac:dyDescent="0.25">
      <c r="A172" t="s">
        <v>335</v>
      </c>
      <c r="B172" t="s">
        <v>336</v>
      </c>
      <c r="C172" s="1">
        <v>45377</v>
      </c>
      <c r="D172" t="s">
        <v>47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62</v>
      </c>
      <c r="K172">
        <v>0</v>
      </c>
      <c r="L172">
        <v>0</v>
      </c>
      <c r="M172" t="str" cm="1">
        <f t="array" ref="M172">_xlfn.IFS(I172&lt;25,"0-25",I172&lt;50,"25-50",I172&lt;75,"50-75",I172&lt;100,"75-100",I172&lt;125,"100-125",I172&gt;=125,"125+")</f>
        <v>50-75</v>
      </c>
    </row>
    <row r="173" spans="1:13" x14ac:dyDescent="0.25">
      <c r="A173" t="s">
        <v>337</v>
      </c>
      <c r="B173" t="s">
        <v>338</v>
      </c>
      <c r="C173" s="1">
        <v>45349</v>
      </c>
      <c r="D173" t="s">
        <v>21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27</v>
      </c>
      <c r="K173">
        <v>0</v>
      </c>
      <c r="L173">
        <v>0</v>
      </c>
      <c r="M173" t="str" cm="1">
        <f t="array" ref="M173">_xlfn.IFS(I173&lt;25,"0-25",I173&lt;50,"25-50",I173&lt;75,"50-75",I173&lt;100,"75-100",I173&lt;125,"100-125",I173&gt;=125,"125+")</f>
        <v>25-50</v>
      </c>
    </row>
    <row r="174" spans="1:13" x14ac:dyDescent="0.25">
      <c r="A174" t="s">
        <v>339</v>
      </c>
      <c r="B174" t="s">
        <v>340</v>
      </c>
      <c r="C174" s="1">
        <v>45748</v>
      </c>
      <c r="D174" t="s">
        <v>30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15</v>
      </c>
      <c r="K174">
        <v>0</v>
      </c>
      <c r="L174">
        <v>0</v>
      </c>
      <c r="M174" t="str" cm="1">
        <f t="array" ref="M174">_xlfn.IFS(I174&lt;25,"0-25",I174&lt;50,"25-50",I174&lt;75,"50-75",I174&lt;100,"75-100",I174&lt;125,"100-125",I174&gt;=125,"125+")</f>
        <v>25-50</v>
      </c>
    </row>
    <row r="175" spans="1:13" x14ac:dyDescent="0.25">
      <c r="A175" t="s">
        <v>341</v>
      </c>
      <c r="B175" t="s">
        <v>340</v>
      </c>
      <c r="C175" s="1">
        <v>45726</v>
      </c>
      <c r="D175" t="s">
        <v>14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15</v>
      </c>
      <c r="K175">
        <v>0</v>
      </c>
      <c r="L175">
        <v>0</v>
      </c>
      <c r="M175" t="str" cm="1">
        <f t="array" ref="M175">_xlfn.IFS(I175&lt;25,"0-25",I175&lt;50,"25-50",I175&lt;75,"50-75",I175&lt;100,"75-100",I175&lt;125,"100-125",I175&gt;=125,"125+")</f>
        <v>50-75</v>
      </c>
    </row>
    <row r="176" spans="1:13" x14ac:dyDescent="0.25">
      <c r="A176" t="s">
        <v>342</v>
      </c>
      <c r="B176" t="s">
        <v>343</v>
      </c>
      <c r="C176" s="1">
        <v>45359</v>
      </c>
      <c r="D176" t="s">
        <v>33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27</v>
      </c>
      <c r="K176">
        <v>0</v>
      </c>
      <c r="L176">
        <v>0</v>
      </c>
      <c r="M176" t="str" cm="1">
        <f t="array" ref="M176">_xlfn.IFS(I176&lt;25,"0-25",I176&lt;50,"25-50",I176&lt;75,"50-75",I176&lt;100,"75-100",I176&lt;125,"100-125",I176&gt;=125,"125+")</f>
        <v>0-25</v>
      </c>
    </row>
    <row r="177" spans="1:13" x14ac:dyDescent="0.25">
      <c r="A177" t="s">
        <v>344</v>
      </c>
      <c r="B177" t="s">
        <v>345</v>
      </c>
      <c r="C177" s="1">
        <v>45432</v>
      </c>
      <c r="D177" t="s">
        <v>24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18</v>
      </c>
      <c r="K177">
        <v>127</v>
      </c>
      <c r="L177">
        <v>1</v>
      </c>
      <c r="M177" t="str" cm="1">
        <f t="array" ref="M177">_xlfn.IFS(I177&lt;25,"0-25",I177&lt;50,"25-50",I177&lt;75,"50-75",I177&lt;100,"75-100",I177&lt;125,"100-125",I177&gt;=125,"125+")</f>
        <v>25-50</v>
      </c>
    </row>
    <row r="178" spans="1:13" x14ac:dyDescent="0.25">
      <c r="A178" t="s">
        <v>346</v>
      </c>
      <c r="B178" t="s">
        <v>347</v>
      </c>
      <c r="C178" s="1">
        <v>45766</v>
      </c>
      <c r="D178" t="s">
        <v>14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27</v>
      </c>
      <c r="K178">
        <v>0</v>
      </c>
      <c r="L178">
        <v>0</v>
      </c>
      <c r="M178" t="str" cm="1">
        <f t="array" ref="M178">_xlfn.IFS(I178&lt;25,"0-25",I178&lt;50,"25-50",I178&lt;75,"50-75",I178&lt;100,"75-100",I178&lt;125,"100-125",I178&gt;=125,"125+")</f>
        <v>25-50</v>
      </c>
    </row>
    <row r="179" spans="1:13" x14ac:dyDescent="0.25">
      <c r="A179" t="s">
        <v>348</v>
      </c>
      <c r="B179" t="s">
        <v>349</v>
      </c>
      <c r="C179" s="1">
        <v>45795</v>
      </c>
      <c r="D179" t="s">
        <v>14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27</v>
      </c>
      <c r="K179">
        <v>0</v>
      </c>
      <c r="L179">
        <v>0</v>
      </c>
      <c r="M179" t="str" cm="1">
        <f t="array" ref="M179">_xlfn.IFS(I179&lt;25,"0-25",I179&lt;50,"25-50",I179&lt;75,"50-75",I179&lt;100,"75-100",I179&lt;125,"100-125",I179&gt;=125,"125+")</f>
        <v>25-50</v>
      </c>
    </row>
    <row r="180" spans="1:13" x14ac:dyDescent="0.25">
      <c r="A180" t="s">
        <v>350</v>
      </c>
      <c r="B180" t="s">
        <v>351</v>
      </c>
      <c r="C180" s="1">
        <v>45738</v>
      </c>
      <c r="D180" t="s">
        <v>14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27</v>
      </c>
      <c r="K180">
        <v>0</v>
      </c>
      <c r="L180">
        <v>0</v>
      </c>
      <c r="M180" t="str" cm="1">
        <f t="array" ref="M180">_xlfn.IFS(I180&lt;25,"0-25",I180&lt;50,"25-50",I180&lt;75,"50-75",I180&lt;100,"75-100",I180&lt;125,"100-125",I180&gt;=125,"125+")</f>
        <v>25-50</v>
      </c>
    </row>
    <row r="181" spans="1:13" x14ac:dyDescent="0.25">
      <c r="A181" t="s">
        <v>352</v>
      </c>
      <c r="B181" t="s">
        <v>353</v>
      </c>
      <c r="C181" s="1">
        <v>45458</v>
      </c>
      <c r="D181" t="s">
        <v>36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27</v>
      </c>
      <c r="K181">
        <v>0</v>
      </c>
      <c r="L181">
        <v>0</v>
      </c>
      <c r="M181" t="str" cm="1">
        <f t="array" ref="M181">_xlfn.IFS(I181&lt;25,"0-25",I181&lt;50,"25-50",I181&lt;75,"50-75",I181&lt;100,"75-100",I181&lt;125,"100-125",I181&gt;=125,"125+")</f>
        <v>75-100</v>
      </c>
    </row>
    <row r="182" spans="1:13" x14ac:dyDescent="0.25">
      <c r="A182" t="s">
        <v>354</v>
      </c>
      <c r="B182" t="s">
        <v>355</v>
      </c>
      <c r="C182" s="1">
        <v>45656</v>
      </c>
      <c r="D182" t="s">
        <v>30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18</v>
      </c>
      <c r="K182">
        <v>104</v>
      </c>
      <c r="L182">
        <v>1</v>
      </c>
      <c r="M182" t="str" cm="1">
        <f t="array" ref="M182">_xlfn.IFS(I182&lt;25,"0-25",I182&lt;50,"25-50",I182&lt;75,"50-75",I182&lt;100,"75-100",I182&lt;125,"100-125",I182&gt;=125,"125+")</f>
        <v>0-25</v>
      </c>
    </row>
    <row r="183" spans="1:13" x14ac:dyDescent="0.25">
      <c r="A183" t="s">
        <v>356</v>
      </c>
      <c r="B183" t="s">
        <v>357</v>
      </c>
      <c r="C183" s="1">
        <v>45463</v>
      </c>
      <c r="D183" t="s">
        <v>36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62</v>
      </c>
      <c r="K183">
        <v>15</v>
      </c>
      <c r="L183">
        <v>0</v>
      </c>
      <c r="M183" t="str" cm="1">
        <f t="array" ref="M183">_xlfn.IFS(I183&lt;25,"0-25",I183&lt;50,"25-50",I183&lt;75,"50-75",I183&lt;100,"75-100",I183&lt;125,"100-125",I183&gt;=125,"125+")</f>
        <v>50-75</v>
      </c>
    </row>
    <row r="184" spans="1:13" x14ac:dyDescent="0.25">
      <c r="A184" t="s">
        <v>358</v>
      </c>
      <c r="B184" t="s">
        <v>359</v>
      </c>
      <c r="C184" s="1">
        <v>45652</v>
      </c>
      <c r="D184" t="s">
        <v>24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27</v>
      </c>
      <c r="K184">
        <v>0</v>
      </c>
      <c r="L184">
        <v>0</v>
      </c>
      <c r="M184" t="str" cm="1">
        <f t="array" ref="M184">_xlfn.IFS(I184&lt;25,"0-25",I184&lt;50,"25-50",I184&lt;75,"50-75",I184&lt;100,"75-100",I184&lt;125,"100-125",I184&gt;=125,"125+")</f>
        <v>25-50</v>
      </c>
    </row>
    <row r="185" spans="1:13" x14ac:dyDescent="0.25">
      <c r="A185" t="s">
        <v>360</v>
      </c>
      <c r="B185" t="s">
        <v>361</v>
      </c>
      <c r="C185" s="1">
        <v>45450</v>
      </c>
      <c r="D185" t="s">
        <v>14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15</v>
      </c>
      <c r="K185">
        <v>0</v>
      </c>
      <c r="L185">
        <v>0</v>
      </c>
      <c r="M185" t="str" cm="1">
        <f t="array" ref="M185">_xlfn.IFS(I185&lt;25,"0-25",I185&lt;50,"25-50",I185&lt;75,"50-75",I185&lt;100,"75-100",I185&lt;125,"100-125",I185&gt;=125,"125+")</f>
        <v>50-75</v>
      </c>
    </row>
    <row r="186" spans="1:13" x14ac:dyDescent="0.25">
      <c r="A186" t="s">
        <v>362</v>
      </c>
      <c r="B186" t="s">
        <v>363</v>
      </c>
      <c r="C186" s="1">
        <v>45370</v>
      </c>
      <c r="D186" t="s">
        <v>21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18</v>
      </c>
      <c r="K186">
        <v>63</v>
      </c>
      <c r="L186">
        <v>1</v>
      </c>
      <c r="M186" t="str" cm="1">
        <f t="array" ref="M186">_xlfn.IFS(I186&lt;25,"0-25",I186&lt;50,"25-50",I186&lt;75,"50-75",I186&lt;100,"75-100",I186&lt;125,"100-125",I186&gt;=125,"125+")</f>
        <v>100-125</v>
      </c>
    </row>
    <row r="187" spans="1:13" x14ac:dyDescent="0.25">
      <c r="A187" t="s">
        <v>364</v>
      </c>
      <c r="B187" t="s">
        <v>365</v>
      </c>
      <c r="C187" s="1">
        <v>45827</v>
      </c>
      <c r="D187" t="s">
        <v>14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15</v>
      </c>
      <c r="K187">
        <v>0</v>
      </c>
      <c r="L187">
        <v>0</v>
      </c>
      <c r="M187" t="str" cm="1">
        <f t="array" ref="M187">_xlfn.IFS(I187&lt;25,"0-25",I187&lt;50,"25-50",I187&lt;75,"50-75",I187&lt;100,"75-100",I187&lt;125,"100-125",I187&gt;=125,"125+")</f>
        <v>50-75</v>
      </c>
    </row>
    <row r="188" spans="1:13" x14ac:dyDescent="0.25">
      <c r="A188" t="s">
        <v>366</v>
      </c>
      <c r="B188" t="s">
        <v>365</v>
      </c>
      <c r="C188" s="1">
        <v>45437</v>
      </c>
      <c r="D188" t="s">
        <v>41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27</v>
      </c>
      <c r="K188">
        <v>0</v>
      </c>
      <c r="L188">
        <v>0</v>
      </c>
      <c r="M188" t="str" cm="1">
        <f t="array" ref="M188">_xlfn.IFS(I188&lt;25,"0-25",I188&lt;50,"25-50",I188&lt;75,"50-75",I188&lt;100,"75-100",I188&lt;125,"100-125",I188&gt;=125,"125+")</f>
        <v>25-50</v>
      </c>
    </row>
    <row r="189" spans="1:13" x14ac:dyDescent="0.25">
      <c r="A189" t="s">
        <v>367</v>
      </c>
      <c r="B189" t="s">
        <v>368</v>
      </c>
      <c r="C189" s="1">
        <v>45787</v>
      </c>
      <c r="D189" t="s">
        <v>17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27</v>
      </c>
      <c r="K189">
        <v>0</v>
      </c>
      <c r="L189">
        <v>0</v>
      </c>
      <c r="M189" t="str" cm="1">
        <f t="array" ref="M189">_xlfn.IFS(I189&lt;25,"0-25",I189&lt;50,"25-50",I189&lt;75,"50-75",I189&lt;100,"75-100",I189&lt;125,"100-125",I189&gt;=125,"125+")</f>
        <v>100-125</v>
      </c>
    </row>
    <row r="190" spans="1:13" x14ac:dyDescent="0.25">
      <c r="A190" t="s">
        <v>369</v>
      </c>
      <c r="B190" t="s">
        <v>368</v>
      </c>
      <c r="C190" s="1">
        <v>45600</v>
      </c>
      <c r="D190" t="s">
        <v>21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15</v>
      </c>
      <c r="K190">
        <v>0</v>
      </c>
      <c r="L190">
        <v>0</v>
      </c>
      <c r="M190" t="str" cm="1">
        <f t="array" ref="M190">_xlfn.IFS(I190&lt;25,"0-25",I190&lt;50,"25-50",I190&lt;75,"50-75",I190&lt;100,"75-100",I190&lt;125,"100-125",I190&gt;=125,"125+")</f>
        <v>50-75</v>
      </c>
    </row>
    <row r="191" spans="1:13" x14ac:dyDescent="0.25">
      <c r="A191" t="s">
        <v>370</v>
      </c>
      <c r="B191" t="s">
        <v>371</v>
      </c>
      <c r="C191" s="1">
        <v>45441</v>
      </c>
      <c r="D191" t="s">
        <v>38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62</v>
      </c>
      <c r="K191">
        <v>15</v>
      </c>
      <c r="L191">
        <v>0</v>
      </c>
      <c r="M191" t="str" cm="1">
        <f t="array" ref="M191">_xlfn.IFS(I191&lt;25,"0-25",I191&lt;50,"25-50",I191&lt;75,"50-75",I191&lt;100,"75-100",I191&lt;125,"100-125",I191&gt;=125,"125+")</f>
        <v>25-50</v>
      </c>
    </row>
    <row r="192" spans="1:13" x14ac:dyDescent="0.25">
      <c r="A192" t="s">
        <v>372</v>
      </c>
      <c r="B192" t="s">
        <v>371</v>
      </c>
      <c r="C192" s="1">
        <v>45361</v>
      </c>
      <c r="D192" t="s">
        <v>30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18</v>
      </c>
      <c r="K192">
        <v>178</v>
      </c>
      <c r="L192">
        <v>1</v>
      </c>
      <c r="M192" t="str" cm="1">
        <f t="array" ref="M192">_xlfn.IFS(I192&lt;25,"0-25",I192&lt;50,"25-50",I192&lt;75,"50-75",I192&lt;100,"75-100",I192&lt;125,"100-125",I192&gt;=125,"125+")</f>
        <v>25-50</v>
      </c>
    </row>
    <row r="193" spans="1:13" x14ac:dyDescent="0.25">
      <c r="A193" t="s">
        <v>373</v>
      </c>
      <c r="B193" t="s">
        <v>374</v>
      </c>
      <c r="C193" s="1">
        <v>45296</v>
      </c>
      <c r="D193" t="s">
        <v>21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27</v>
      </c>
      <c r="K193">
        <v>0</v>
      </c>
      <c r="L193">
        <v>0</v>
      </c>
      <c r="M193" t="str" cm="1">
        <f t="array" ref="M193">_xlfn.IFS(I193&lt;25,"0-25",I193&lt;50,"25-50",I193&lt;75,"50-75",I193&lt;100,"75-100",I193&lt;125,"100-125",I193&gt;=125,"125+")</f>
        <v>50-75</v>
      </c>
    </row>
    <row r="194" spans="1:13" x14ac:dyDescent="0.25">
      <c r="A194" t="s">
        <v>375</v>
      </c>
      <c r="B194" t="s">
        <v>376</v>
      </c>
      <c r="C194" s="1">
        <v>45401</v>
      </c>
      <c r="D194" t="s">
        <v>14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18</v>
      </c>
      <c r="K194">
        <v>120</v>
      </c>
      <c r="L194">
        <v>1</v>
      </c>
      <c r="M194" t="str" cm="1">
        <f t="array" ref="M194">_xlfn.IFS(I194&lt;25,"0-25",I194&lt;50,"25-50",I194&lt;75,"50-75",I194&lt;100,"75-100",I194&lt;125,"100-125",I194&gt;=125,"125+")</f>
        <v>50-75</v>
      </c>
    </row>
    <row r="195" spans="1:13" x14ac:dyDescent="0.25">
      <c r="A195" t="s">
        <v>377</v>
      </c>
      <c r="B195" t="s">
        <v>378</v>
      </c>
      <c r="C195" s="1">
        <v>45613</v>
      </c>
      <c r="D195" t="s">
        <v>17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18</v>
      </c>
      <c r="K195">
        <v>58</v>
      </c>
      <c r="L195">
        <v>1</v>
      </c>
      <c r="M195" t="str" cm="1">
        <f t="array" ref="M195">_xlfn.IFS(I195&lt;25,"0-25",I195&lt;50,"25-50",I195&lt;75,"50-75",I195&lt;100,"75-100",I195&lt;125,"100-125",I195&gt;=125,"125+")</f>
        <v>50-75</v>
      </c>
    </row>
    <row r="196" spans="1:13" x14ac:dyDescent="0.25">
      <c r="A196" t="s">
        <v>379</v>
      </c>
      <c r="B196" t="s">
        <v>378</v>
      </c>
      <c r="C196" s="1">
        <v>45333</v>
      </c>
      <c r="D196" t="s">
        <v>21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18</v>
      </c>
      <c r="K196">
        <v>156</v>
      </c>
      <c r="L196">
        <v>1</v>
      </c>
      <c r="M196" t="str" cm="1">
        <f t="array" ref="M196">_xlfn.IFS(I196&lt;25,"0-25",I196&lt;50,"25-50",I196&lt;75,"50-75",I196&lt;100,"75-100",I196&lt;125,"100-125",I196&gt;=125,"125+")</f>
        <v>50-75</v>
      </c>
    </row>
    <row r="197" spans="1:13" x14ac:dyDescent="0.25">
      <c r="A197" t="s">
        <v>380</v>
      </c>
      <c r="B197" t="s">
        <v>381</v>
      </c>
      <c r="C197" s="1">
        <v>45709</v>
      </c>
      <c r="D197" t="s">
        <v>24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18</v>
      </c>
      <c r="K197">
        <v>139</v>
      </c>
      <c r="L197">
        <v>1</v>
      </c>
      <c r="M197" t="str" cm="1">
        <f t="array" ref="M197">_xlfn.IFS(I197&lt;25,"0-25",I197&lt;50,"25-50",I197&lt;75,"50-75",I197&lt;100,"75-100",I197&lt;125,"100-125",I197&gt;=125,"125+")</f>
        <v>50-75</v>
      </c>
    </row>
    <row r="198" spans="1:13" x14ac:dyDescent="0.25">
      <c r="A198" t="s">
        <v>382</v>
      </c>
      <c r="B198" t="s">
        <v>383</v>
      </c>
      <c r="C198" s="1">
        <v>45795</v>
      </c>
      <c r="D198" t="s">
        <v>36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27</v>
      </c>
      <c r="K198">
        <v>0</v>
      </c>
      <c r="L198">
        <v>0</v>
      </c>
      <c r="M198" t="str" cm="1">
        <f t="array" ref="M198">_xlfn.IFS(I198&lt;25,"0-25",I198&lt;50,"25-50",I198&lt;75,"50-75",I198&lt;100,"75-100",I198&lt;125,"100-125",I198&gt;=125,"125+")</f>
        <v>50-75</v>
      </c>
    </row>
    <row r="199" spans="1:13" x14ac:dyDescent="0.25">
      <c r="A199" t="s">
        <v>384</v>
      </c>
      <c r="B199" t="s">
        <v>385</v>
      </c>
      <c r="C199" s="1">
        <v>45464</v>
      </c>
      <c r="D199" t="s">
        <v>36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18</v>
      </c>
      <c r="K199">
        <v>80</v>
      </c>
      <c r="L199">
        <v>1</v>
      </c>
      <c r="M199" t="str" cm="1">
        <f t="array" ref="M199">_xlfn.IFS(I199&lt;25,"0-25",I199&lt;50,"25-50",I199&lt;75,"50-75",I199&lt;100,"75-100",I199&lt;125,"100-125",I199&gt;=125,"125+")</f>
        <v>25-50</v>
      </c>
    </row>
    <row r="200" spans="1:13" x14ac:dyDescent="0.25">
      <c r="A200" t="s">
        <v>386</v>
      </c>
      <c r="B200" t="s">
        <v>387</v>
      </c>
      <c r="C200" s="1">
        <v>45803</v>
      </c>
      <c r="D200" t="s">
        <v>47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18</v>
      </c>
      <c r="K200">
        <v>178</v>
      </c>
      <c r="L200">
        <v>1</v>
      </c>
      <c r="M200" t="str" cm="1">
        <f t="array" ref="M200">_xlfn.IFS(I200&lt;25,"0-25",I200&lt;50,"25-50",I200&lt;75,"50-75",I200&lt;100,"75-100",I200&lt;125,"100-125",I200&gt;=125,"125+")</f>
        <v>50-75</v>
      </c>
    </row>
    <row r="201" spans="1:13" x14ac:dyDescent="0.25">
      <c r="A201" t="s">
        <v>388</v>
      </c>
      <c r="B201" t="s">
        <v>389</v>
      </c>
      <c r="C201" s="1">
        <v>45815</v>
      </c>
      <c r="D201" t="s">
        <v>17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27</v>
      </c>
      <c r="K201">
        <v>0</v>
      </c>
      <c r="L201">
        <v>0</v>
      </c>
      <c r="M201" t="str" cm="1">
        <f t="array" ref="M201">_xlfn.IFS(I201&lt;25,"0-25",I201&lt;50,"25-50",I201&lt;75,"50-75",I201&lt;100,"75-100",I201&lt;125,"100-125",I201&gt;=125,"125+")</f>
        <v>25-50</v>
      </c>
    </row>
    <row r="202" spans="1:13" x14ac:dyDescent="0.25">
      <c r="A202" t="s">
        <v>390</v>
      </c>
      <c r="B202" t="s">
        <v>391</v>
      </c>
      <c r="C202" s="1">
        <v>45346</v>
      </c>
      <c r="D202" t="s">
        <v>14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27</v>
      </c>
      <c r="K202">
        <v>0</v>
      </c>
      <c r="L202">
        <v>0</v>
      </c>
      <c r="M202" t="str" cm="1">
        <f t="array" ref="M202">_xlfn.IFS(I202&lt;25,"0-25",I202&lt;50,"25-50",I202&lt;75,"50-75",I202&lt;100,"75-100",I202&lt;125,"100-125",I202&gt;=125,"125+")</f>
        <v>50-75</v>
      </c>
    </row>
    <row r="203" spans="1:13" x14ac:dyDescent="0.25">
      <c r="A203" t="s">
        <v>392</v>
      </c>
      <c r="B203" t="s">
        <v>393</v>
      </c>
      <c r="C203" s="1">
        <v>45370</v>
      </c>
      <c r="D203" t="s">
        <v>47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27</v>
      </c>
      <c r="K203">
        <v>0</v>
      </c>
      <c r="L203">
        <v>0</v>
      </c>
      <c r="M203" t="str" cm="1">
        <f t="array" ref="M203">_xlfn.IFS(I203&lt;25,"0-25",I203&lt;50,"25-50",I203&lt;75,"50-75",I203&lt;100,"75-100",I203&lt;125,"100-125",I203&gt;=125,"125+")</f>
        <v>50-75</v>
      </c>
    </row>
    <row r="204" spans="1:13" x14ac:dyDescent="0.25">
      <c r="A204" t="s">
        <v>394</v>
      </c>
      <c r="B204" t="s">
        <v>395</v>
      </c>
      <c r="C204" s="1">
        <v>45310</v>
      </c>
      <c r="D204" t="s">
        <v>24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27</v>
      </c>
      <c r="K204">
        <v>0</v>
      </c>
      <c r="L204">
        <v>0</v>
      </c>
      <c r="M204" t="str" cm="1">
        <f t="array" ref="M204">_xlfn.IFS(I204&lt;25,"0-25",I204&lt;50,"25-50",I204&lt;75,"50-75",I204&lt;100,"75-100",I204&lt;125,"100-125",I204&gt;=125,"125+")</f>
        <v>50-75</v>
      </c>
    </row>
    <row r="205" spans="1:13" x14ac:dyDescent="0.25">
      <c r="A205" t="s">
        <v>396</v>
      </c>
      <c r="B205" t="s">
        <v>397</v>
      </c>
      <c r="C205" s="1">
        <v>45325</v>
      </c>
      <c r="D205" t="s">
        <v>17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15</v>
      </c>
      <c r="K205">
        <v>0</v>
      </c>
      <c r="L205">
        <v>0</v>
      </c>
      <c r="M205" t="str" cm="1">
        <f t="array" ref="M205">_xlfn.IFS(I205&lt;25,"0-25",I205&lt;50,"25-50",I205&lt;75,"50-75",I205&lt;100,"75-100",I205&lt;125,"100-125",I205&gt;=125,"125+")</f>
        <v>25-50</v>
      </c>
    </row>
    <row r="206" spans="1:13" x14ac:dyDescent="0.25">
      <c r="A206" t="s">
        <v>398</v>
      </c>
      <c r="B206" t="s">
        <v>397</v>
      </c>
      <c r="C206" s="1">
        <v>45404</v>
      </c>
      <c r="D206" t="s">
        <v>33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27</v>
      </c>
      <c r="K206">
        <v>0</v>
      </c>
      <c r="L206">
        <v>0</v>
      </c>
      <c r="M206" t="str" cm="1">
        <f t="array" ref="M206">_xlfn.IFS(I206&lt;25,"0-25",I206&lt;50,"25-50",I206&lt;75,"50-75",I206&lt;100,"75-100",I206&lt;125,"100-125",I206&gt;=125,"125+")</f>
        <v>25-50</v>
      </c>
    </row>
    <row r="207" spans="1:13" x14ac:dyDescent="0.25">
      <c r="A207" t="s">
        <v>399</v>
      </c>
      <c r="B207" t="s">
        <v>400</v>
      </c>
      <c r="C207" s="1">
        <v>45561</v>
      </c>
      <c r="D207" t="s">
        <v>14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62</v>
      </c>
      <c r="K207">
        <v>30</v>
      </c>
      <c r="L207">
        <v>0</v>
      </c>
      <c r="M207" t="str" cm="1">
        <f t="array" ref="M207">_xlfn.IFS(I207&lt;25,"0-25",I207&lt;50,"25-50",I207&lt;75,"50-75",I207&lt;100,"75-100",I207&lt;125,"100-125",I207&gt;=125,"125+")</f>
        <v>25-50</v>
      </c>
    </row>
    <row r="208" spans="1:13" x14ac:dyDescent="0.25">
      <c r="A208" t="s">
        <v>401</v>
      </c>
      <c r="B208" t="s">
        <v>402</v>
      </c>
      <c r="C208" s="1">
        <v>45667</v>
      </c>
      <c r="D208" t="s">
        <v>24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27</v>
      </c>
      <c r="K208">
        <v>0</v>
      </c>
      <c r="L208">
        <v>0</v>
      </c>
      <c r="M208" t="str" cm="1">
        <f t="array" ref="M208">_xlfn.IFS(I208&lt;25,"0-25",I208&lt;50,"25-50",I208&lt;75,"50-75",I208&lt;100,"75-100",I208&lt;125,"100-125",I208&gt;=125,"125+")</f>
        <v>25-50</v>
      </c>
    </row>
    <row r="209" spans="1:13" x14ac:dyDescent="0.25">
      <c r="A209" t="s">
        <v>403</v>
      </c>
      <c r="B209" t="s">
        <v>404</v>
      </c>
      <c r="C209" s="1">
        <v>45349</v>
      </c>
      <c r="D209" t="s">
        <v>30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62</v>
      </c>
      <c r="K209">
        <v>0</v>
      </c>
      <c r="L209">
        <v>0</v>
      </c>
      <c r="M209" t="str" cm="1">
        <f t="array" ref="M209">_xlfn.IFS(I209&lt;25,"0-25",I209&lt;50,"25-50",I209&lt;75,"50-75",I209&lt;100,"75-100",I209&lt;125,"100-125",I209&gt;=125,"125+")</f>
        <v>50-75</v>
      </c>
    </row>
    <row r="210" spans="1:13" x14ac:dyDescent="0.25">
      <c r="A210" t="s">
        <v>405</v>
      </c>
      <c r="B210" t="s">
        <v>404</v>
      </c>
      <c r="C210" s="1">
        <v>45465</v>
      </c>
      <c r="D210" t="s">
        <v>47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18</v>
      </c>
      <c r="K210">
        <v>113</v>
      </c>
      <c r="L210">
        <v>1</v>
      </c>
      <c r="M210" t="str" cm="1">
        <f t="array" ref="M210">_xlfn.IFS(I210&lt;25,"0-25",I210&lt;50,"25-50",I210&lt;75,"50-75",I210&lt;100,"75-100",I210&lt;125,"100-125",I210&gt;=125,"125+")</f>
        <v>50-75</v>
      </c>
    </row>
    <row r="211" spans="1:13" x14ac:dyDescent="0.25">
      <c r="A211" t="s">
        <v>406</v>
      </c>
      <c r="B211" t="s">
        <v>407</v>
      </c>
      <c r="C211" s="1">
        <v>45772</v>
      </c>
      <c r="D211" t="s">
        <v>17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62</v>
      </c>
      <c r="K211">
        <v>30</v>
      </c>
      <c r="L211">
        <v>0</v>
      </c>
      <c r="M211" t="str" cm="1">
        <f t="array" ref="M211">_xlfn.IFS(I211&lt;25,"0-25",I211&lt;50,"25-50",I211&lt;75,"50-75",I211&lt;100,"75-100",I211&lt;125,"100-125",I211&gt;=125,"125+")</f>
        <v>25-50</v>
      </c>
    </row>
    <row r="212" spans="1:13" x14ac:dyDescent="0.25">
      <c r="A212" t="s">
        <v>408</v>
      </c>
      <c r="B212" t="s">
        <v>409</v>
      </c>
      <c r="C212" s="1">
        <v>45806</v>
      </c>
      <c r="D212" t="s">
        <v>47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27</v>
      </c>
      <c r="K212">
        <v>0</v>
      </c>
      <c r="L212">
        <v>0</v>
      </c>
      <c r="M212" t="str" cm="1">
        <f t="array" ref="M212">_xlfn.IFS(I212&lt;25,"0-25",I212&lt;50,"25-50",I212&lt;75,"50-75",I212&lt;100,"75-100",I212&lt;125,"100-125",I212&gt;=125,"125+")</f>
        <v>0-25</v>
      </c>
    </row>
    <row r="213" spans="1:13" x14ac:dyDescent="0.25">
      <c r="A213" t="s">
        <v>410</v>
      </c>
      <c r="B213" t="s">
        <v>411</v>
      </c>
      <c r="C213" s="1">
        <v>45511</v>
      </c>
      <c r="D213" t="s">
        <v>17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18</v>
      </c>
      <c r="K213">
        <v>42</v>
      </c>
      <c r="L213">
        <v>1</v>
      </c>
      <c r="M213" t="str" cm="1">
        <f t="array" ref="M213">_xlfn.IFS(I213&lt;25,"0-25",I213&lt;50,"25-50",I213&lt;75,"50-75",I213&lt;100,"75-100",I213&lt;125,"100-125",I213&gt;=125,"125+")</f>
        <v>75-100</v>
      </c>
    </row>
    <row r="214" spans="1:13" x14ac:dyDescent="0.25">
      <c r="A214" t="s">
        <v>412</v>
      </c>
      <c r="B214" t="s">
        <v>413</v>
      </c>
      <c r="C214" s="1">
        <v>45389</v>
      </c>
      <c r="D214" t="s">
        <v>47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27</v>
      </c>
      <c r="K214">
        <v>0</v>
      </c>
      <c r="L214">
        <v>0</v>
      </c>
      <c r="M214" t="str" cm="1">
        <f t="array" ref="M214">_xlfn.IFS(I214&lt;25,"0-25",I214&lt;50,"25-50",I214&lt;75,"50-75",I214&lt;100,"75-100",I214&lt;125,"100-125",I214&gt;=125,"125+")</f>
        <v>25-50</v>
      </c>
    </row>
    <row r="215" spans="1:13" x14ac:dyDescent="0.25">
      <c r="A215" t="s">
        <v>414</v>
      </c>
      <c r="B215" t="s">
        <v>415</v>
      </c>
      <c r="C215" s="1">
        <v>45599</v>
      </c>
      <c r="D215" t="s">
        <v>17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18</v>
      </c>
      <c r="K215">
        <v>168</v>
      </c>
      <c r="L215">
        <v>1</v>
      </c>
      <c r="M215" t="str" cm="1">
        <f t="array" ref="M215">_xlfn.IFS(I215&lt;25,"0-25",I215&lt;50,"25-50",I215&lt;75,"50-75",I215&lt;100,"75-100",I215&lt;125,"100-125",I215&gt;=125,"125+")</f>
        <v>50-75</v>
      </c>
    </row>
    <row r="216" spans="1:13" x14ac:dyDescent="0.25">
      <c r="A216" t="s">
        <v>416</v>
      </c>
      <c r="B216" t="s">
        <v>417</v>
      </c>
      <c r="C216" s="1">
        <v>45476</v>
      </c>
      <c r="D216" t="s">
        <v>17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27</v>
      </c>
      <c r="K216">
        <v>0</v>
      </c>
      <c r="L216">
        <v>0</v>
      </c>
      <c r="M216" t="str" cm="1">
        <f t="array" ref="M216">_xlfn.IFS(I216&lt;25,"0-25",I216&lt;50,"25-50",I216&lt;75,"50-75",I216&lt;100,"75-100",I216&lt;125,"100-125",I216&gt;=125,"125+")</f>
        <v>50-75</v>
      </c>
    </row>
    <row r="217" spans="1:13" x14ac:dyDescent="0.25">
      <c r="A217" t="s">
        <v>418</v>
      </c>
      <c r="B217" t="s">
        <v>419</v>
      </c>
      <c r="C217" s="1">
        <v>45837</v>
      </c>
      <c r="D217" t="s">
        <v>14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62</v>
      </c>
      <c r="K217">
        <v>15</v>
      </c>
      <c r="L217">
        <v>0</v>
      </c>
      <c r="M217" t="str" cm="1">
        <f t="array" ref="M217">_xlfn.IFS(I217&lt;25,"0-25",I217&lt;50,"25-50",I217&lt;75,"50-75",I217&lt;100,"75-100",I217&lt;125,"100-125",I217&gt;=125,"125+")</f>
        <v>50-75</v>
      </c>
    </row>
    <row r="218" spans="1:13" x14ac:dyDescent="0.25">
      <c r="A218" t="s">
        <v>420</v>
      </c>
      <c r="B218" t="s">
        <v>421</v>
      </c>
      <c r="C218" s="1">
        <v>45599</v>
      </c>
      <c r="D218" t="s">
        <v>41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15</v>
      </c>
      <c r="K218">
        <v>0</v>
      </c>
      <c r="L218">
        <v>0</v>
      </c>
      <c r="M218" t="str" cm="1">
        <f t="array" ref="M218">_xlfn.IFS(I218&lt;25,"0-25",I218&lt;50,"25-50",I218&lt;75,"50-75",I218&lt;100,"75-100",I218&lt;125,"100-125",I218&gt;=125,"125+")</f>
        <v>25-50</v>
      </c>
    </row>
    <row r="219" spans="1:13" x14ac:dyDescent="0.25">
      <c r="A219" t="s">
        <v>422</v>
      </c>
      <c r="B219" t="s">
        <v>421</v>
      </c>
      <c r="C219" s="1">
        <v>45456</v>
      </c>
      <c r="D219" t="s">
        <v>36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27</v>
      </c>
      <c r="K219">
        <v>0</v>
      </c>
      <c r="L219">
        <v>0</v>
      </c>
      <c r="M219" t="str" cm="1">
        <f t="array" ref="M219">_xlfn.IFS(I219&lt;25,"0-25",I219&lt;50,"25-50",I219&lt;75,"50-75",I219&lt;100,"75-100",I219&lt;125,"100-125",I219&gt;=125,"125+")</f>
        <v>25-50</v>
      </c>
    </row>
    <row r="220" spans="1:13" x14ac:dyDescent="0.25">
      <c r="A220" t="s">
        <v>423</v>
      </c>
      <c r="B220" t="s">
        <v>424</v>
      </c>
      <c r="C220" s="1">
        <v>45738</v>
      </c>
      <c r="D220" t="s">
        <v>38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62</v>
      </c>
      <c r="K220">
        <v>15</v>
      </c>
      <c r="L220">
        <v>0</v>
      </c>
      <c r="M220" t="str" cm="1">
        <f t="array" ref="M220">_xlfn.IFS(I220&lt;25,"0-25",I220&lt;50,"25-50",I220&lt;75,"50-75",I220&lt;100,"75-100",I220&lt;125,"100-125",I220&gt;=125,"125+")</f>
        <v>25-50</v>
      </c>
    </row>
    <row r="221" spans="1:13" x14ac:dyDescent="0.25">
      <c r="A221" t="s">
        <v>425</v>
      </c>
      <c r="B221" t="s">
        <v>426</v>
      </c>
      <c r="C221" s="1">
        <v>45335</v>
      </c>
      <c r="D221" t="s">
        <v>41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27</v>
      </c>
      <c r="K221">
        <v>0</v>
      </c>
      <c r="L221">
        <v>0</v>
      </c>
      <c r="M221" t="str" cm="1">
        <f t="array" ref="M221">_xlfn.IFS(I221&lt;25,"0-25",I221&lt;50,"25-50",I221&lt;75,"50-75",I221&lt;100,"75-100",I221&lt;125,"100-125",I221&gt;=125,"125+")</f>
        <v>50-75</v>
      </c>
    </row>
    <row r="222" spans="1:13" x14ac:dyDescent="0.25">
      <c r="A222" t="s">
        <v>427</v>
      </c>
      <c r="B222" t="s">
        <v>428</v>
      </c>
      <c r="C222" s="1">
        <v>45708</v>
      </c>
      <c r="D222" t="s">
        <v>36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15</v>
      </c>
      <c r="K222">
        <v>0</v>
      </c>
      <c r="L222">
        <v>0</v>
      </c>
      <c r="M222" t="str" cm="1">
        <f t="array" ref="M222">_xlfn.IFS(I222&lt;25,"0-25",I222&lt;50,"25-50",I222&lt;75,"50-75",I222&lt;100,"75-100",I222&lt;125,"100-125",I222&gt;=125,"125+")</f>
        <v>50-75</v>
      </c>
    </row>
    <row r="223" spans="1:13" x14ac:dyDescent="0.25">
      <c r="A223" t="s">
        <v>429</v>
      </c>
      <c r="B223" t="s">
        <v>428</v>
      </c>
      <c r="C223" s="1">
        <v>45804</v>
      </c>
      <c r="D223" t="s">
        <v>17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15</v>
      </c>
      <c r="K223">
        <v>0</v>
      </c>
      <c r="L223">
        <v>0</v>
      </c>
      <c r="M223" t="str" cm="1">
        <f t="array" ref="M223">_xlfn.IFS(I223&lt;25,"0-25",I223&lt;50,"25-50",I223&lt;75,"50-75",I223&lt;100,"75-100",I223&lt;125,"100-125",I223&gt;=125,"125+")</f>
        <v>75-100</v>
      </c>
    </row>
    <row r="224" spans="1:13" x14ac:dyDescent="0.25">
      <c r="A224" t="s">
        <v>430</v>
      </c>
      <c r="B224" t="s">
        <v>431</v>
      </c>
      <c r="C224" s="1">
        <v>45612</v>
      </c>
      <c r="D224" t="s">
        <v>21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27</v>
      </c>
      <c r="K224">
        <v>0</v>
      </c>
      <c r="L224">
        <v>0</v>
      </c>
      <c r="M224" t="str" cm="1">
        <f t="array" ref="M224">_xlfn.IFS(I224&lt;25,"0-25",I224&lt;50,"25-50",I224&lt;75,"50-75",I224&lt;100,"75-100",I224&lt;125,"100-125",I224&gt;=125,"125+")</f>
        <v>50-75</v>
      </c>
    </row>
    <row r="225" spans="1:13" x14ac:dyDescent="0.25">
      <c r="A225" t="s">
        <v>432</v>
      </c>
      <c r="B225" t="s">
        <v>431</v>
      </c>
      <c r="C225" s="1">
        <v>45573</v>
      </c>
      <c r="D225" t="s">
        <v>38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27</v>
      </c>
      <c r="K225">
        <v>0</v>
      </c>
      <c r="L225">
        <v>0</v>
      </c>
      <c r="M225" t="str" cm="1">
        <f t="array" ref="M225">_xlfn.IFS(I225&lt;25,"0-25",I225&lt;50,"25-50",I225&lt;75,"50-75",I225&lt;100,"75-100",I225&lt;125,"100-125",I225&gt;=125,"125+")</f>
        <v>50-75</v>
      </c>
    </row>
    <row r="226" spans="1:13" x14ac:dyDescent="0.25">
      <c r="A226" t="s">
        <v>433</v>
      </c>
      <c r="B226" t="s">
        <v>434</v>
      </c>
      <c r="C226" s="1">
        <v>45544</v>
      </c>
      <c r="D226" t="s">
        <v>30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62</v>
      </c>
      <c r="K226">
        <v>15</v>
      </c>
      <c r="L226">
        <v>0</v>
      </c>
      <c r="M226" t="str" cm="1">
        <f t="array" ref="M226">_xlfn.IFS(I226&lt;25,"0-25",I226&lt;50,"25-50",I226&lt;75,"50-75",I226&lt;100,"75-100",I226&lt;125,"100-125",I226&gt;=125,"125+")</f>
        <v>25-50</v>
      </c>
    </row>
    <row r="227" spans="1:13" x14ac:dyDescent="0.25">
      <c r="A227" t="s">
        <v>435</v>
      </c>
      <c r="B227" t="s">
        <v>436</v>
      </c>
      <c r="C227" s="1">
        <v>45347</v>
      </c>
      <c r="D227" t="s">
        <v>30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27</v>
      </c>
      <c r="K227">
        <v>0</v>
      </c>
      <c r="L227">
        <v>0</v>
      </c>
      <c r="M227" t="str" cm="1">
        <f t="array" ref="M227">_xlfn.IFS(I227&lt;25,"0-25",I227&lt;50,"25-50",I227&lt;75,"50-75",I227&lt;100,"75-100",I227&lt;125,"100-125",I227&gt;=125,"125+")</f>
        <v>0-25</v>
      </c>
    </row>
    <row r="228" spans="1:13" x14ac:dyDescent="0.25">
      <c r="A228" t="s">
        <v>437</v>
      </c>
      <c r="B228" t="s">
        <v>438</v>
      </c>
      <c r="C228" s="1">
        <v>45534</v>
      </c>
      <c r="D228" t="s">
        <v>24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15</v>
      </c>
      <c r="K228">
        <v>0</v>
      </c>
      <c r="L228">
        <v>0</v>
      </c>
      <c r="M228" t="str" cm="1">
        <f t="array" ref="M228">_xlfn.IFS(I228&lt;25,"0-25",I228&lt;50,"25-50",I228&lt;75,"50-75",I228&lt;100,"75-100",I228&lt;125,"100-125",I228&gt;=125,"125+")</f>
        <v>75-100</v>
      </c>
    </row>
    <row r="229" spans="1:13" x14ac:dyDescent="0.25">
      <c r="A229" t="s">
        <v>439</v>
      </c>
      <c r="B229" t="s">
        <v>440</v>
      </c>
      <c r="C229" s="1">
        <v>45456</v>
      </c>
      <c r="D229" t="s">
        <v>24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15</v>
      </c>
      <c r="K229">
        <v>0</v>
      </c>
      <c r="L229">
        <v>0</v>
      </c>
      <c r="M229" t="str" cm="1">
        <f t="array" ref="M229">_xlfn.IFS(I229&lt;25,"0-25",I229&lt;50,"25-50",I229&lt;75,"50-75",I229&lt;100,"75-100",I229&lt;125,"100-125",I229&gt;=125,"125+")</f>
        <v>25-50</v>
      </c>
    </row>
    <row r="230" spans="1:13" x14ac:dyDescent="0.25">
      <c r="A230" t="s">
        <v>441</v>
      </c>
      <c r="B230" t="s">
        <v>442</v>
      </c>
      <c r="C230" s="1">
        <v>45795</v>
      </c>
      <c r="D230" t="s">
        <v>17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15</v>
      </c>
      <c r="K230">
        <v>0</v>
      </c>
      <c r="L230">
        <v>0</v>
      </c>
      <c r="M230" t="str" cm="1">
        <f t="array" ref="M230">_xlfn.IFS(I230&lt;25,"0-25",I230&lt;50,"25-50",I230&lt;75,"50-75",I230&lt;100,"75-100",I230&lt;125,"100-125",I230&gt;=125,"125+")</f>
        <v>75-100</v>
      </c>
    </row>
    <row r="231" spans="1:13" x14ac:dyDescent="0.25">
      <c r="A231" t="s">
        <v>443</v>
      </c>
      <c r="B231" t="s">
        <v>444</v>
      </c>
      <c r="C231" s="1">
        <v>45722</v>
      </c>
      <c r="D231" t="s">
        <v>36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15</v>
      </c>
      <c r="K231">
        <v>0</v>
      </c>
      <c r="L231">
        <v>0</v>
      </c>
      <c r="M231" t="str" cm="1">
        <f t="array" ref="M231">_xlfn.IFS(I231&lt;25,"0-25",I231&lt;50,"25-50",I231&lt;75,"50-75",I231&lt;100,"75-100",I231&lt;125,"100-125",I231&gt;=125,"125+")</f>
        <v>25-50</v>
      </c>
    </row>
    <row r="232" spans="1:13" x14ac:dyDescent="0.25">
      <c r="A232" t="s">
        <v>445</v>
      </c>
      <c r="B232" t="s">
        <v>446</v>
      </c>
      <c r="C232" s="1">
        <v>45431</v>
      </c>
      <c r="D232" t="s">
        <v>41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18</v>
      </c>
      <c r="K232">
        <v>81</v>
      </c>
      <c r="L232">
        <v>1</v>
      </c>
      <c r="M232" t="str" cm="1">
        <f t="array" ref="M232">_xlfn.IFS(I232&lt;25,"0-25",I232&lt;50,"25-50",I232&lt;75,"50-75",I232&lt;100,"75-100",I232&lt;125,"100-125",I232&gt;=125,"125+")</f>
        <v>50-75</v>
      </c>
    </row>
    <row r="233" spans="1:13" x14ac:dyDescent="0.25">
      <c r="A233" t="s">
        <v>447</v>
      </c>
      <c r="B233" t="s">
        <v>448</v>
      </c>
      <c r="C233" s="1">
        <v>45425</v>
      </c>
      <c r="D233" t="s">
        <v>30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15</v>
      </c>
      <c r="K233">
        <v>0</v>
      </c>
      <c r="L233">
        <v>0</v>
      </c>
      <c r="M233" t="str" cm="1">
        <f t="array" ref="M233">_xlfn.IFS(I233&lt;25,"0-25",I233&lt;50,"25-50",I233&lt;75,"50-75",I233&lt;100,"75-100",I233&lt;125,"100-125",I233&gt;=125,"125+")</f>
        <v>50-75</v>
      </c>
    </row>
    <row r="234" spans="1:13" x14ac:dyDescent="0.25">
      <c r="A234" t="s">
        <v>449</v>
      </c>
      <c r="B234" t="s">
        <v>450</v>
      </c>
      <c r="C234" s="1">
        <v>45627</v>
      </c>
      <c r="D234" t="s">
        <v>14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27</v>
      </c>
      <c r="K234">
        <v>0</v>
      </c>
      <c r="L234">
        <v>0</v>
      </c>
      <c r="M234" t="str" cm="1">
        <f t="array" ref="M234">_xlfn.IFS(I234&lt;25,"0-25",I234&lt;50,"25-50",I234&lt;75,"50-75",I234&lt;100,"75-100",I234&lt;125,"100-125",I234&gt;=125,"125+")</f>
        <v>50-75</v>
      </c>
    </row>
    <row r="235" spans="1:13" x14ac:dyDescent="0.25">
      <c r="A235" t="s">
        <v>451</v>
      </c>
      <c r="B235" t="s">
        <v>452</v>
      </c>
      <c r="C235" s="1">
        <v>45315</v>
      </c>
      <c r="D235" t="s">
        <v>17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62</v>
      </c>
      <c r="K235">
        <v>0</v>
      </c>
      <c r="L235">
        <v>0</v>
      </c>
      <c r="M235" t="str" cm="1">
        <f t="array" ref="M235">_xlfn.IFS(I235&lt;25,"0-25",I235&lt;50,"25-50",I235&lt;75,"50-75",I235&lt;100,"75-100",I235&lt;125,"100-125",I235&gt;=125,"125+")</f>
        <v>50-75</v>
      </c>
    </row>
    <row r="236" spans="1:13" x14ac:dyDescent="0.25">
      <c r="A236" t="s">
        <v>453</v>
      </c>
      <c r="B236" t="s">
        <v>454</v>
      </c>
      <c r="C236" s="1">
        <v>45731</v>
      </c>
      <c r="D236" t="s">
        <v>14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15</v>
      </c>
      <c r="K236">
        <v>0</v>
      </c>
      <c r="L236">
        <v>0</v>
      </c>
      <c r="M236" t="str" cm="1">
        <f t="array" ref="M236">_xlfn.IFS(I236&lt;25,"0-25",I236&lt;50,"25-50",I236&lt;75,"50-75",I236&lt;100,"75-100",I236&lt;125,"100-125",I236&gt;=125,"125+")</f>
        <v>50-75</v>
      </c>
    </row>
    <row r="237" spans="1:13" x14ac:dyDescent="0.25">
      <c r="A237" t="s">
        <v>455</v>
      </c>
      <c r="B237" t="s">
        <v>454</v>
      </c>
      <c r="C237" s="1">
        <v>45756</v>
      </c>
      <c r="D237" t="s">
        <v>33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27</v>
      </c>
      <c r="K237">
        <v>0</v>
      </c>
      <c r="L237">
        <v>0</v>
      </c>
      <c r="M237" t="str" cm="1">
        <f t="array" ref="M237">_xlfn.IFS(I237&lt;25,"0-25",I237&lt;50,"25-50",I237&lt;75,"50-75",I237&lt;100,"75-100",I237&lt;125,"100-125",I237&gt;=125,"125+")</f>
        <v>25-50</v>
      </c>
    </row>
    <row r="238" spans="1:13" x14ac:dyDescent="0.25">
      <c r="A238" t="s">
        <v>456</v>
      </c>
      <c r="B238" t="s">
        <v>457</v>
      </c>
      <c r="C238" s="1">
        <v>45503</v>
      </c>
      <c r="D238" t="s">
        <v>24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62</v>
      </c>
      <c r="K238">
        <v>30</v>
      </c>
      <c r="L238">
        <v>0</v>
      </c>
      <c r="M238" t="str" cm="1">
        <f t="array" ref="M238">_xlfn.IFS(I238&lt;25,"0-25",I238&lt;50,"25-50",I238&lt;75,"50-75",I238&lt;100,"75-100",I238&lt;125,"100-125",I238&gt;=125,"125+")</f>
        <v>25-50</v>
      </c>
    </row>
    <row r="239" spans="1:13" x14ac:dyDescent="0.25">
      <c r="A239" t="s">
        <v>458</v>
      </c>
      <c r="B239" t="s">
        <v>459</v>
      </c>
      <c r="C239" s="1">
        <v>45560</v>
      </c>
      <c r="D239" t="s">
        <v>17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27</v>
      </c>
      <c r="K239">
        <v>0</v>
      </c>
      <c r="L239">
        <v>0</v>
      </c>
      <c r="M239" t="str" cm="1">
        <f t="array" ref="M239">_xlfn.IFS(I239&lt;25,"0-25",I239&lt;50,"25-50",I239&lt;75,"50-75",I239&lt;100,"75-100",I239&lt;125,"100-125",I239&gt;=125,"125+")</f>
        <v>75-100</v>
      </c>
    </row>
    <row r="240" spans="1:13" x14ac:dyDescent="0.25">
      <c r="A240" t="s">
        <v>460</v>
      </c>
      <c r="B240" t="s">
        <v>461</v>
      </c>
      <c r="C240" s="1">
        <v>45699</v>
      </c>
      <c r="D240" t="s">
        <v>14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15</v>
      </c>
      <c r="K240">
        <v>0</v>
      </c>
      <c r="L240">
        <v>0</v>
      </c>
      <c r="M240" t="str" cm="1">
        <f t="array" ref="M240">_xlfn.IFS(I240&lt;25,"0-25",I240&lt;50,"25-50",I240&lt;75,"50-75",I240&lt;100,"75-100",I240&lt;125,"100-125",I240&gt;=125,"125+")</f>
        <v>50-75</v>
      </c>
    </row>
    <row r="241" spans="1:13" x14ac:dyDescent="0.25">
      <c r="A241" t="s">
        <v>462</v>
      </c>
      <c r="B241" t="s">
        <v>463</v>
      </c>
      <c r="C241" s="1">
        <v>45532</v>
      </c>
      <c r="D241" t="s">
        <v>24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62</v>
      </c>
      <c r="K241">
        <v>0</v>
      </c>
      <c r="L241">
        <v>0</v>
      </c>
      <c r="M241" t="str" cm="1">
        <f t="array" ref="M241">_xlfn.IFS(I241&lt;25,"0-25",I241&lt;50,"25-50",I241&lt;75,"50-75",I241&lt;100,"75-100",I241&lt;125,"100-125",I241&gt;=125,"125+")</f>
        <v>25-50</v>
      </c>
    </row>
    <row r="242" spans="1:13" x14ac:dyDescent="0.25">
      <c r="A242" t="s">
        <v>464</v>
      </c>
      <c r="B242" t="s">
        <v>465</v>
      </c>
      <c r="C242" s="1">
        <v>45682</v>
      </c>
      <c r="D242" t="s">
        <v>47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18</v>
      </c>
      <c r="K242">
        <v>131</v>
      </c>
      <c r="L242">
        <v>1</v>
      </c>
      <c r="M242" t="str" cm="1">
        <f t="array" ref="M242">_xlfn.IFS(I242&lt;25,"0-25",I242&lt;50,"25-50",I242&lt;75,"50-75",I242&lt;100,"75-100",I242&lt;125,"100-125",I242&gt;=125,"125+")</f>
        <v>125+</v>
      </c>
    </row>
    <row r="243" spans="1:13" x14ac:dyDescent="0.25">
      <c r="A243" t="s">
        <v>466</v>
      </c>
      <c r="B243" t="s">
        <v>467</v>
      </c>
      <c r="C243" s="1">
        <v>45465</v>
      </c>
      <c r="D243" t="s">
        <v>33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18</v>
      </c>
      <c r="K243">
        <v>116</v>
      </c>
      <c r="L243">
        <v>1</v>
      </c>
      <c r="M243" t="str" cm="1">
        <f t="array" ref="M243">_xlfn.IFS(I243&lt;25,"0-25",I243&lt;50,"25-50",I243&lt;75,"50-75",I243&lt;100,"75-100",I243&lt;125,"100-125",I243&gt;=125,"125+")</f>
        <v>50-75</v>
      </c>
    </row>
    <row r="244" spans="1:13" x14ac:dyDescent="0.25">
      <c r="A244" t="s">
        <v>468</v>
      </c>
      <c r="B244" t="s">
        <v>469</v>
      </c>
      <c r="C244" s="1">
        <v>45411</v>
      </c>
      <c r="D244" t="s">
        <v>33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62</v>
      </c>
      <c r="K244">
        <v>30</v>
      </c>
      <c r="L244">
        <v>0</v>
      </c>
      <c r="M244" t="str" cm="1">
        <f t="array" ref="M244">_xlfn.IFS(I244&lt;25,"0-25",I244&lt;50,"25-50",I244&lt;75,"50-75",I244&lt;100,"75-100",I244&lt;125,"100-125",I244&gt;=125,"125+")</f>
        <v>25-50</v>
      </c>
    </row>
    <row r="245" spans="1:13" x14ac:dyDescent="0.25">
      <c r="A245" t="s">
        <v>470</v>
      </c>
      <c r="B245" t="s">
        <v>469</v>
      </c>
      <c r="C245" s="1">
        <v>45561</v>
      </c>
      <c r="D245" t="s">
        <v>24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27</v>
      </c>
      <c r="K245">
        <v>0</v>
      </c>
      <c r="L245">
        <v>0</v>
      </c>
      <c r="M245" t="str" cm="1">
        <f t="array" ref="M245">_xlfn.IFS(I245&lt;25,"0-25",I245&lt;50,"25-50",I245&lt;75,"50-75",I245&lt;100,"75-100",I245&lt;125,"100-125",I245&gt;=125,"125+")</f>
        <v>75-100</v>
      </c>
    </row>
    <row r="246" spans="1:13" x14ac:dyDescent="0.25">
      <c r="A246" t="s">
        <v>471</v>
      </c>
      <c r="B246" t="s">
        <v>472</v>
      </c>
      <c r="C246" s="1">
        <v>45742</v>
      </c>
      <c r="D246" t="s">
        <v>33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18</v>
      </c>
      <c r="K246">
        <v>68</v>
      </c>
      <c r="L246">
        <v>1</v>
      </c>
      <c r="M246" t="str" cm="1">
        <f t="array" ref="M246">_xlfn.IFS(I246&lt;25,"0-25",I246&lt;50,"25-50",I246&lt;75,"50-75",I246&lt;100,"75-100",I246&lt;125,"100-125",I246&gt;=125,"125+")</f>
        <v>75-100</v>
      </c>
    </row>
    <row r="247" spans="1:13" x14ac:dyDescent="0.25">
      <c r="A247" t="s">
        <v>473</v>
      </c>
      <c r="B247" t="s">
        <v>474</v>
      </c>
      <c r="C247" s="1">
        <v>45798</v>
      </c>
      <c r="D247" t="s">
        <v>33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18</v>
      </c>
      <c r="K247">
        <v>121</v>
      </c>
      <c r="L247">
        <v>1</v>
      </c>
      <c r="M247" t="str" cm="1">
        <f t="array" ref="M247">_xlfn.IFS(I247&lt;25,"0-25",I247&lt;50,"25-50",I247&lt;75,"50-75",I247&lt;100,"75-100",I247&lt;125,"100-125",I247&gt;=125,"125+")</f>
        <v>0-25</v>
      </c>
    </row>
    <row r="248" spans="1:13" x14ac:dyDescent="0.25">
      <c r="A248" t="s">
        <v>475</v>
      </c>
      <c r="B248" t="s">
        <v>476</v>
      </c>
      <c r="C248" s="1">
        <v>45387</v>
      </c>
      <c r="D248" t="s">
        <v>21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15</v>
      </c>
      <c r="K248">
        <v>0</v>
      </c>
      <c r="L248">
        <v>0</v>
      </c>
      <c r="M248" t="str" cm="1">
        <f t="array" ref="M248">_xlfn.IFS(I248&lt;25,"0-25",I248&lt;50,"25-50",I248&lt;75,"50-75",I248&lt;100,"75-100",I248&lt;125,"100-125",I248&gt;=125,"125+")</f>
        <v>0-25</v>
      </c>
    </row>
    <row r="249" spans="1:13" x14ac:dyDescent="0.25">
      <c r="A249" t="s">
        <v>477</v>
      </c>
      <c r="B249" t="s">
        <v>476</v>
      </c>
      <c r="C249" s="1">
        <v>45296</v>
      </c>
      <c r="D249" t="s">
        <v>21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27</v>
      </c>
      <c r="K249">
        <v>0</v>
      </c>
      <c r="L249">
        <v>0</v>
      </c>
      <c r="M249" t="str" cm="1">
        <f t="array" ref="M249">_xlfn.IFS(I249&lt;25,"0-25",I249&lt;50,"25-50",I249&lt;75,"50-75",I249&lt;100,"75-100",I249&lt;125,"100-125",I249&gt;=125,"125+")</f>
        <v>0-25</v>
      </c>
    </row>
    <row r="250" spans="1:13" x14ac:dyDescent="0.25">
      <c r="A250" t="s">
        <v>478</v>
      </c>
      <c r="B250" t="s">
        <v>479</v>
      </c>
      <c r="C250" s="1">
        <v>45416</v>
      </c>
      <c r="D250" t="s">
        <v>14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15</v>
      </c>
      <c r="K250">
        <v>0</v>
      </c>
      <c r="L250">
        <v>0</v>
      </c>
      <c r="M250" t="str" cm="1">
        <f t="array" ref="M250">_xlfn.IFS(I250&lt;25,"0-25",I250&lt;50,"25-50",I250&lt;75,"50-75",I250&lt;100,"75-100",I250&lt;125,"100-125",I250&gt;=125,"125+")</f>
        <v>125+</v>
      </c>
    </row>
    <row r="251" spans="1:13" x14ac:dyDescent="0.25">
      <c r="A251" t="s">
        <v>480</v>
      </c>
      <c r="B251" t="s">
        <v>481</v>
      </c>
      <c r="C251" s="1">
        <v>45567</v>
      </c>
      <c r="D251" t="s">
        <v>33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15</v>
      </c>
      <c r="K251">
        <v>0</v>
      </c>
      <c r="L251">
        <v>0</v>
      </c>
      <c r="M251" t="str" cm="1">
        <f t="array" ref="M251">_xlfn.IFS(I251&lt;25,"0-25",I251&lt;50,"25-50",I251&lt;75,"50-75",I251&lt;100,"75-100",I251&lt;125,"100-125",I251&gt;=125,"125+")</f>
        <v>0-25</v>
      </c>
    </row>
    <row r="252" spans="1:13" x14ac:dyDescent="0.25">
      <c r="A252" t="s">
        <v>482</v>
      </c>
      <c r="B252" t="s">
        <v>481</v>
      </c>
      <c r="C252" s="1">
        <v>45341</v>
      </c>
      <c r="D252" t="s">
        <v>47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15</v>
      </c>
      <c r="K252">
        <v>0</v>
      </c>
      <c r="L252">
        <v>0</v>
      </c>
      <c r="M252" t="str" cm="1">
        <f t="array" ref="M252">_xlfn.IFS(I252&lt;25,"0-25",I252&lt;50,"25-50",I252&lt;75,"50-75",I252&lt;100,"75-100",I252&lt;125,"100-125",I252&gt;=125,"125+")</f>
        <v>25-50</v>
      </c>
    </row>
    <row r="253" spans="1:13" x14ac:dyDescent="0.25">
      <c r="A253" t="s">
        <v>483</v>
      </c>
      <c r="B253" t="s">
        <v>484</v>
      </c>
      <c r="C253" s="1">
        <v>45537</v>
      </c>
      <c r="D253" t="s">
        <v>21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62</v>
      </c>
      <c r="K253">
        <v>15</v>
      </c>
      <c r="L253">
        <v>0</v>
      </c>
      <c r="M253" t="str" cm="1">
        <f t="array" ref="M253">_xlfn.IFS(I253&lt;25,"0-25",I253&lt;50,"25-50",I253&lt;75,"50-75",I253&lt;100,"75-100",I253&lt;125,"100-125",I253&gt;=125,"125+")</f>
        <v>50-75</v>
      </c>
    </row>
    <row r="254" spans="1:13" x14ac:dyDescent="0.25">
      <c r="A254" t="s">
        <v>485</v>
      </c>
      <c r="B254" t="s">
        <v>486</v>
      </c>
      <c r="C254" s="1">
        <v>45794</v>
      </c>
      <c r="D254" t="s">
        <v>33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15</v>
      </c>
      <c r="K254">
        <v>0</v>
      </c>
      <c r="L254">
        <v>0</v>
      </c>
      <c r="M254" t="str" cm="1">
        <f t="array" ref="M254">_xlfn.IFS(I254&lt;25,"0-25",I254&lt;50,"25-50",I254&lt;75,"50-75",I254&lt;100,"75-100",I254&lt;125,"100-125",I254&gt;=125,"125+")</f>
        <v>25-50</v>
      </c>
    </row>
    <row r="255" spans="1:13" x14ac:dyDescent="0.25">
      <c r="A255" t="s">
        <v>487</v>
      </c>
      <c r="B255" t="s">
        <v>486</v>
      </c>
      <c r="C255" s="1">
        <v>45793</v>
      </c>
      <c r="D255" t="s">
        <v>47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27</v>
      </c>
      <c r="K255">
        <v>0</v>
      </c>
      <c r="L255">
        <v>0</v>
      </c>
      <c r="M255" t="str" cm="1">
        <f t="array" ref="M255">_xlfn.IFS(I255&lt;25,"0-25",I255&lt;50,"25-50",I255&lt;75,"50-75",I255&lt;100,"75-100",I255&lt;125,"100-125",I255&gt;=125,"125+")</f>
        <v>25-50</v>
      </c>
    </row>
    <row r="256" spans="1:13" x14ac:dyDescent="0.25">
      <c r="A256" t="s">
        <v>488</v>
      </c>
      <c r="B256" t="s">
        <v>489</v>
      </c>
      <c r="C256" s="1">
        <v>45728</v>
      </c>
      <c r="D256" t="s">
        <v>36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18</v>
      </c>
      <c r="K256">
        <v>161</v>
      </c>
      <c r="L256">
        <v>1</v>
      </c>
      <c r="M256" t="str" cm="1">
        <f t="array" ref="M256">_xlfn.IFS(I256&lt;25,"0-25",I256&lt;50,"25-50",I256&lt;75,"50-75",I256&lt;100,"75-100",I256&lt;125,"100-125",I256&gt;=125,"125+")</f>
        <v>0-25</v>
      </c>
    </row>
    <row r="257" spans="1:13" x14ac:dyDescent="0.25">
      <c r="A257" t="s">
        <v>490</v>
      </c>
      <c r="B257" t="s">
        <v>491</v>
      </c>
      <c r="C257" s="1">
        <v>45831</v>
      </c>
      <c r="D257" t="s">
        <v>14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27</v>
      </c>
      <c r="K257">
        <v>0</v>
      </c>
      <c r="L257">
        <v>0</v>
      </c>
      <c r="M257" t="str" cm="1">
        <f t="array" ref="M257">_xlfn.IFS(I257&lt;25,"0-25",I257&lt;50,"25-50",I257&lt;75,"50-75",I257&lt;100,"75-100",I257&lt;125,"100-125",I257&gt;=125,"125+")</f>
        <v>50-75</v>
      </c>
    </row>
    <row r="258" spans="1:13" x14ac:dyDescent="0.25">
      <c r="A258" t="s">
        <v>492</v>
      </c>
      <c r="B258" t="s">
        <v>493</v>
      </c>
      <c r="C258" s="1">
        <v>45827</v>
      </c>
      <c r="D258" t="s">
        <v>14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27</v>
      </c>
      <c r="K258">
        <v>0</v>
      </c>
      <c r="L258">
        <v>0</v>
      </c>
      <c r="M258" t="str" cm="1">
        <f t="array" ref="M258">_xlfn.IFS(I258&lt;25,"0-25",I258&lt;50,"25-50",I258&lt;75,"50-75",I258&lt;100,"75-100",I258&lt;125,"100-125",I258&gt;=125,"125+")</f>
        <v>50-75</v>
      </c>
    </row>
    <row r="259" spans="1:13" x14ac:dyDescent="0.25">
      <c r="A259" t="s">
        <v>494</v>
      </c>
      <c r="B259" t="s">
        <v>495</v>
      </c>
      <c r="C259" s="1">
        <v>45551</v>
      </c>
      <c r="D259" t="s">
        <v>21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18</v>
      </c>
      <c r="K259">
        <v>179</v>
      </c>
      <c r="L259">
        <v>1</v>
      </c>
      <c r="M259" t="str" cm="1">
        <f t="array" ref="M259">_xlfn.IFS(I259&lt;25,"0-25",I259&lt;50,"25-50",I259&lt;75,"50-75",I259&lt;100,"75-100",I259&lt;125,"100-125",I259&gt;=125,"125+")</f>
        <v>50-75</v>
      </c>
    </row>
    <row r="260" spans="1:13" x14ac:dyDescent="0.25">
      <c r="A260" t="s">
        <v>496</v>
      </c>
      <c r="B260" t="s">
        <v>495</v>
      </c>
      <c r="C260" s="1">
        <v>45478</v>
      </c>
      <c r="D260" t="s">
        <v>36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27</v>
      </c>
      <c r="K260">
        <v>0</v>
      </c>
      <c r="L260">
        <v>0</v>
      </c>
      <c r="M260" t="str" cm="1">
        <f t="array" ref="M260">_xlfn.IFS(I260&lt;25,"0-25",I260&lt;50,"25-50",I260&lt;75,"50-75",I260&lt;100,"75-100",I260&lt;125,"100-125",I260&gt;=125,"125+")</f>
        <v>25-50</v>
      </c>
    </row>
    <row r="261" spans="1:13" x14ac:dyDescent="0.25">
      <c r="A261" t="s">
        <v>497</v>
      </c>
      <c r="B261" t="s">
        <v>498</v>
      </c>
      <c r="C261" s="1">
        <v>45563</v>
      </c>
      <c r="D261" t="s">
        <v>30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62</v>
      </c>
      <c r="K261">
        <v>15</v>
      </c>
      <c r="L261">
        <v>0</v>
      </c>
      <c r="M261" t="str" cm="1">
        <f t="array" ref="M261">_xlfn.IFS(I261&lt;25,"0-25",I261&lt;50,"25-50",I261&lt;75,"50-75",I261&lt;100,"75-100",I261&lt;125,"100-125",I261&gt;=125,"125+")</f>
        <v>25-50</v>
      </c>
    </row>
    <row r="262" spans="1:13" x14ac:dyDescent="0.25">
      <c r="A262" t="s">
        <v>499</v>
      </c>
      <c r="B262" t="s">
        <v>500</v>
      </c>
      <c r="C262" s="1">
        <v>45310</v>
      </c>
      <c r="D262" t="s">
        <v>36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18</v>
      </c>
      <c r="K262">
        <v>59</v>
      </c>
      <c r="L262">
        <v>1</v>
      </c>
      <c r="M262" t="str" cm="1">
        <f t="array" ref="M262">_xlfn.IFS(I262&lt;25,"0-25",I262&lt;50,"25-50",I262&lt;75,"50-75",I262&lt;100,"75-100",I262&lt;125,"100-125",I262&gt;=125,"125+")</f>
        <v>75-100</v>
      </c>
    </row>
    <row r="263" spans="1:13" x14ac:dyDescent="0.25">
      <c r="A263" t="s">
        <v>501</v>
      </c>
      <c r="B263" t="s">
        <v>502</v>
      </c>
      <c r="C263" s="1">
        <v>45602</v>
      </c>
      <c r="D263" t="s">
        <v>14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62</v>
      </c>
      <c r="K263">
        <v>30</v>
      </c>
      <c r="L263">
        <v>0</v>
      </c>
      <c r="M263" t="str" cm="1">
        <f t="array" ref="M263">_xlfn.IFS(I263&lt;25,"0-25",I263&lt;50,"25-50",I263&lt;75,"50-75",I263&lt;100,"75-100",I263&lt;125,"100-125",I263&gt;=125,"125+")</f>
        <v>25-50</v>
      </c>
    </row>
    <row r="264" spans="1:13" x14ac:dyDescent="0.25">
      <c r="A264" t="s">
        <v>503</v>
      </c>
      <c r="B264" t="s">
        <v>504</v>
      </c>
      <c r="C264" s="1">
        <v>45406</v>
      </c>
      <c r="D264" t="s">
        <v>17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27</v>
      </c>
      <c r="K264">
        <v>0</v>
      </c>
      <c r="L264">
        <v>0</v>
      </c>
      <c r="M264" t="str" cm="1">
        <f t="array" ref="M264">_xlfn.IFS(I264&lt;25,"0-25",I264&lt;50,"25-50",I264&lt;75,"50-75",I264&lt;100,"75-100",I264&lt;125,"100-125",I264&gt;=125,"125+")</f>
        <v>0-25</v>
      </c>
    </row>
    <row r="265" spans="1:13" x14ac:dyDescent="0.25">
      <c r="A265" t="s">
        <v>505</v>
      </c>
      <c r="B265" t="s">
        <v>506</v>
      </c>
      <c r="C265" s="1">
        <v>45487</v>
      </c>
      <c r="D265" t="s">
        <v>14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27</v>
      </c>
      <c r="K265">
        <v>0</v>
      </c>
      <c r="L265">
        <v>0</v>
      </c>
      <c r="M265" t="str" cm="1">
        <f t="array" ref="M265">_xlfn.IFS(I265&lt;25,"0-25",I265&lt;50,"25-50",I265&lt;75,"50-75",I265&lt;100,"75-100",I265&lt;125,"100-125",I265&gt;=125,"125+")</f>
        <v>25-50</v>
      </c>
    </row>
    <row r="266" spans="1:13" x14ac:dyDescent="0.25">
      <c r="A266" t="s">
        <v>507</v>
      </c>
      <c r="B266" t="s">
        <v>508</v>
      </c>
      <c r="C266" s="1">
        <v>45774</v>
      </c>
      <c r="D266" t="s">
        <v>36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18</v>
      </c>
      <c r="K266">
        <v>145</v>
      </c>
      <c r="L266">
        <v>1</v>
      </c>
      <c r="M266" t="str" cm="1">
        <f t="array" ref="M266">_xlfn.IFS(I266&lt;25,"0-25",I266&lt;50,"25-50",I266&lt;75,"50-75",I266&lt;100,"75-100",I266&lt;125,"100-125",I266&gt;=125,"125+")</f>
        <v>25-50</v>
      </c>
    </row>
    <row r="267" spans="1:13" x14ac:dyDescent="0.25">
      <c r="A267" t="s">
        <v>509</v>
      </c>
      <c r="B267" t="s">
        <v>510</v>
      </c>
      <c r="C267" s="1">
        <v>45300</v>
      </c>
      <c r="D267" t="s">
        <v>38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18</v>
      </c>
      <c r="K267">
        <v>140</v>
      </c>
      <c r="L267">
        <v>1</v>
      </c>
      <c r="M267" t="str" cm="1">
        <f t="array" ref="M267">_xlfn.IFS(I267&lt;25,"0-25",I267&lt;50,"25-50",I267&lt;75,"50-75",I267&lt;100,"75-100",I267&lt;125,"100-125",I267&gt;=125,"125+")</f>
        <v>25-50</v>
      </c>
    </row>
    <row r="268" spans="1:13" x14ac:dyDescent="0.25">
      <c r="A268" t="s">
        <v>511</v>
      </c>
      <c r="B268" t="s">
        <v>512</v>
      </c>
      <c r="C268" s="1">
        <v>45329</v>
      </c>
      <c r="D268" t="s">
        <v>14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27</v>
      </c>
      <c r="K268">
        <v>0</v>
      </c>
      <c r="L268">
        <v>0</v>
      </c>
      <c r="M268" t="str" cm="1">
        <f t="array" ref="M268">_xlfn.IFS(I268&lt;25,"0-25",I268&lt;50,"25-50",I268&lt;75,"50-75",I268&lt;100,"75-100",I268&lt;125,"100-125",I268&gt;=125,"125+")</f>
        <v>25-50</v>
      </c>
    </row>
    <row r="269" spans="1:13" x14ac:dyDescent="0.25">
      <c r="A269" t="s">
        <v>513</v>
      </c>
      <c r="B269" t="s">
        <v>512</v>
      </c>
      <c r="C269" s="1">
        <v>45354</v>
      </c>
      <c r="D269" t="s">
        <v>47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27</v>
      </c>
      <c r="K269">
        <v>0</v>
      </c>
      <c r="L269">
        <v>0</v>
      </c>
      <c r="M269" t="str" cm="1">
        <f t="array" ref="M269">_xlfn.IFS(I269&lt;25,"0-25",I269&lt;50,"25-50",I269&lt;75,"50-75",I269&lt;100,"75-100",I269&lt;125,"100-125",I269&gt;=125,"125+")</f>
        <v>25-50</v>
      </c>
    </row>
    <row r="270" spans="1:13" x14ac:dyDescent="0.25">
      <c r="A270" t="s">
        <v>514</v>
      </c>
      <c r="B270" t="s">
        <v>515</v>
      </c>
      <c r="C270" s="1">
        <v>45647</v>
      </c>
      <c r="D270" t="s">
        <v>17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27</v>
      </c>
      <c r="K270">
        <v>0</v>
      </c>
      <c r="L270">
        <v>0</v>
      </c>
      <c r="M270" t="str" cm="1">
        <f t="array" ref="M270">_xlfn.IFS(I270&lt;25,"0-25",I270&lt;50,"25-50",I270&lt;75,"50-75",I270&lt;100,"75-100",I270&lt;125,"100-125",I270&gt;=125,"125+")</f>
        <v>0-25</v>
      </c>
    </row>
    <row r="271" spans="1:13" x14ac:dyDescent="0.25">
      <c r="A271" t="s">
        <v>516</v>
      </c>
      <c r="B271" t="s">
        <v>517</v>
      </c>
      <c r="C271" s="1">
        <v>45639</v>
      </c>
      <c r="D271" t="s">
        <v>14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62</v>
      </c>
      <c r="K271">
        <v>15</v>
      </c>
      <c r="L271">
        <v>0</v>
      </c>
      <c r="M271" t="str" cm="1">
        <f t="array" ref="M271">_xlfn.IFS(I271&lt;25,"0-25",I271&lt;50,"25-50",I271&lt;75,"50-75",I271&lt;100,"75-100",I271&lt;125,"100-125",I271&gt;=125,"125+")</f>
        <v>50-75</v>
      </c>
    </row>
    <row r="272" spans="1:13" x14ac:dyDescent="0.25">
      <c r="A272" t="s">
        <v>518</v>
      </c>
      <c r="B272" t="s">
        <v>519</v>
      </c>
      <c r="C272" s="1">
        <v>45660</v>
      </c>
      <c r="D272" t="s">
        <v>24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15</v>
      </c>
      <c r="K272">
        <v>0</v>
      </c>
      <c r="L272">
        <v>0</v>
      </c>
      <c r="M272" t="str" cm="1">
        <f t="array" ref="M272">_xlfn.IFS(I272&lt;25,"0-25",I272&lt;50,"25-50",I272&lt;75,"50-75",I272&lt;100,"75-100",I272&lt;125,"100-125",I272&gt;=125,"125+")</f>
        <v>0-25</v>
      </c>
    </row>
    <row r="273" spans="1:13" x14ac:dyDescent="0.25">
      <c r="A273" t="s">
        <v>520</v>
      </c>
      <c r="B273" t="s">
        <v>521</v>
      </c>
      <c r="C273" s="1">
        <v>45496</v>
      </c>
      <c r="D273" t="s">
        <v>24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18</v>
      </c>
      <c r="K273">
        <v>155</v>
      </c>
      <c r="L273">
        <v>1</v>
      </c>
      <c r="M273" t="str" cm="1">
        <f t="array" ref="M273">_xlfn.IFS(I273&lt;25,"0-25",I273&lt;50,"25-50",I273&lt;75,"50-75",I273&lt;100,"75-100",I273&lt;125,"100-125",I273&gt;=125,"125+")</f>
        <v>25-50</v>
      </c>
    </row>
    <row r="274" spans="1:13" x14ac:dyDescent="0.25">
      <c r="A274" t="s">
        <v>522</v>
      </c>
      <c r="B274" t="s">
        <v>523</v>
      </c>
      <c r="C274" s="1">
        <v>45340</v>
      </c>
      <c r="D274" t="s">
        <v>17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27</v>
      </c>
      <c r="K274">
        <v>0</v>
      </c>
      <c r="L274">
        <v>0</v>
      </c>
      <c r="M274" t="str" cm="1">
        <f t="array" ref="M274">_xlfn.IFS(I274&lt;25,"0-25",I274&lt;50,"25-50",I274&lt;75,"50-75",I274&lt;100,"75-100",I274&lt;125,"100-125",I274&gt;=125,"125+")</f>
        <v>25-50</v>
      </c>
    </row>
    <row r="275" spans="1:13" x14ac:dyDescent="0.25">
      <c r="A275" t="s">
        <v>524</v>
      </c>
      <c r="B275" t="s">
        <v>525</v>
      </c>
      <c r="C275" s="1">
        <v>45637</v>
      </c>
      <c r="D275" t="s">
        <v>33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18</v>
      </c>
      <c r="K275">
        <v>88</v>
      </c>
      <c r="L275">
        <v>1</v>
      </c>
      <c r="M275" t="str" cm="1">
        <f t="array" ref="M275">_xlfn.IFS(I275&lt;25,"0-25",I275&lt;50,"25-50",I275&lt;75,"50-75",I275&lt;100,"75-100",I275&lt;125,"100-125",I275&gt;=125,"125+")</f>
        <v>125+</v>
      </c>
    </row>
    <row r="276" spans="1:13" x14ac:dyDescent="0.25">
      <c r="A276" t="s">
        <v>526</v>
      </c>
      <c r="B276" t="s">
        <v>527</v>
      </c>
      <c r="C276" s="1">
        <v>45565</v>
      </c>
      <c r="D276" t="s">
        <v>38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62</v>
      </c>
      <c r="K276">
        <v>15</v>
      </c>
      <c r="L276">
        <v>0</v>
      </c>
      <c r="M276" t="str" cm="1">
        <f t="array" ref="M276">_xlfn.IFS(I276&lt;25,"0-25",I276&lt;50,"25-50",I276&lt;75,"50-75",I276&lt;100,"75-100",I276&lt;125,"100-125",I276&gt;=125,"125+")</f>
        <v>50-75</v>
      </c>
    </row>
    <row r="277" spans="1:13" x14ac:dyDescent="0.25">
      <c r="A277" t="s">
        <v>528</v>
      </c>
      <c r="B277" t="s">
        <v>529</v>
      </c>
      <c r="C277" s="1">
        <v>45405</v>
      </c>
      <c r="D277" t="s">
        <v>36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62</v>
      </c>
      <c r="K277">
        <v>0</v>
      </c>
      <c r="L277">
        <v>0</v>
      </c>
      <c r="M277" t="str" cm="1">
        <f t="array" ref="M277">_xlfn.IFS(I277&lt;25,"0-25",I277&lt;50,"25-50",I277&lt;75,"50-75",I277&lt;100,"75-100",I277&lt;125,"100-125",I277&gt;=125,"125+")</f>
        <v>50-75</v>
      </c>
    </row>
    <row r="278" spans="1:13" x14ac:dyDescent="0.25">
      <c r="A278" t="s">
        <v>530</v>
      </c>
      <c r="B278" t="s">
        <v>531</v>
      </c>
      <c r="C278" s="1">
        <v>45412</v>
      </c>
      <c r="D278" t="s">
        <v>36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62</v>
      </c>
      <c r="K278">
        <v>15</v>
      </c>
      <c r="L278">
        <v>0</v>
      </c>
      <c r="M278" t="str" cm="1">
        <f t="array" ref="M278">_xlfn.IFS(I278&lt;25,"0-25",I278&lt;50,"25-50",I278&lt;75,"50-75",I278&lt;100,"75-100",I278&lt;125,"100-125",I278&gt;=125,"125+")</f>
        <v>50-75</v>
      </c>
    </row>
    <row r="279" spans="1:13" x14ac:dyDescent="0.25">
      <c r="A279" t="s">
        <v>532</v>
      </c>
      <c r="B279" t="s">
        <v>531</v>
      </c>
      <c r="C279" s="1">
        <v>45393</v>
      </c>
      <c r="D279" t="s">
        <v>24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18</v>
      </c>
      <c r="K279">
        <v>123</v>
      </c>
      <c r="L279">
        <v>1</v>
      </c>
      <c r="M279" t="str" cm="1">
        <f t="array" ref="M279">_xlfn.IFS(I279&lt;25,"0-25",I279&lt;50,"25-50",I279&lt;75,"50-75",I279&lt;100,"75-100",I279&lt;125,"100-125",I279&gt;=125,"125+")</f>
        <v>50-75</v>
      </c>
    </row>
    <row r="280" spans="1:13" x14ac:dyDescent="0.25">
      <c r="A280" t="s">
        <v>533</v>
      </c>
      <c r="B280" t="s">
        <v>534</v>
      </c>
      <c r="C280" s="1">
        <v>45298</v>
      </c>
      <c r="D280" t="s">
        <v>33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27</v>
      </c>
      <c r="K280">
        <v>0</v>
      </c>
      <c r="L280">
        <v>0</v>
      </c>
      <c r="M280" t="str" cm="1">
        <f t="array" ref="M280">_xlfn.IFS(I280&lt;25,"0-25",I280&lt;50,"25-50",I280&lt;75,"50-75",I280&lt;100,"75-100",I280&lt;125,"100-125",I280&gt;=125,"125+")</f>
        <v>25-50</v>
      </c>
    </row>
    <row r="281" spans="1:13" x14ac:dyDescent="0.25">
      <c r="A281" t="s">
        <v>535</v>
      </c>
      <c r="B281" t="s">
        <v>536</v>
      </c>
      <c r="C281" s="1">
        <v>45543</v>
      </c>
      <c r="D281" t="s">
        <v>36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27</v>
      </c>
      <c r="K281">
        <v>0</v>
      </c>
      <c r="L281">
        <v>0</v>
      </c>
      <c r="M281" t="str" cm="1">
        <f t="array" ref="M281">_xlfn.IFS(I281&lt;25,"0-25",I281&lt;50,"25-50",I281&lt;75,"50-75",I281&lt;100,"75-100",I281&lt;125,"100-125",I281&gt;=125,"125+")</f>
        <v>25-50</v>
      </c>
    </row>
    <row r="282" spans="1:13" x14ac:dyDescent="0.25">
      <c r="A282" t="s">
        <v>537</v>
      </c>
      <c r="B282" t="s">
        <v>538</v>
      </c>
      <c r="C282" s="1">
        <v>45820</v>
      </c>
      <c r="D282" t="s">
        <v>17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27</v>
      </c>
      <c r="K282">
        <v>0</v>
      </c>
      <c r="L282">
        <v>0</v>
      </c>
      <c r="M282" t="str" cm="1">
        <f t="array" ref="M282">_xlfn.IFS(I282&lt;25,"0-25",I282&lt;50,"25-50",I282&lt;75,"50-75",I282&lt;100,"75-100",I282&lt;125,"100-125",I282&gt;=125,"125+")</f>
        <v>25-50</v>
      </c>
    </row>
    <row r="283" spans="1:13" x14ac:dyDescent="0.25">
      <c r="A283" t="s">
        <v>539</v>
      </c>
      <c r="B283" t="s">
        <v>540</v>
      </c>
      <c r="C283" s="1">
        <v>45614</v>
      </c>
      <c r="D283" t="s">
        <v>41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27</v>
      </c>
      <c r="K283">
        <v>0</v>
      </c>
      <c r="L283">
        <v>0</v>
      </c>
      <c r="M283" t="str" cm="1">
        <f t="array" ref="M283">_xlfn.IFS(I283&lt;25,"0-25",I283&lt;50,"25-50",I283&lt;75,"50-75",I283&lt;100,"75-100",I283&lt;125,"100-125",I283&gt;=125,"125+")</f>
        <v>25-50</v>
      </c>
    </row>
    <row r="284" spans="1:13" x14ac:dyDescent="0.25">
      <c r="A284" t="s">
        <v>541</v>
      </c>
      <c r="B284" t="s">
        <v>542</v>
      </c>
      <c r="C284" s="1">
        <v>45824</v>
      </c>
      <c r="D284" t="s">
        <v>41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15</v>
      </c>
      <c r="K284">
        <v>0</v>
      </c>
      <c r="L284">
        <v>0</v>
      </c>
      <c r="M284" t="str" cm="1">
        <f t="array" ref="M284">_xlfn.IFS(I284&lt;25,"0-25",I284&lt;50,"25-50",I284&lt;75,"50-75",I284&lt;100,"75-100",I284&lt;125,"100-125",I284&gt;=125,"125+")</f>
        <v>25-50</v>
      </c>
    </row>
    <row r="285" spans="1:13" x14ac:dyDescent="0.25">
      <c r="A285" t="s">
        <v>543</v>
      </c>
      <c r="B285" t="s">
        <v>544</v>
      </c>
      <c r="C285" s="1">
        <v>45578</v>
      </c>
      <c r="D285" t="s">
        <v>24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27</v>
      </c>
      <c r="K285">
        <v>0</v>
      </c>
      <c r="L285">
        <v>0</v>
      </c>
      <c r="M285" t="str" cm="1">
        <f t="array" ref="M285">_xlfn.IFS(I285&lt;25,"0-25",I285&lt;50,"25-50",I285&lt;75,"50-75",I285&lt;100,"75-100",I285&lt;125,"100-125",I285&gt;=125,"125+")</f>
        <v>50-75</v>
      </c>
    </row>
    <row r="286" spans="1:13" x14ac:dyDescent="0.25">
      <c r="A286" t="s">
        <v>545</v>
      </c>
      <c r="B286" t="s">
        <v>546</v>
      </c>
      <c r="C286" s="1">
        <v>45645</v>
      </c>
      <c r="D286" t="s">
        <v>38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27</v>
      </c>
      <c r="K286">
        <v>0</v>
      </c>
      <c r="L286">
        <v>0</v>
      </c>
      <c r="M286" t="str" cm="1">
        <f t="array" ref="M286">_xlfn.IFS(I286&lt;25,"0-25",I286&lt;50,"25-50",I286&lt;75,"50-75",I286&lt;100,"75-100",I286&lt;125,"100-125",I286&gt;=125,"125+")</f>
        <v>25-50</v>
      </c>
    </row>
    <row r="287" spans="1:13" x14ac:dyDescent="0.25">
      <c r="A287" t="s">
        <v>547</v>
      </c>
      <c r="B287" t="s">
        <v>548</v>
      </c>
      <c r="C287" s="1">
        <v>45421</v>
      </c>
      <c r="D287" t="s">
        <v>24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27</v>
      </c>
      <c r="K287">
        <v>0</v>
      </c>
      <c r="L287">
        <v>0</v>
      </c>
      <c r="M287" t="str" cm="1">
        <f t="array" ref="M287">_xlfn.IFS(I287&lt;25,"0-25",I287&lt;50,"25-50",I287&lt;75,"50-75",I287&lt;100,"75-100",I287&lt;125,"100-125",I287&gt;=125,"125+")</f>
        <v>25-50</v>
      </c>
    </row>
    <row r="288" spans="1:13" x14ac:dyDescent="0.25">
      <c r="A288" t="s">
        <v>549</v>
      </c>
      <c r="B288" t="s">
        <v>550</v>
      </c>
      <c r="C288" s="1">
        <v>45556</v>
      </c>
      <c r="D288" t="s">
        <v>24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15</v>
      </c>
      <c r="K288">
        <v>0</v>
      </c>
      <c r="L288">
        <v>0</v>
      </c>
      <c r="M288" t="str" cm="1">
        <f t="array" ref="M288">_xlfn.IFS(I288&lt;25,"0-25",I288&lt;50,"25-50",I288&lt;75,"50-75",I288&lt;100,"75-100",I288&lt;125,"100-125",I288&gt;=125,"125+")</f>
        <v>50-75</v>
      </c>
    </row>
    <row r="289" spans="1:13" x14ac:dyDescent="0.25">
      <c r="A289" t="s">
        <v>551</v>
      </c>
      <c r="B289" t="s">
        <v>552</v>
      </c>
      <c r="C289" s="1">
        <v>45654</v>
      </c>
      <c r="D289" t="s">
        <v>36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18</v>
      </c>
      <c r="K289">
        <v>61</v>
      </c>
      <c r="L289">
        <v>1</v>
      </c>
      <c r="M289" t="str" cm="1">
        <f t="array" ref="M289">_xlfn.IFS(I289&lt;25,"0-25",I289&lt;50,"25-50",I289&lt;75,"50-75",I289&lt;100,"75-100",I289&lt;125,"100-125",I289&gt;=125,"125+")</f>
        <v>25-50</v>
      </c>
    </row>
    <row r="290" spans="1:13" x14ac:dyDescent="0.25">
      <c r="A290" t="s">
        <v>553</v>
      </c>
      <c r="B290" t="s">
        <v>552</v>
      </c>
      <c r="C290" s="1">
        <v>45533</v>
      </c>
      <c r="D290" t="s">
        <v>14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62</v>
      </c>
      <c r="K290">
        <v>30</v>
      </c>
      <c r="L290">
        <v>0</v>
      </c>
      <c r="M290" t="str" cm="1">
        <f t="array" ref="M290">_xlfn.IFS(I290&lt;25,"0-25",I290&lt;50,"25-50",I290&lt;75,"50-75",I290&lt;100,"75-100",I290&lt;125,"100-125",I290&gt;=125,"125+")</f>
        <v>25-50</v>
      </c>
    </row>
    <row r="291" spans="1:13" x14ac:dyDescent="0.25">
      <c r="A291" t="s">
        <v>554</v>
      </c>
      <c r="B291" t="s">
        <v>555</v>
      </c>
      <c r="C291" s="1">
        <v>45435</v>
      </c>
      <c r="D291" t="s">
        <v>21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27</v>
      </c>
      <c r="K291">
        <v>0</v>
      </c>
      <c r="L291">
        <v>0</v>
      </c>
      <c r="M291" t="str" cm="1">
        <f t="array" ref="M291">_xlfn.IFS(I291&lt;25,"0-25",I291&lt;50,"25-50",I291&lt;75,"50-75",I291&lt;100,"75-100",I291&lt;125,"100-125",I291&gt;=125,"125+")</f>
        <v>50-75</v>
      </c>
    </row>
    <row r="292" spans="1:13" x14ac:dyDescent="0.25">
      <c r="A292" t="s">
        <v>556</v>
      </c>
      <c r="B292" t="s">
        <v>555</v>
      </c>
      <c r="C292" s="1">
        <v>45442</v>
      </c>
      <c r="D292" t="s">
        <v>30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27</v>
      </c>
      <c r="K292">
        <v>0</v>
      </c>
      <c r="L292">
        <v>0</v>
      </c>
      <c r="M292" t="str" cm="1">
        <f t="array" ref="M292">_xlfn.IFS(I292&lt;25,"0-25",I292&lt;50,"25-50",I292&lt;75,"50-75",I292&lt;100,"75-100",I292&lt;125,"100-125",I292&gt;=125,"125+")</f>
        <v>50-75</v>
      </c>
    </row>
    <row r="293" spans="1:13" x14ac:dyDescent="0.25">
      <c r="A293" t="s">
        <v>557</v>
      </c>
      <c r="B293" t="s">
        <v>558</v>
      </c>
      <c r="C293" s="1">
        <v>45704</v>
      </c>
      <c r="D293" t="s">
        <v>33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27</v>
      </c>
      <c r="K293">
        <v>0</v>
      </c>
      <c r="L293">
        <v>0</v>
      </c>
      <c r="M293" t="str" cm="1">
        <f t="array" ref="M293">_xlfn.IFS(I293&lt;25,"0-25",I293&lt;50,"25-50",I293&lt;75,"50-75",I293&lt;100,"75-100",I293&lt;125,"100-125",I293&gt;=125,"125+")</f>
        <v>25-50</v>
      </c>
    </row>
    <row r="294" spans="1:13" x14ac:dyDescent="0.25">
      <c r="A294" t="s">
        <v>559</v>
      </c>
      <c r="B294" t="s">
        <v>560</v>
      </c>
      <c r="C294" s="1">
        <v>45718</v>
      </c>
      <c r="D294" t="s">
        <v>14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27</v>
      </c>
      <c r="K294">
        <v>0</v>
      </c>
      <c r="L294">
        <v>0</v>
      </c>
      <c r="M294" t="str" cm="1">
        <f t="array" ref="M294">_xlfn.IFS(I294&lt;25,"0-25",I294&lt;50,"25-50",I294&lt;75,"50-75",I294&lt;100,"75-100",I294&lt;125,"100-125",I294&gt;=125,"125+")</f>
        <v>50-75</v>
      </c>
    </row>
    <row r="295" spans="1:13" x14ac:dyDescent="0.25">
      <c r="A295" t="s">
        <v>561</v>
      </c>
      <c r="B295" t="s">
        <v>562</v>
      </c>
      <c r="C295" s="1">
        <v>45509</v>
      </c>
      <c r="D295" t="s">
        <v>33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27</v>
      </c>
      <c r="K295">
        <v>0</v>
      </c>
      <c r="L295">
        <v>0</v>
      </c>
      <c r="M295" t="str" cm="1">
        <f t="array" ref="M295">_xlfn.IFS(I295&lt;25,"0-25",I295&lt;50,"25-50",I295&lt;75,"50-75",I295&lt;100,"75-100",I295&lt;125,"100-125",I295&gt;=125,"125+")</f>
        <v>50-75</v>
      </c>
    </row>
    <row r="296" spans="1:13" x14ac:dyDescent="0.25">
      <c r="A296" t="s">
        <v>563</v>
      </c>
      <c r="B296" t="s">
        <v>564</v>
      </c>
      <c r="C296" s="1">
        <v>45588</v>
      </c>
      <c r="D296" t="s">
        <v>36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18</v>
      </c>
      <c r="K296">
        <v>69</v>
      </c>
      <c r="L296">
        <v>1</v>
      </c>
      <c r="M296" t="str" cm="1">
        <f t="array" ref="M296">_xlfn.IFS(I296&lt;25,"0-25",I296&lt;50,"25-50",I296&lt;75,"50-75",I296&lt;100,"75-100",I296&lt;125,"100-125",I296&gt;=125,"125+")</f>
        <v>50-75</v>
      </c>
    </row>
    <row r="297" spans="1:13" x14ac:dyDescent="0.25">
      <c r="A297" t="s">
        <v>565</v>
      </c>
      <c r="B297" t="s">
        <v>566</v>
      </c>
      <c r="C297" s="1">
        <v>45438</v>
      </c>
      <c r="D297" t="s">
        <v>24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27</v>
      </c>
      <c r="K297">
        <v>0</v>
      </c>
      <c r="L297">
        <v>0</v>
      </c>
      <c r="M297" t="str" cm="1">
        <f t="array" ref="M297">_xlfn.IFS(I297&lt;25,"0-25",I297&lt;50,"25-50",I297&lt;75,"50-75",I297&lt;100,"75-100",I297&lt;125,"100-125",I297&gt;=125,"125+")</f>
        <v>25-50</v>
      </c>
    </row>
    <row r="298" spans="1:13" x14ac:dyDescent="0.25">
      <c r="A298" t="s">
        <v>567</v>
      </c>
      <c r="B298" t="s">
        <v>568</v>
      </c>
      <c r="C298" s="1">
        <v>45649</v>
      </c>
      <c r="D298" t="s">
        <v>24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18</v>
      </c>
      <c r="K298">
        <v>41</v>
      </c>
      <c r="L298">
        <v>1</v>
      </c>
      <c r="M298" t="str" cm="1">
        <f t="array" ref="M298">_xlfn.IFS(I298&lt;25,"0-25",I298&lt;50,"25-50",I298&lt;75,"50-75",I298&lt;100,"75-100",I298&lt;125,"100-125",I298&gt;=125,"125+")</f>
        <v>50-75</v>
      </c>
    </row>
    <row r="299" spans="1:13" x14ac:dyDescent="0.25">
      <c r="A299" t="s">
        <v>569</v>
      </c>
      <c r="B299" t="s">
        <v>568</v>
      </c>
      <c r="C299" s="1">
        <v>45678</v>
      </c>
      <c r="D299" t="s">
        <v>17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62</v>
      </c>
      <c r="K299">
        <v>0</v>
      </c>
      <c r="L299">
        <v>0</v>
      </c>
      <c r="M299" t="str" cm="1">
        <f t="array" ref="M299">_xlfn.IFS(I299&lt;25,"0-25",I299&lt;50,"25-50",I299&lt;75,"50-75",I299&lt;100,"75-100",I299&lt;125,"100-125",I299&gt;=125,"125+")</f>
        <v>25-50</v>
      </c>
    </row>
    <row r="300" spans="1:13" x14ac:dyDescent="0.25">
      <c r="A300" t="s">
        <v>570</v>
      </c>
      <c r="B300" t="s">
        <v>571</v>
      </c>
      <c r="C300" s="1">
        <v>45625</v>
      </c>
      <c r="D300" t="s">
        <v>21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18</v>
      </c>
      <c r="K300">
        <v>134</v>
      </c>
      <c r="L300">
        <v>1</v>
      </c>
      <c r="M300" t="str" cm="1">
        <f t="array" ref="M300">_xlfn.IFS(I300&lt;25,"0-25",I300&lt;50,"25-50",I300&lt;75,"50-75",I300&lt;100,"75-100",I300&lt;125,"100-125",I300&gt;=125,"125+")</f>
        <v>25-50</v>
      </c>
    </row>
    <row r="301" spans="1:13" x14ac:dyDescent="0.25">
      <c r="A301" t="s">
        <v>572</v>
      </c>
      <c r="B301" t="s">
        <v>573</v>
      </c>
      <c r="C301" s="1">
        <v>45382</v>
      </c>
      <c r="D301" t="s">
        <v>17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27</v>
      </c>
      <c r="K301">
        <v>0</v>
      </c>
      <c r="L301">
        <v>0</v>
      </c>
      <c r="M301" t="str" cm="1">
        <f t="array" ref="M301">_xlfn.IFS(I301&lt;25,"0-25",I301&lt;50,"25-50",I301&lt;75,"50-75",I301&lt;100,"75-100",I301&lt;125,"100-125",I301&gt;=125,"125+")</f>
        <v>0-25</v>
      </c>
    </row>
    <row r="302" spans="1:13" x14ac:dyDescent="0.25">
      <c r="A302" t="s">
        <v>574</v>
      </c>
      <c r="B302" t="s">
        <v>575</v>
      </c>
      <c r="C302" s="1">
        <v>45346</v>
      </c>
      <c r="D302" t="s">
        <v>24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15</v>
      </c>
      <c r="K302">
        <v>0</v>
      </c>
      <c r="L302">
        <v>0</v>
      </c>
      <c r="M302" t="str" cm="1">
        <f t="array" ref="M302">_xlfn.IFS(I302&lt;25,"0-25",I302&lt;50,"25-50",I302&lt;75,"50-75",I302&lt;100,"75-100",I302&lt;125,"100-125",I302&gt;=125,"125+")</f>
        <v>50-75</v>
      </c>
    </row>
    <row r="303" spans="1:13" x14ac:dyDescent="0.25">
      <c r="A303" t="s">
        <v>576</v>
      </c>
      <c r="B303" t="s">
        <v>577</v>
      </c>
      <c r="C303" s="1">
        <v>45573</v>
      </c>
      <c r="D303" t="s">
        <v>41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15</v>
      </c>
      <c r="K303">
        <v>0</v>
      </c>
      <c r="L303">
        <v>0</v>
      </c>
      <c r="M303" t="str" cm="1">
        <f t="array" ref="M303">_xlfn.IFS(I303&lt;25,"0-25",I303&lt;50,"25-50",I303&lt;75,"50-75",I303&lt;100,"75-100",I303&lt;125,"100-125",I303&gt;=125,"125+")</f>
        <v>50-75</v>
      </c>
    </row>
    <row r="304" spans="1:13" x14ac:dyDescent="0.25">
      <c r="A304" t="s">
        <v>578</v>
      </c>
      <c r="B304" t="s">
        <v>579</v>
      </c>
      <c r="C304" s="1">
        <v>45338</v>
      </c>
      <c r="D304" t="s">
        <v>14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62</v>
      </c>
      <c r="K304">
        <v>15</v>
      </c>
      <c r="L304">
        <v>0</v>
      </c>
      <c r="M304" t="str" cm="1">
        <f t="array" ref="M304">_xlfn.IFS(I304&lt;25,"0-25",I304&lt;50,"25-50",I304&lt;75,"50-75",I304&lt;100,"75-100",I304&lt;125,"100-125",I304&gt;=125,"125+")</f>
        <v>50-75</v>
      </c>
    </row>
    <row r="305" spans="1:13" x14ac:dyDescent="0.25">
      <c r="A305" t="s">
        <v>580</v>
      </c>
      <c r="B305" t="s">
        <v>579</v>
      </c>
      <c r="C305" s="1">
        <v>45385</v>
      </c>
      <c r="D305" t="s">
        <v>33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18</v>
      </c>
      <c r="K305">
        <v>55</v>
      </c>
      <c r="L305">
        <v>1</v>
      </c>
      <c r="M305" t="str" cm="1">
        <f t="array" ref="M305">_xlfn.IFS(I305&lt;25,"0-25",I305&lt;50,"25-50",I305&lt;75,"50-75",I305&lt;100,"75-100",I305&lt;125,"100-125",I305&gt;=125,"125+")</f>
        <v>50-75</v>
      </c>
    </row>
    <row r="306" spans="1:13" x14ac:dyDescent="0.25">
      <c r="A306" t="s">
        <v>581</v>
      </c>
      <c r="B306" t="s">
        <v>582</v>
      </c>
      <c r="C306" s="1">
        <v>45709</v>
      </c>
      <c r="D306" t="s">
        <v>24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15</v>
      </c>
      <c r="K306">
        <v>0</v>
      </c>
      <c r="L306">
        <v>0</v>
      </c>
      <c r="M306" t="str" cm="1">
        <f t="array" ref="M306">_xlfn.IFS(I306&lt;25,"0-25",I306&lt;50,"25-50",I306&lt;75,"50-75",I306&lt;100,"75-100",I306&lt;125,"100-125",I306&gt;=125,"125+")</f>
        <v>50-75</v>
      </c>
    </row>
    <row r="307" spans="1:13" x14ac:dyDescent="0.25">
      <c r="A307" t="s">
        <v>583</v>
      </c>
      <c r="B307" t="s">
        <v>584</v>
      </c>
      <c r="C307" s="1">
        <v>45623</v>
      </c>
      <c r="D307" t="s">
        <v>41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62</v>
      </c>
      <c r="K307">
        <v>15</v>
      </c>
      <c r="L307">
        <v>0</v>
      </c>
      <c r="M307" t="str" cm="1">
        <f t="array" ref="M307">_xlfn.IFS(I307&lt;25,"0-25",I307&lt;50,"25-50",I307&lt;75,"50-75",I307&lt;100,"75-100",I307&lt;125,"100-125",I307&gt;=125,"125+")</f>
        <v>25-50</v>
      </c>
    </row>
    <row r="308" spans="1:13" x14ac:dyDescent="0.25">
      <c r="A308" t="s">
        <v>585</v>
      </c>
      <c r="B308" t="s">
        <v>586</v>
      </c>
      <c r="C308" s="1">
        <v>45808</v>
      </c>
      <c r="D308" t="s">
        <v>38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27</v>
      </c>
      <c r="K308">
        <v>0</v>
      </c>
      <c r="L308">
        <v>0</v>
      </c>
      <c r="M308" t="str" cm="1">
        <f t="array" ref="M308">_xlfn.IFS(I308&lt;25,"0-25",I308&lt;50,"25-50",I308&lt;75,"50-75",I308&lt;100,"75-100",I308&lt;125,"100-125",I308&gt;=125,"125+")</f>
        <v>25-50</v>
      </c>
    </row>
    <row r="309" spans="1:13" x14ac:dyDescent="0.25">
      <c r="A309" t="s">
        <v>587</v>
      </c>
      <c r="B309" t="s">
        <v>588</v>
      </c>
      <c r="C309" s="1">
        <v>45311</v>
      </c>
      <c r="D309" t="s">
        <v>17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18</v>
      </c>
      <c r="K309">
        <v>180</v>
      </c>
      <c r="L309">
        <v>1</v>
      </c>
      <c r="M309" t="str" cm="1">
        <f t="array" ref="M309">_xlfn.IFS(I309&lt;25,"0-25",I309&lt;50,"25-50",I309&lt;75,"50-75",I309&lt;100,"75-100",I309&lt;125,"100-125",I309&gt;=125,"125+")</f>
        <v>25-50</v>
      </c>
    </row>
    <row r="310" spans="1:13" x14ac:dyDescent="0.25">
      <c r="A310" t="s">
        <v>589</v>
      </c>
      <c r="B310" t="s">
        <v>590</v>
      </c>
      <c r="C310" s="1">
        <v>45708</v>
      </c>
      <c r="D310" t="s">
        <v>38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27</v>
      </c>
      <c r="K310">
        <v>0</v>
      </c>
      <c r="L310">
        <v>0</v>
      </c>
      <c r="M310" t="str" cm="1">
        <f t="array" ref="M310">_xlfn.IFS(I310&lt;25,"0-25",I310&lt;50,"25-50",I310&lt;75,"50-75",I310&lt;100,"75-100",I310&lt;125,"100-125",I310&gt;=125,"125+")</f>
        <v>25-50</v>
      </c>
    </row>
    <row r="311" spans="1:13" x14ac:dyDescent="0.25">
      <c r="A311" t="s">
        <v>591</v>
      </c>
      <c r="B311" t="s">
        <v>592</v>
      </c>
      <c r="C311" s="1">
        <v>45725</v>
      </c>
      <c r="D311" t="s">
        <v>33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27</v>
      </c>
      <c r="K311">
        <v>0</v>
      </c>
      <c r="L311">
        <v>0</v>
      </c>
      <c r="M311" t="str" cm="1">
        <f t="array" ref="M311">_xlfn.IFS(I311&lt;25,"0-25",I311&lt;50,"25-50",I311&lt;75,"50-75",I311&lt;100,"75-100",I311&lt;125,"100-125",I311&gt;=125,"125+")</f>
        <v>50-75</v>
      </c>
    </row>
    <row r="312" spans="1:13" x14ac:dyDescent="0.25">
      <c r="A312" t="s">
        <v>593</v>
      </c>
      <c r="B312" t="s">
        <v>594</v>
      </c>
      <c r="C312" s="1">
        <v>45785</v>
      </c>
      <c r="D312" t="s">
        <v>47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62</v>
      </c>
      <c r="K312">
        <v>0</v>
      </c>
      <c r="L312">
        <v>0</v>
      </c>
      <c r="M312" t="str" cm="1">
        <f t="array" ref="M312">_xlfn.IFS(I312&lt;25,"0-25",I312&lt;50,"25-50",I312&lt;75,"50-75",I312&lt;100,"75-100",I312&lt;125,"100-125",I312&gt;=125,"125+")</f>
        <v>75-100</v>
      </c>
    </row>
    <row r="313" spans="1:13" x14ac:dyDescent="0.25">
      <c r="A313" t="s">
        <v>595</v>
      </c>
      <c r="B313" t="s">
        <v>594</v>
      </c>
      <c r="C313" s="1">
        <v>45457</v>
      </c>
      <c r="D313" t="s">
        <v>30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27</v>
      </c>
      <c r="K313">
        <v>0</v>
      </c>
      <c r="L313">
        <v>0</v>
      </c>
      <c r="M313" t="str" cm="1">
        <f t="array" ref="M313">_xlfn.IFS(I313&lt;25,"0-25",I313&lt;50,"25-50",I313&lt;75,"50-75",I313&lt;100,"75-100",I313&lt;125,"100-125",I313&gt;=125,"125+")</f>
        <v>25-50</v>
      </c>
    </row>
    <row r="314" spans="1:13" x14ac:dyDescent="0.25">
      <c r="A314" t="s">
        <v>596</v>
      </c>
      <c r="B314" t="s">
        <v>597</v>
      </c>
      <c r="C314" s="1">
        <v>45507</v>
      </c>
      <c r="D314" t="s">
        <v>36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62</v>
      </c>
      <c r="K314">
        <v>30</v>
      </c>
      <c r="L314">
        <v>0</v>
      </c>
      <c r="M314" t="str" cm="1">
        <f t="array" ref="M314">_xlfn.IFS(I314&lt;25,"0-25",I314&lt;50,"25-50",I314&lt;75,"50-75",I314&lt;100,"75-100",I314&lt;125,"100-125",I314&gt;=125,"125+")</f>
        <v>75-100</v>
      </c>
    </row>
    <row r="315" spans="1:13" x14ac:dyDescent="0.25">
      <c r="A315" t="s">
        <v>598</v>
      </c>
      <c r="B315" t="s">
        <v>599</v>
      </c>
      <c r="C315" s="1">
        <v>45621</v>
      </c>
      <c r="D315" t="s">
        <v>30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27</v>
      </c>
      <c r="K315">
        <v>0</v>
      </c>
      <c r="L315">
        <v>0</v>
      </c>
      <c r="M315" t="str" cm="1">
        <f t="array" ref="M315">_xlfn.IFS(I315&lt;25,"0-25",I315&lt;50,"25-50",I315&lt;75,"50-75",I315&lt;100,"75-100",I315&lt;125,"100-125",I315&gt;=125,"125+")</f>
        <v>25-50</v>
      </c>
    </row>
    <row r="316" spans="1:13" x14ac:dyDescent="0.25">
      <c r="A316" t="s">
        <v>600</v>
      </c>
      <c r="B316" t="s">
        <v>601</v>
      </c>
      <c r="C316" s="1">
        <v>45301</v>
      </c>
      <c r="D316" t="s">
        <v>33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15</v>
      </c>
      <c r="K316">
        <v>0</v>
      </c>
      <c r="L316">
        <v>0</v>
      </c>
      <c r="M316" t="str" cm="1">
        <f t="array" ref="M316">_xlfn.IFS(I316&lt;25,"0-25",I316&lt;50,"25-50",I316&lt;75,"50-75",I316&lt;100,"75-100",I316&lt;125,"100-125",I316&gt;=125,"125+")</f>
        <v>0-25</v>
      </c>
    </row>
    <row r="317" spans="1:13" x14ac:dyDescent="0.25">
      <c r="A317" t="s">
        <v>602</v>
      </c>
      <c r="B317" t="s">
        <v>603</v>
      </c>
      <c r="C317" s="1">
        <v>45747</v>
      </c>
      <c r="D317" t="s">
        <v>17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15</v>
      </c>
      <c r="K317">
        <v>0</v>
      </c>
      <c r="L317">
        <v>0</v>
      </c>
      <c r="M317" t="str" cm="1">
        <f t="array" ref="M317">_xlfn.IFS(I317&lt;25,"0-25",I317&lt;50,"25-50",I317&lt;75,"50-75",I317&lt;100,"75-100",I317&lt;125,"100-125",I317&gt;=125,"125+")</f>
        <v>75-100</v>
      </c>
    </row>
    <row r="318" spans="1:13" x14ac:dyDescent="0.25">
      <c r="A318" t="s">
        <v>604</v>
      </c>
      <c r="B318" t="s">
        <v>605</v>
      </c>
      <c r="C318" s="1">
        <v>45671</v>
      </c>
      <c r="D318" t="s">
        <v>30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27</v>
      </c>
      <c r="K318">
        <v>0</v>
      </c>
      <c r="L318">
        <v>0</v>
      </c>
      <c r="M318" t="str" cm="1">
        <f t="array" ref="M318">_xlfn.IFS(I318&lt;25,"0-25",I318&lt;50,"25-50",I318&lt;75,"50-75",I318&lt;100,"75-100",I318&lt;125,"100-125",I318&gt;=125,"125+")</f>
        <v>50-75</v>
      </c>
    </row>
    <row r="319" spans="1:13" x14ac:dyDescent="0.25">
      <c r="A319" t="s">
        <v>606</v>
      </c>
      <c r="B319" t="s">
        <v>605</v>
      </c>
      <c r="C319" s="1">
        <v>45602</v>
      </c>
      <c r="D319" t="s">
        <v>41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15</v>
      </c>
      <c r="K319">
        <v>0</v>
      </c>
      <c r="L319">
        <v>0</v>
      </c>
      <c r="M319" t="str" cm="1">
        <f t="array" ref="M319">_xlfn.IFS(I319&lt;25,"0-25",I319&lt;50,"25-50",I319&lt;75,"50-75",I319&lt;100,"75-100",I319&lt;125,"100-125",I319&gt;=125,"125+")</f>
        <v>25-50</v>
      </c>
    </row>
    <row r="320" spans="1:13" x14ac:dyDescent="0.25">
      <c r="A320" t="s">
        <v>607</v>
      </c>
      <c r="B320" t="s">
        <v>608</v>
      </c>
      <c r="C320" s="1">
        <v>45492</v>
      </c>
      <c r="D320" t="s">
        <v>41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27</v>
      </c>
      <c r="K320">
        <v>0</v>
      </c>
      <c r="L320">
        <v>0</v>
      </c>
      <c r="M320" t="str" cm="1">
        <f t="array" ref="M320">_xlfn.IFS(I320&lt;25,"0-25",I320&lt;50,"25-50",I320&lt;75,"50-75",I320&lt;100,"75-100",I320&lt;125,"100-125",I320&gt;=125,"125+")</f>
        <v>50-75</v>
      </c>
    </row>
    <row r="321" spans="1:13" x14ac:dyDescent="0.25">
      <c r="A321" t="s">
        <v>609</v>
      </c>
      <c r="B321" t="s">
        <v>608</v>
      </c>
      <c r="C321" s="1">
        <v>45471</v>
      </c>
      <c r="D321" t="s">
        <v>24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18</v>
      </c>
      <c r="K321">
        <v>62</v>
      </c>
      <c r="L321">
        <v>1</v>
      </c>
      <c r="M321" t="str" cm="1">
        <f t="array" ref="M321">_xlfn.IFS(I321&lt;25,"0-25",I321&lt;50,"25-50",I321&lt;75,"50-75",I321&lt;100,"75-100",I321&lt;125,"100-125",I321&gt;=125,"125+")</f>
        <v>50-75</v>
      </c>
    </row>
    <row r="322" spans="1:13" x14ac:dyDescent="0.25">
      <c r="A322" t="s">
        <v>610</v>
      </c>
      <c r="B322" t="s">
        <v>611</v>
      </c>
      <c r="C322" s="1">
        <v>45572</v>
      </c>
      <c r="D322" t="s">
        <v>33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15</v>
      </c>
      <c r="K322">
        <v>0</v>
      </c>
      <c r="L322">
        <v>0</v>
      </c>
      <c r="M322" t="str" cm="1">
        <f t="array" ref="M322">_xlfn.IFS(I322&lt;25,"0-25",I322&lt;50,"25-50",I322&lt;75,"50-75",I322&lt;100,"75-100",I322&lt;125,"100-125",I322&gt;=125,"125+")</f>
        <v>25-50</v>
      </c>
    </row>
    <row r="323" spans="1:13" x14ac:dyDescent="0.25">
      <c r="A323" t="s">
        <v>612</v>
      </c>
      <c r="B323" t="s">
        <v>613</v>
      </c>
      <c r="C323" s="1">
        <v>45729</v>
      </c>
      <c r="D323" t="s">
        <v>21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62</v>
      </c>
      <c r="K323">
        <v>15</v>
      </c>
      <c r="L323">
        <v>0</v>
      </c>
      <c r="M323" t="str" cm="1">
        <f t="array" ref="M323">_xlfn.IFS(I323&lt;25,"0-25",I323&lt;50,"25-50",I323&lt;75,"50-75",I323&lt;100,"75-100",I323&lt;125,"100-125",I323&gt;=125,"125+")</f>
        <v>25-50</v>
      </c>
    </row>
    <row r="324" spans="1:13" x14ac:dyDescent="0.25">
      <c r="A324" t="s">
        <v>614</v>
      </c>
      <c r="B324" t="s">
        <v>615</v>
      </c>
      <c r="C324" s="1">
        <v>45769</v>
      </c>
      <c r="D324" t="s">
        <v>17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27</v>
      </c>
      <c r="K324">
        <v>0</v>
      </c>
      <c r="L324">
        <v>0</v>
      </c>
      <c r="M324" t="str" cm="1">
        <f t="array" ref="M324">_xlfn.IFS(I324&lt;25,"0-25",I324&lt;50,"25-50",I324&lt;75,"50-75",I324&lt;100,"75-100",I324&lt;125,"100-125",I324&gt;=125,"125+")</f>
        <v>50-75</v>
      </c>
    </row>
    <row r="325" spans="1:13" x14ac:dyDescent="0.25">
      <c r="A325" t="s">
        <v>616</v>
      </c>
      <c r="B325" t="s">
        <v>615</v>
      </c>
      <c r="C325" s="1">
        <v>45297</v>
      </c>
      <c r="D325" t="s">
        <v>38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15</v>
      </c>
      <c r="K325">
        <v>0</v>
      </c>
      <c r="L325">
        <v>0</v>
      </c>
      <c r="M325" t="str" cm="1">
        <f t="array" ref="M325">_xlfn.IFS(I325&lt;25,"0-25",I325&lt;50,"25-50",I325&lt;75,"50-75",I325&lt;100,"75-100",I325&lt;125,"100-125",I325&gt;=125,"125+")</f>
        <v>25-50</v>
      </c>
    </row>
    <row r="326" spans="1:13" x14ac:dyDescent="0.25">
      <c r="A326" t="s">
        <v>617</v>
      </c>
      <c r="B326" t="s">
        <v>618</v>
      </c>
      <c r="C326" s="1">
        <v>45493</v>
      </c>
      <c r="D326" t="s">
        <v>38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18</v>
      </c>
      <c r="K326">
        <v>109</v>
      </c>
      <c r="L326">
        <v>1</v>
      </c>
      <c r="M326" t="str" cm="1">
        <f t="array" ref="M326">_xlfn.IFS(I326&lt;25,"0-25",I326&lt;50,"25-50",I326&lt;75,"50-75",I326&lt;100,"75-100",I326&lt;125,"100-125",I326&gt;=125,"125+")</f>
        <v>100-125</v>
      </c>
    </row>
    <row r="327" spans="1:13" x14ac:dyDescent="0.25">
      <c r="A327" t="s">
        <v>619</v>
      </c>
      <c r="B327" t="s">
        <v>618</v>
      </c>
      <c r="C327" s="1">
        <v>45316</v>
      </c>
      <c r="D327" t="s">
        <v>36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27</v>
      </c>
      <c r="K327">
        <v>0</v>
      </c>
      <c r="L327">
        <v>0</v>
      </c>
      <c r="M327" t="str" cm="1">
        <f t="array" ref="M327">_xlfn.IFS(I327&lt;25,"0-25",I327&lt;50,"25-50",I327&lt;75,"50-75",I327&lt;100,"75-100",I327&lt;125,"100-125",I327&gt;=125,"125+")</f>
        <v>50-75</v>
      </c>
    </row>
    <row r="328" spans="1:13" x14ac:dyDescent="0.25">
      <c r="A328" t="s">
        <v>620</v>
      </c>
      <c r="B328" t="s">
        <v>621</v>
      </c>
      <c r="C328" s="1">
        <v>45824</v>
      </c>
      <c r="D328" t="s">
        <v>36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62</v>
      </c>
      <c r="K328">
        <v>15</v>
      </c>
      <c r="L328">
        <v>0</v>
      </c>
      <c r="M328" t="str" cm="1">
        <f t="array" ref="M328">_xlfn.IFS(I328&lt;25,"0-25",I328&lt;50,"25-50",I328&lt;75,"50-75",I328&lt;100,"75-100",I328&lt;125,"100-125",I328&gt;=125,"125+")</f>
        <v>100-125</v>
      </c>
    </row>
    <row r="329" spans="1:13" x14ac:dyDescent="0.25">
      <c r="A329" t="s">
        <v>622</v>
      </c>
      <c r="B329" t="s">
        <v>623</v>
      </c>
      <c r="C329" s="1">
        <v>45326</v>
      </c>
      <c r="D329" t="s">
        <v>36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18</v>
      </c>
      <c r="K329">
        <v>46</v>
      </c>
      <c r="L329">
        <v>1</v>
      </c>
      <c r="M329" t="str" cm="1">
        <f t="array" ref="M329">_xlfn.IFS(I329&lt;25,"0-25",I329&lt;50,"25-50",I329&lt;75,"50-75",I329&lt;100,"75-100",I329&lt;125,"100-125",I329&gt;=125,"125+")</f>
        <v>100-125</v>
      </c>
    </row>
    <row r="330" spans="1:13" x14ac:dyDescent="0.25">
      <c r="A330" t="s">
        <v>624</v>
      </c>
      <c r="B330" t="s">
        <v>625</v>
      </c>
      <c r="C330" s="1">
        <v>45734</v>
      </c>
      <c r="D330" t="s">
        <v>41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18</v>
      </c>
      <c r="K330">
        <v>44</v>
      </c>
      <c r="L330">
        <v>1</v>
      </c>
      <c r="M330" t="str" cm="1">
        <f t="array" ref="M330">_xlfn.IFS(I330&lt;25,"0-25",I330&lt;50,"25-50",I330&lt;75,"50-75",I330&lt;100,"75-100",I330&lt;125,"100-125",I330&gt;=125,"125+")</f>
        <v>25-50</v>
      </c>
    </row>
    <row r="331" spans="1:13" x14ac:dyDescent="0.25">
      <c r="A331" t="s">
        <v>626</v>
      </c>
      <c r="B331" t="s">
        <v>627</v>
      </c>
      <c r="C331" s="1">
        <v>45530</v>
      </c>
      <c r="D331" t="s">
        <v>24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62</v>
      </c>
      <c r="K331">
        <v>0</v>
      </c>
      <c r="L331">
        <v>0</v>
      </c>
      <c r="M331" t="str" cm="1">
        <f t="array" ref="M331">_xlfn.IFS(I331&lt;25,"0-25",I331&lt;50,"25-50",I331&lt;75,"50-75",I331&lt;100,"75-100",I331&lt;125,"100-125",I331&gt;=125,"125+")</f>
        <v>0-25</v>
      </c>
    </row>
    <row r="332" spans="1:13" x14ac:dyDescent="0.25">
      <c r="A332" t="s">
        <v>628</v>
      </c>
      <c r="B332" t="s">
        <v>629</v>
      </c>
      <c r="C332" s="1">
        <v>45318</v>
      </c>
      <c r="D332" t="s">
        <v>14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27</v>
      </c>
      <c r="K332">
        <v>0</v>
      </c>
      <c r="L332">
        <v>0</v>
      </c>
      <c r="M332" t="str" cm="1">
        <f t="array" ref="M332">_xlfn.IFS(I332&lt;25,"0-25",I332&lt;50,"25-50",I332&lt;75,"50-75",I332&lt;100,"75-100",I332&lt;125,"100-125",I332&gt;=125,"125+")</f>
        <v>25-50</v>
      </c>
    </row>
    <row r="333" spans="1:13" x14ac:dyDescent="0.25">
      <c r="A333" t="s">
        <v>630</v>
      </c>
      <c r="B333" t="s">
        <v>631</v>
      </c>
      <c r="C333" s="1">
        <v>45421</v>
      </c>
      <c r="D333" t="s">
        <v>47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27</v>
      </c>
      <c r="K333">
        <v>0</v>
      </c>
      <c r="L333">
        <v>0</v>
      </c>
      <c r="M333" t="str" cm="1">
        <f t="array" ref="M333">_xlfn.IFS(I333&lt;25,"0-25",I333&lt;50,"25-50",I333&lt;75,"50-75",I333&lt;100,"75-100",I333&lt;125,"100-125",I333&gt;=125,"125+")</f>
        <v>25-50</v>
      </c>
    </row>
    <row r="334" spans="1:13" x14ac:dyDescent="0.25">
      <c r="A334" t="s">
        <v>632</v>
      </c>
      <c r="B334" t="s">
        <v>633</v>
      </c>
      <c r="C334" s="1">
        <v>45611</v>
      </c>
      <c r="D334" t="s">
        <v>14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62</v>
      </c>
      <c r="K334">
        <v>0</v>
      </c>
      <c r="L334">
        <v>0</v>
      </c>
      <c r="M334" t="str" cm="1">
        <f t="array" ref="M334">_xlfn.IFS(I334&lt;25,"0-25",I334&lt;50,"25-50",I334&lt;75,"50-75",I334&lt;100,"75-100",I334&lt;125,"100-125",I334&gt;=125,"125+")</f>
        <v>25-50</v>
      </c>
    </row>
    <row r="335" spans="1:13" x14ac:dyDescent="0.25">
      <c r="A335" t="s">
        <v>634</v>
      </c>
      <c r="B335" t="s">
        <v>635</v>
      </c>
      <c r="C335" s="1">
        <v>45643</v>
      </c>
      <c r="D335" t="s">
        <v>47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62</v>
      </c>
      <c r="K335">
        <v>30</v>
      </c>
      <c r="L335">
        <v>0</v>
      </c>
      <c r="M335" t="str" cm="1">
        <f t="array" ref="M335">_xlfn.IFS(I335&lt;25,"0-25",I335&lt;50,"25-50",I335&lt;75,"50-75",I335&lt;100,"75-100",I335&lt;125,"100-125",I335&gt;=125,"125+")</f>
        <v>50-75</v>
      </c>
    </row>
    <row r="336" spans="1:13" x14ac:dyDescent="0.25">
      <c r="A336" t="s">
        <v>636</v>
      </c>
      <c r="B336" t="s">
        <v>637</v>
      </c>
      <c r="C336" s="1">
        <v>45724</v>
      </c>
      <c r="D336" t="s">
        <v>33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62</v>
      </c>
      <c r="K336">
        <v>30</v>
      </c>
      <c r="L336">
        <v>0</v>
      </c>
      <c r="M336" t="str" cm="1">
        <f t="array" ref="M336">_xlfn.IFS(I336&lt;25,"0-25",I336&lt;50,"25-50",I336&lt;75,"50-75",I336&lt;100,"75-100",I336&lt;125,"100-125",I336&gt;=125,"125+")</f>
        <v>25-50</v>
      </c>
    </row>
    <row r="337" spans="1:13" x14ac:dyDescent="0.25">
      <c r="A337" t="s">
        <v>638</v>
      </c>
      <c r="B337" t="s">
        <v>639</v>
      </c>
      <c r="C337" s="1">
        <v>45631</v>
      </c>
      <c r="D337" t="s">
        <v>36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27</v>
      </c>
      <c r="K337">
        <v>0</v>
      </c>
      <c r="L337">
        <v>0</v>
      </c>
      <c r="M337" t="str" cm="1">
        <f t="array" ref="M337">_xlfn.IFS(I337&lt;25,"0-25",I337&lt;50,"25-50",I337&lt;75,"50-75",I337&lt;100,"75-100",I337&lt;125,"100-125",I337&gt;=125,"125+")</f>
        <v>25-50</v>
      </c>
    </row>
    <row r="338" spans="1:13" x14ac:dyDescent="0.25">
      <c r="A338" t="s">
        <v>640</v>
      </c>
      <c r="B338" t="s">
        <v>641</v>
      </c>
      <c r="C338" s="1">
        <v>45295</v>
      </c>
      <c r="D338" t="s">
        <v>30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27</v>
      </c>
      <c r="K338">
        <v>0</v>
      </c>
      <c r="L338">
        <v>0</v>
      </c>
      <c r="M338" t="str" cm="1">
        <f t="array" ref="M338">_xlfn.IFS(I338&lt;25,"0-25",I338&lt;50,"25-50",I338&lt;75,"50-75",I338&lt;100,"75-100",I338&lt;125,"100-125",I338&gt;=125,"125+")</f>
        <v>25-50</v>
      </c>
    </row>
    <row r="339" spans="1:13" x14ac:dyDescent="0.25">
      <c r="A339" t="s">
        <v>642</v>
      </c>
      <c r="B339" t="s">
        <v>643</v>
      </c>
      <c r="C339" s="1">
        <v>45676</v>
      </c>
      <c r="D339" t="s">
        <v>14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15</v>
      </c>
      <c r="K339">
        <v>0</v>
      </c>
      <c r="L339">
        <v>0</v>
      </c>
      <c r="M339" t="str" cm="1">
        <f t="array" ref="M339">_xlfn.IFS(I339&lt;25,"0-25",I339&lt;50,"25-50",I339&lt;75,"50-75",I339&lt;100,"75-100",I339&lt;125,"100-125",I339&gt;=125,"125+")</f>
        <v>75-100</v>
      </c>
    </row>
    <row r="340" spans="1:13" x14ac:dyDescent="0.25">
      <c r="A340" t="s">
        <v>644</v>
      </c>
      <c r="B340" t="s">
        <v>645</v>
      </c>
      <c r="C340" s="1">
        <v>45491</v>
      </c>
      <c r="D340" t="s">
        <v>36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62</v>
      </c>
      <c r="K340">
        <v>15</v>
      </c>
      <c r="L340">
        <v>0</v>
      </c>
      <c r="M340" t="str" cm="1">
        <f t="array" ref="M340">_xlfn.IFS(I340&lt;25,"0-25",I340&lt;50,"25-50",I340&lt;75,"50-75",I340&lt;100,"75-100",I340&lt;125,"100-125",I340&gt;=125,"125+")</f>
        <v>50-75</v>
      </c>
    </row>
    <row r="341" spans="1:13" x14ac:dyDescent="0.25">
      <c r="A341" t="s">
        <v>646</v>
      </c>
      <c r="B341" t="s">
        <v>647</v>
      </c>
      <c r="C341" s="1">
        <v>45639</v>
      </c>
      <c r="D341" t="s">
        <v>38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27</v>
      </c>
      <c r="K341">
        <v>0</v>
      </c>
      <c r="L341">
        <v>0</v>
      </c>
      <c r="M341" t="str" cm="1">
        <f t="array" ref="M341">_xlfn.IFS(I341&lt;25,"0-25",I341&lt;50,"25-50",I341&lt;75,"50-75",I341&lt;100,"75-100",I341&lt;125,"100-125",I341&gt;=125,"125+")</f>
        <v>0-25</v>
      </c>
    </row>
    <row r="342" spans="1:13" x14ac:dyDescent="0.25">
      <c r="A342" t="s">
        <v>648</v>
      </c>
      <c r="B342" t="s">
        <v>647</v>
      </c>
      <c r="C342" s="1">
        <v>45432</v>
      </c>
      <c r="D342" t="s">
        <v>33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27</v>
      </c>
      <c r="K342">
        <v>0</v>
      </c>
      <c r="L342">
        <v>0</v>
      </c>
      <c r="M342" t="str" cm="1">
        <f t="array" ref="M342">_xlfn.IFS(I342&lt;25,"0-25",I342&lt;50,"25-50",I342&lt;75,"50-75",I342&lt;100,"75-100",I342&lt;125,"100-125",I342&gt;=125,"125+")</f>
        <v>125+</v>
      </c>
    </row>
    <row r="343" spans="1:13" x14ac:dyDescent="0.25">
      <c r="A343" t="s">
        <v>649</v>
      </c>
      <c r="B343" t="s">
        <v>650</v>
      </c>
      <c r="C343" s="1">
        <v>45831</v>
      </c>
      <c r="D343" t="s">
        <v>24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62</v>
      </c>
      <c r="K343">
        <v>30</v>
      </c>
      <c r="L343">
        <v>0</v>
      </c>
      <c r="M343" t="str" cm="1">
        <f t="array" ref="M343">_xlfn.IFS(I343&lt;25,"0-25",I343&lt;50,"25-50",I343&lt;75,"50-75",I343&lt;100,"75-100",I343&lt;125,"100-125",I343&gt;=125,"125+")</f>
        <v>25-50</v>
      </c>
    </row>
    <row r="344" spans="1:13" x14ac:dyDescent="0.25">
      <c r="A344" t="s">
        <v>651</v>
      </c>
      <c r="B344" t="s">
        <v>650</v>
      </c>
      <c r="C344" s="1">
        <v>45488</v>
      </c>
      <c r="D344" t="s">
        <v>36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27</v>
      </c>
      <c r="K344">
        <v>0</v>
      </c>
      <c r="L344">
        <v>0</v>
      </c>
      <c r="M344" t="str" cm="1">
        <f t="array" ref="M344">_xlfn.IFS(I344&lt;25,"0-25",I344&lt;50,"25-50",I344&lt;75,"50-75",I344&lt;100,"75-100",I344&lt;125,"100-125",I344&gt;=125,"125+")</f>
        <v>25-50</v>
      </c>
    </row>
    <row r="345" spans="1:13" x14ac:dyDescent="0.25">
      <c r="A345" t="s">
        <v>652</v>
      </c>
      <c r="B345" t="s">
        <v>653</v>
      </c>
      <c r="C345" s="1">
        <v>45593</v>
      </c>
      <c r="D345" t="s">
        <v>38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27</v>
      </c>
      <c r="K345">
        <v>0</v>
      </c>
      <c r="L345">
        <v>0</v>
      </c>
      <c r="M345" t="str" cm="1">
        <f t="array" ref="M345">_xlfn.IFS(I345&lt;25,"0-25",I345&lt;50,"25-50",I345&lt;75,"50-75",I345&lt;100,"75-100",I345&lt;125,"100-125",I345&gt;=125,"125+")</f>
        <v>25-50</v>
      </c>
    </row>
    <row r="346" spans="1:13" x14ac:dyDescent="0.25">
      <c r="A346" t="s">
        <v>654</v>
      </c>
      <c r="B346" t="s">
        <v>655</v>
      </c>
      <c r="C346" s="1">
        <v>45375</v>
      </c>
      <c r="D346" t="s">
        <v>33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62</v>
      </c>
      <c r="K346">
        <v>0</v>
      </c>
      <c r="L346">
        <v>0</v>
      </c>
      <c r="M346" t="str" cm="1">
        <f t="array" ref="M346">_xlfn.IFS(I346&lt;25,"0-25",I346&lt;50,"25-50",I346&lt;75,"50-75",I346&lt;100,"75-100",I346&lt;125,"100-125",I346&gt;=125,"125+")</f>
        <v>50-75</v>
      </c>
    </row>
    <row r="347" spans="1:13" x14ac:dyDescent="0.25">
      <c r="A347" t="s">
        <v>656</v>
      </c>
      <c r="B347" t="s">
        <v>657</v>
      </c>
      <c r="C347" s="1">
        <v>45823</v>
      </c>
      <c r="D347" t="s">
        <v>17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27</v>
      </c>
      <c r="K347">
        <v>0</v>
      </c>
      <c r="L347">
        <v>0</v>
      </c>
      <c r="M347" t="str" cm="1">
        <f t="array" ref="M347">_xlfn.IFS(I347&lt;25,"0-25",I347&lt;50,"25-50",I347&lt;75,"50-75",I347&lt;100,"75-100",I347&lt;125,"100-125",I347&gt;=125,"125+")</f>
        <v>25-50</v>
      </c>
    </row>
    <row r="348" spans="1:13" x14ac:dyDescent="0.25">
      <c r="A348" t="s">
        <v>658</v>
      </c>
      <c r="B348" t="s">
        <v>659</v>
      </c>
      <c r="C348" s="1">
        <v>45504</v>
      </c>
      <c r="D348" t="s">
        <v>14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15</v>
      </c>
      <c r="K348">
        <v>0</v>
      </c>
      <c r="L348">
        <v>0</v>
      </c>
      <c r="M348" t="str" cm="1">
        <f t="array" ref="M348">_xlfn.IFS(I348&lt;25,"0-25",I348&lt;50,"25-50",I348&lt;75,"50-75",I348&lt;100,"75-100",I348&lt;125,"100-125",I348&gt;=125,"125+")</f>
        <v>25-50</v>
      </c>
    </row>
    <row r="349" spans="1:13" x14ac:dyDescent="0.25">
      <c r="A349" t="s">
        <v>660</v>
      </c>
      <c r="B349" t="s">
        <v>661</v>
      </c>
      <c r="C349" s="1">
        <v>45675</v>
      </c>
      <c r="D349" t="s">
        <v>24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18</v>
      </c>
      <c r="K349">
        <v>51</v>
      </c>
      <c r="L349">
        <v>1</v>
      </c>
      <c r="M349" t="str" cm="1">
        <f t="array" ref="M349">_xlfn.IFS(I349&lt;25,"0-25",I349&lt;50,"25-50",I349&lt;75,"50-75",I349&lt;100,"75-100",I349&lt;125,"100-125",I349&gt;=125,"125+")</f>
        <v>25-50</v>
      </c>
    </row>
    <row r="350" spans="1:13" x14ac:dyDescent="0.25">
      <c r="A350" t="s">
        <v>662</v>
      </c>
      <c r="B350" t="s">
        <v>663</v>
      </c>
      <c r="C350" s="1">
        <v>45768</v>
      </c>
      <c r="D350" t="s">
        <v>36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27</v>
      </c>
      <c r="K350">
        <v>0</v>
      </c>
      <c r="L350">
        <v>0</v>
      </c>
      <c r="M350" t="str" cm="1">
        <f t="array" ref="M350">_xlfn.IFS(I350&lt;25,"0-25",I350&lt;50,"25-50",I350&lt;75,"50-75",I350&lt;100,"75-100",I350&lt;125,"100-125",I350&gt;=125,"125+")</f>
        <v>50-75</v>
      </c>
    </row>
    <row r="351" spans="1:13" x14ac:dyDescent="0.25">
      <c r="A351" t="s">
        <v>664</v>
      </c>
      <c r="B351" t="s">
        <v>665</v>
      </c>
      <c r="C351" s="1">
        <v>45744</v>
      </c>
      <c r="D351" t="s">
        <v>30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18</v>
      </c>
      <c r="K351">
        <v>49</v>
      </c>
      <c r="L351">
        <v>1</v>
      </c>
      <c r="M351" t="str" cm="1">
        <f t="array" ref="M351">_xlfn.IFS(I351&lt;25,"0-25",I351&lt;50,"25-50",I351&lt;75,"50-75",I351&lt;100,"75-100",I351&lt;125,"100-125",I351&gt;=125,"125+")</f>
        <v>0-25</v>
      </c>
    </row>
    <row r="352" spans="1:13" x14ac:dyDescent="0.25">
      <c r="A352" t="s">
        <v>666</v>
      </c>
      <c r="B352" t="s">
        <v>667</v>
      </c>
      <c r="C352" s="1">
        <v>45575</v>
      </c>
      <c r="D352" t="s">
        <v>36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27</v>
      </c>
      <c r="K352">
        <v>0</v>
      </c>
      <c r="L352">
        <v>0</v>
      </c>
      <c r="M352" t="str" cm="1">
        <f t="array" ref="M352">_xlfn.IFS(I352&lt;25,"0-25",I352&lt;50,"25-50",I352&lt;75,"50-75",I352&lt;100,"75-100",I352&lt;125,"100-125",I352&gt;=125,"125+")</f>
        <v>0-25</v>
      </c>
    </row>
    <row r="353" spans="1:13" x14ac:dyDescent="0.25">
      <c r="A353" t="s">
        <v>668</v>
      </c>
      <c r="B353" t="s">
        <v>669</v>
      </c>
      <c r="C353" s="1">
        <v>45573</v>
      </c>
      <c r="D353" t="s">
        <v>38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18</v>
      </c>
      <c r="K353">
        <v>65</v>
      </c>
      <c r="L353">
        <v>1</v>
      </c>
      <c r="M353" t="str" cm="1">
        <f t="array" ref="M353">_xlfn.IFS(I353&lt;25,"0-25",I353&lt;50,"25-50",I353&lt;75,"50-75",I353&lt;100,"75-100",I353&lt;125,"100-125",I353&gt;=125,"125+")</f>
        <v>50-75</v>
      </c>
    </row>
    <row r="354" spans="1:13" x14ac:dyDescent="0.25">
      <c r="A354" t="s">
        <v>670</v>
      </c>
      <c r="B354" t="s">
        <v>671</v>
      </c>
      <c r="C354" s="1">
        <v>45646</v>
      </c>
      <c r="D354" t="s">
        <v>21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27</v>
      </c>
      <c r="K354">
        <v>0</v>
      </c>
      <c r="L354">
        <v>0</v>
      </c>
      <c r="M354" t="str" cm="1">
        <f t="array" ref="M354">_xlfn.IFS(I354&lt;25,"0-25",I354&lt;50,"25-50",I354&lt;75,"50-75",I354&lt;100,"75-100",I354&lt;125,"100-125",I354&gt;=125,"125+")</f>
        <v>25-50</v>
      </c>
    </row>
    <row r="355" spans="1:13" x14ac:dyDescent="0.25">
      <c r="A355" t="s">
        <v>672</v>
      </c>
      <c r="B355" t="s">
        <v>671</v>
      </c>
      <c r="C355" s="1">
        <v>45444</v>
      </c>
      <c r="D355" t="s">
        <v>47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15</v>
      </c>
      <c r="K355">
        <v>0</v>
      </c>
      <c r="L355">
        <v>0</v>
      </c>
      <c r="M355" t="str" cm="1">
        <f t="array" ref="M355">_xlfn.IFS(I355&lt;25,"0-25",I355&lt;50,"25-50",I355&lt;75,"50-75",I355&lt;100,"75-100",I355&lt;125,"100-125",I355&gt;=125,"125+")</f>
        <v>25-50</v>
      </c>
    </row>
    <row r="356" spans="1:13" x14ac:dyDescent="0.25">
      <c r="A356" t="s">
        <v>673</v>
      </c>
      <c r="B356" t="s">
        <v>674</v>
      </c>
      <c r="C356" s="1">
        <v>45764</v>
      </c>
      <c r="D356" t="s">
        <v>38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15</v>
      </c>
      <c r="K356">
        <v>0</v>
      </c>
      <c r="L356">
        <v>0</v>
      </c>
      <c r="M356" t="str" cm="1">
        <f t="array" ref="M356">_xlfn.IFS(I356&lt;25,"0-25",I356&lt;50,"25-50",I356&lt;75,"50-75",I356&lt;100,"75-100",I356&lt;125,"100-125",I356&gt;=125,"125+")</f>
        <v>0-25</v>
      </c>
    </row>
    <row r="357" spans="1:13" x14ac:dyDescent="0.25">
      <c r="A357" t="s">
        <v>675</v>
      </c>
      <c r="B357" t="s">
        <v>676</v>
      </c>
      <c r="C357" s="1">
        <v>45434</v>
      </c>
      <c r="D357" t="s">
        <v>17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15</v>
      </c>
      <c r="K357">
        <v>0</v>
      </c>
      <c r="L357">
        <v>0</v>
      </c>
      <c r="M357" t="str" cm="1">
        <f t="array" ref="M357">_xlfn.IFS(I357&lt;25,"0-25",I357&lt;50,"25-50",I357&lt;75,"50-75",I357&lt;100,"75-100",I357&lt;125,"100-125",I357&gt;=125,"125+")</f>
        <v>25-50</v>
      </c>
    </row>
    <row r="358" spans="1:13" x14ac:dyDescent="0.25">
      <c r="A358" t="s">
        <v>677</v>
      </c>
      <c r="B358" t="s">
        <v>678</v>
      </c>
      <c r="C358" s="1">
        <v>45598</v>
      </c>
      <c r="D358" t="s">
        <v>30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15</v>
      </c>
      <c r="K358">
        <v>0</v>
      </c>
      <c r="L358">
        <v>0</v>
      </c>
      <c r="M358" t="str" cm="1">
        <f t="array" ref="M358">_xlfn.IFS(I358&lt;25,"0-25",I358&lt;50,"25-50",I358&lt;75,"50-75",I358&lt;100,"75-100",I358&lt;125,"100-125",I358&gt;=125,"125+")</f>
        <v>25-50</v>
      </c>
    </row>
    <row r="359" spans="1:13" x14ac:dyDescent="0.25">
      <c r="A359" t="s">
        <v>679</v>
      </c>
      <c r="B359" t="s">
        <v>680</v>
      </c>
      <c r="C359" s="1">
        <v>45692</v>
      </c>
      <c r="D359" t="s">
        <v>33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27</v>
      </c>
      <c r="K359">
        <v>0</v>
      </c>
      <c r="L359">
        <v>0</v>
      </c>
      <c r="M359" t="str" cm="1">
        <f t="array" ref="M359">_xlfn.IFS(I359&lt;25,"0-25",I359&lt;50,"25-50",I359&lt;75,"50-75",I359&lt;100,"75-100",I359&lt;125,"100-125",I359&gt;=125,"125+")</f>
        <v>25-50</v>
      </c>
    </row>
    <row r="360" spans="1:13" x14ac:dyDescent="0.25">
      <c r="A360" t="s">
        <v>681</v>
      </c>
      <c r="B360" t="s">
        <v>680</v>
      </c>
      <c r="C360" s="1">
        <v>45754</v>
      </c>
      <c r="D360" t="s">
        <v>21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27</v>
      </c>
      <c r="K360">
        <v>0</v>
      </c>
      <c r="L360">
        <v>0</v>
      </c>
      <c r="M360" t="str" cm="1">
        <f t="array" ref="M360">_xlfn.IFS(I360&lt;25,"0-25",I360&lt;50,"25-50",I360&lt;75,"50-75",I360&lt;100,"75-100",I360&lt;125,"100-125",I360&gt;=125,"125+")</f>
        <v>25-50</v>
      </c>
    </row>
    <row r="361" spans="1:13" x14ac:dyDescent="0.25">
      <c r="A361" t="s">
        <v>682</v>
      </c>
      <c r="B361" t="s">
        <v>683</v>
      </c>
      <c r="C361" s="1">
        <v>45495</v>
      </c>
      <c r="D361" t="s">
        <v>33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18</v>
      </c>
      <c r="K361">
        <v>128</v>
      </c>
      <c r="L361">
        <v>1</v>
      </c>
      <c r="M361" t="str" cm="1">
        <f t="array" ref="M361">_xlfn.IFS(I361&lt;25,"0-25",I361&lt;50,"25-50",I361&lt;75,"50-75",I361&lt;100,"75-100",I361&lt;125,"100-125",I361&gt;=125,"125+")</f>
        <v>50-75</v>
      </c>
    </row>
    <row r="362" spans="1:13" x14ac:dyDescent="0.25">
      <c r="A362" t="s">
        <v>684</v>
      </c>
      <c r="B362" t="s">
        <v>685</v>
      </c>
      <c r="C362" s="1">
        <v>45822</v>
      </c>
      <c r="D362" t="s">
        <v>38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18</v>
      </c>
      <c r="K362">
        <v>113</v>
      </c>
      <c r="L362">
        <v>1</v>
      </c>
      <c r="M362" t="str" cm="1">
        <f t="array" ref="M362">_xlfn.IFS(I362&lt;25,"0-25",I362&lt;50,"25-50",I362&lt;75,"50-75",I362&lt;100,"75-100",I362&lt;125,"100-125",I362&gt;=125,"125+")</f>
        <v>50-75</v>
      </c>
    </row>
    <row r="363" spans="1:13" x14ac:dyDescent="0.25">
      <c r="A363" t="s">
        <v>686</v>
      </c>
      <c r="B363" t="s">
        <v>687</v>
      </c>
      <c r="C363" s="1">
        <v>45781</v>
      </c>
      <c r="D363" t="s">
        <v>17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15</v>
      </c>
      <c r="K363">
        <v>0</v>
      </c>
      <c r="L363">
        <v>0</v>
      </c>
      <c r="M363" t="str" cm="1">
        <f t="array" ref="M363">_xlfn.IFS(I363&lt;25,"0-25",I363&lt;50,"25-50",I363&lt;75,"50-75",I363&lt;100,"75-100",I363&lt;125,"100-125",I363&gt;=125,"125+")</f>
        <v>75-100</v>
      </c>
    </row>
    <row r="364" spans="1:13" x14ac:dyDescent="0.25">
      <c r="A364" t="s">
        <v>688</v>
      </c>
      <c r="B364" t="s">
        <v>687</v>
      </c>
      <c r="C364" s="1">
        <v>45778</v>
      </c>
      <c r="D364" t="s">
        <v>38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18</v>
      </c>
      <c r="K364">
        <v>177</v>
      </c>
      <c r="L364">
        <v>1</v>
      </c>
      <c r="M364" t="str" cm="1">
        <f t="array" ref="M364">_xlfn.IFS(I364&lt;25,"0-25",I364&lt;50,"25-50",I364&lt;75,"50-75",I364&lt;100,"75-100",I364&lt;125,"100-125",I364&gt;=125,"125+")</f>
        <v>50-75</v>
      </c>
    </row>
    <row r="365" spans="1:13" x14ac:dyDescent="0.25">
      <c r="A365" t="s">
        <v>689</v>
      </c>
      <c r="B365" t="s">
        <v>690</v>
      </c>
      <c r="C365" s="1">
        <v>45299</v>
      </c>
      <c r="D365" t="s">
        <v>47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15</v>
      </c>
      <c r="K365">
        <v>0</v>
      </c>
      <c r="L365">
        <v>0</v>
      </c>
      <c r="M365" t="str" cm="1">
        <f t="array" ref="M365">_xlfn.IFS(I365&lt;25,"0-25",I365&lt;50,"25-50",I365&lt;75,"50-75",I365&lt;100,"75-100",I365&lt;125,"100-125",I365&gt;=125,"125+")</f>
        <v>50-75</v>
      </c>
    </row>
    <row r="366" spans="1:13" x14ac:dyDescent="0.25">
      <c r="A366" t="s">
        <v>691</v>
      </c>
      <c r="B366" t="s">
        <v>690</v>
      </c>
      <c r="C366" s="1">
        <v>45763</v>
      </c>
      <c r="D366" t="s">
        <v>47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27</v>
      </c>
      <c r="K366">
        <v>0</v>
      </c>
      <c r="L366">
        <v>0</v>
      </c>
      <c r="M366" t="str" cm="1">
        <f t="array" ref="M366">_xlfn.IFS(I366&lt;25,"0-25",I366&lt;50,"25-50",I366&lt;75,"50-75",I366&lt;100,"75-100",I366&lt;125,"100-125",I366&gt;=125,"125+")</f>
        <v>50-75</v>
      </c>
    </row>
    <row r="367" spans="1:13" x14ac:dyDescent="0.25">
      <c r="A367" t="s">
        <v>692</v>
      </c>
      <c r="B367" t="s">
        <v>693</v>
      </c>
      <c r="C367" s="1">
        <v>45471</v>
      </c>
      <c r="D367" t="s">
        <v>14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18</v>
      </c>
      <c r="K367">
        <v>75</v>
      </c>
      <c r="L367">
        <v>1</v>
      </c>
      <c r="M367" t="str" cm="1">
        <f t="array" ref="M367">_xlfn.IFS(I367&lt;25,"0-25",I367&lt;50,"25-50",I367&lt;75,"50-75",I367&lt;100,"75-100",I367&lt;125,"100-125",I367&gt;=125,"125+")</f>
        <v>50-75</v>
      </c>
    </row>
    <row r="368" spans="1:13" x14ac:dyDescent="0.25">
      <c r="A368" t="s">
        <v>694</v>
      </c>
      <c r="B368" t="s">
        <v>695</v>
      </c>
      <c r="C368" s="1">
        <v>45389</v>
      </c>
      <c r="D368" t="s">
        <v>17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62</v>
      </c>
      <c r="K368">
        <v>15</v>
      </c>
      <c r="L368">
        <v>0</v>
      </c>
      <c r="M368" t="str" cm="1">
        <f t="array" ref="M368">_xlfn.IFS(I368&lt;25,"0-25",I368&lt;50,"25-50",I368&lt;75,"50-75",I368&lt;100,"75-100",I368&lt;125,"100-125",I368&gt;=125,"125+")</f>
        <v>75-100</v>
      </c>
    </row>
    <row r="369" spans="1:13" x14ac:dyDescent="0.25">
      <c r="A369" t="s">
        <v>696</v>
      </c>
      <c r="B369" t="s">
        <v>695</v>
      </c>
      <c r="C369" s="1">
        <v>45360</v>
      </c>
      <c r="D369" t="s">
        <v>33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27</v>
      </c>
      <c r="K369">
        <v>0</v>
      </c>
      <c r="L369">
        <v>0</v>
      </c>
      <c r="M369" t="str" cm="1">
        <f t="array" ref="M369">_xlfn.IFS(I369&lt;25,"0-25",I369&lt;50,"25-50",I369&lt;75,"50-75",I369&lt;100,"75-100",I369&lt;125,"100-125",I369&gt;=125,"125+")</f>
        <v>50-75</v>
      </c>
    </row>
    <row r="370" spans="1:13" x14ac:dyDescent="0.25">
      <c r="A370" t="s">
        <v>697</v>
      </c>
      <c r="B370" t="s">
        <v>698</v>
      </c>
      <c r="C370" s="1">
        <v>45625</v>
      </c>
      <c r="D370" t="s">
        <v>21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27</v>
      </c>
      <c r="K370">
        <v>0</v>
      </c>
      <c r="L370">
        <v>0</v>
      </c>
      <c r="M370" t="str" cm="1">
        <f t="array" ref="M370">_xlfn.IFS(I370&lt;25,"0-25",I370&lt;50,"25-50",I370&lt;75,"50-75",I370&lt;100,"75-100",I370&lt;125,"100-125",I370&gt;=125,"125+")</f>
        <v>50-75</v>
      </c>
    </row>
    <row r="371" spans="1:13" x14ac:dyDescent="0.25">
      <c r="A371" t="s">
        <v>699</v>
      </c>
      <c r="B371" t="s">
        <v>700</v>
      </c>
      <c r="C371" s="1">
        <v>45700</v>
      </c>
      <c r="D371" t="s">
        <v>41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27</v>
      </c>
      <c r="K371">
        <v>0</v>
      </c>
      <c r="L371">
        <v>0</v>
      </c>
      <c r="M371" t="str" cm="1">
        <f t="array" ref="M371">_xlfn.IFS(I371&lt;25,"0-25",I371&lt;50,"25-50",I371&lt;75,"50-75",I371&lt;100,"75-100",I371&lt;125,"100-125",I371&gt;=125,"125+")</f>
        <v>50-75</v>
      </c>
    </row>
    <row r="372" spans="1:13" x14ac:dyDescent="0.25">
      <c r="A372" t="s">
        <v>701</v>
      </c>
      <c r="B372" t="s">
        <v>702</v>
      </c>
      <c r="C372" s="1">
        <v>45376</v>
      </c>
      <c r="D372" t="s">
        <v>33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15</v>
      </c>
      <c r="K372">
        <v>0</v>
      </c>
      <c r="L372">
        <v>0</v>
      </c>
      <c r="M372" t="str" cm="1">
        <f t="array" ref="M372">_xlfn.IFS(I372&lt;25,"0-25",I372&lt;50,"25-50",I372&lt;75,"50-75",I372&lt;100,"75-100",I372&lt;125,"100-125",I372&gt;=125,"125+")</f>
        <v>25-50</v>
      </c>
    </row>
    <row r="373" spans="1:13" x14ac:dyDescent="0.25">
      <c r="A373" t="s">
        <v>703</v>
      </c>
      <c r="B373" t="s">
        <v>704</v>
      </c>
      <c r="C373" s="1">
        <v>45473</v>
      </c>
      <c r="D373" t="s">
        <v>24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18</v>
      </c>
      <c r="K373">
        <v>166</v>
      </c>
      <c r="L373">
        <v>1</v>
      </c>
      <c r="M373" t="str" cm="1">
        <f t="array" ref="M373">_xlfn.IFS(I373&lt;25,"0-25",I373&lt;50,"25-50",I373&lt;75,"50-75",I373&lt;100,"75-100",I373&lt;125,"100-125",I373&gt;=125,"125+")</f>
        <v>25-50</v>
      </c>
    </row>
    <row r="374" spans="1:13" x14ac:dyDescent="0.25">
      <c r="A374" t="s">
        <v>705</v>
      </c>
      <c r="B374" t="s">
        <v>706</v>
      </c>
      <c r="C374" s="1">
        <v>45658</v>
      </c>
      <c r="D374" t="s">
        <v>33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15</v>
      </c>
      <c r="K374">
        <v>0</v>
      </c>
      <c r="L374">
        <v>0</v>
      </c>
      <c r="M374" t="str" cm="1">
        <f t="array" ref="M374">_xlfn.IFS(I374&lt;25,"0-25",I374&lt;50,"25-50",I374&lt;75,"50-75",I374&lt;100,"75-100",I374&lt;125,"100-125",I374&gt;=125,"125+")</f>
        <v>25-50</v>
      </c>
    </row>
    <row r="375" spans="1:13" x14ac:dyDescent="0.25">
      <c r="A375" t="s">
        <v>707</v>
      </c>
      <c r="B375" t="s">
        <v>708</v>
      </c>
      <c r="C375" s="1">
        <v>45397</v>
      </c>
      <c r="D375" t="s">
        <v>14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18</v>
      </c>
      <c r="K375">
        <v>108</v>
      </c>
      <c r="L375">
        <v>1</v>
      </c>
      <c r="M375" t="str" cm="1">
        <f t="array" ref="M375">_xlfn.IFS(I375&lt;25,"0-25",I375&lt;50,"25-50",I375&lt;75,"50-75",I375&lt;100,"75-100",I375&lt;125,"100-125",I375&gt;=125,"125+")</f>
        <v>50-75</v>
      </c>
    </row>
    <row r="376" spans="1:13" x14ac:dyDescent="0.25">
      <c r="A376" t="s">
        <v>709</v>
      </c>
      <c r="B376" t="s">
        <v>710</v>
      </c>
      <c r="C376" s="1">
        <v>45675</v>
      </c>
      <c r="D376" t="s">
        <v>47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27</v>
      </c>
      <c r="K376">
        <v>0</v>
      </c>
      <c r="L376">
        <v>0</v>
      </c>
      <c r="M376" t="str" cm="1">
        <f t="array" ref="M376">_xlfn.IFS(I376&lt;25,"0-25",I376&lt;50,"25-50",I376&lt;75,"50-75",I376&lt;100,"75-100",I376&lt;125,"100-125",I376&gt;=125,"125+")</f>
        <v>50-75</v>
      </c>
    </row>
    <row r="377" spans="1:13" x14ac:dyDescent="0.25">
      <c r="A377" t="s">
        <v>711</v>
      </c>
      <c r="B377" t="s">
        <v>712</v>
      </c>
      <c r="C377" s="1">
        <v>45390</v>
      </c>
      <c r="D377" t="s">
        <v>41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27</v>
      </c>
      <c r="K377">
        <v>0</v>
      </c>
      <c r="L377">
        <v>0</v>
      </c>
      <c r="M377" t="str" cm="1">
        <f t="array" ref="M377">_xlfn.IFS(I377&lt;25,"0-25",I377&lt;50,"25-50",I377&lt;75,"50-75",I377&lt;100,"75-100",I377&lt;125,"100-125",I377&gt;=125,"125+")</f>
        <v>50-75</v>
      </c>
    </row>
    <row r="378" spans="1:13" x14ac:dyDescent="0.25">
      <c r="A378" t="s">
        <v>713</v>
      </c>
      <c r="B378" t="s">
        <v>714</v>
      </c>
      <c r="C378" s="1">
        <v>45486</v>
      </c>
      <c r="D378" t="s">
        <v>17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62</v>
      </c>
      <c r="K378">
        <v>15</v>
      </c>
      <c r="L378">
        <v>0</v>
      </c>
      <c r="M378" t="str" cm="1">
        <f t="array" ref="M378">_xlfn.IFS(I378&lt;25,"0-25",I378&lt;50,"25-50",I378&lt;75,"50-75",I378&lt;100,"75-100",I378&lt;125,"100-125",I378&gt;=125,"125+")</f>
        <v>75-100</v>
      </c>
    </row>
    <row r="379" spans="1:13" x14ac:dyDescent="0.25">
      <c r="A379" t="s">
        <v>715</v>
      </c>
      <c r="B379" t="s">
        <v>716</v>
      </c>
      <c r="C379" s="1">
        <v>45615</v>
      </c>
      <c r="D379" t="s">
        <v>38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18</v>
      </c>
      <c r="K379">
        <v>84</v>
      </c>
      <c r="L379">
        <v>1</v>
      </c>
      <c r="M379" t="str" cm="1">
        <f t="array" ref="M379">_xlfn.IFS(I379&lt;25,"0-25",I379&lt;50,"25-50",I379&lt;75,"50-75",I379&lt;100,"75-100",I379&lt;125,"100-125",I379&gt;=125,"125+")</f>
        <v>25-50</v>
      </c>
    </row>
    <row r="380" spans="1:13" x14ac:dyDescent="0.25">
      <c r="A380" t="s">
        <v>717</v>
      </c>
      <c r="B380" t="s">
        <v>718</v>
      </c>
      <c r="C380" s="1">
        <v>45360</v>
      </c>
      <c r="D380" t="s">
        <v>36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15</v>
      </c>
      <c r="K380">
        <v>0</v>
      </c>
      <c r="L380">
        <v>0</v>
      </c>
      <c r="M380" t="str" cm="1">
        <f t="array" ref="M380">_xlfn.IFS(I380&lt;25,"0-25",I380&lt;50,"25-50",I380&lt;75,"50-75",I380&lt;100,"75-100",I380&lt;125,"100-125",I380&gt;=125,"125+")</f>
        <v>0-25</v>
      </c>
    </row>
    <row r="381" spans="1:13" x14ac:dyDescent="0.25">
      <c r="A381" t="s">
        <v>719</v>
      </c>
      <c r="B381" t="s">
        <v>720</v>
      </c>
      <c r="C381" s="1">
        <v>45389</v>
      </c>
      <c r="D381" t="s">
        <v>36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62</v>
      </c>
      <c r="K381">
        <v>30</v>
      </c>
      <c r="L381">
        <v>0</v>
      </c>
      <c r="M381" t="str" cm="1">
        <f t="array" ref="M381">_xlfn.IFS(I381&lt;25,"0-25",I381&lt;50,"25-50",I381&lt;75,"50-75",I381&lt;100,"75-100",I381&lt;125,"100-125",I381&gt;=125,"125+")</f>
        <v>50-75</v>
      </c>
    </row>
    <row r="382" spans="1:13" x14ac:dyDescent="0.25">
      <c r="A382" t="s">
        <v>721</v>
      </c>
      <c r="B382" t="s">
        <v>722</v>
      </c>
      <c r="C382" s="1">
        <v>45785</v>
      </c>
      <c r="D382" t="s">
        <v>33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18</v>
      </c>
      <c r="K382">
        <v>34</v>
      </c>
      <c r="L382">
        <v>1</v>
      </c>
      <c r="M382" t="str" cm="1">
        <f t="array" ref="M382">_xlfn.IFS(I382&lt;25,"0-25",I382&lt;50,"25-50",I382&lt;75,"50-75",I382&lt;100,"75-100",I382&lt;125,"100-125",I382&gt;=125,"125+")</f>
        <v>25-50</v>
      </c>
    </row>
    <row r="383" spans="1:13" x14ac:dyDescent="0.25">
      <c r="A383" t="s">
        <v>723</v>
      </c>
      <c r="B383" t="s">
        <v>724</v>
      </c>
      <c r="C383" s="1">
        <v>45305</v>
      </c>
      <c r="D383" t="s">
        <v>47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18</v>
      </c>
      <c r="K383">
        <v>61</v>
      </c>
      <c r="L383">
        <v>1</v>
      </c>
      <c r="M383" t="str" cm="1">
        <f t="array" ref="M383">_xlfn.IFS(I383&lt;25,"0-25",I383&lt;50,"25-50",I383&lt;75,"50-75",I383&lt;100,"75-100",I383&lt;125,"100-125",I383&gt;=125,"125+")</f>
        <v>25-50</v>
      </c>
    </row>
    <row r="384" spans="1:13" x14ac:dyDescent="0.25">
      <c r="A384" t="s">
        <v>725</v>
      </c>
      <c r="B384" t="s">
        <v>726</v>
      </c>
      <c r="C384" s="1">
        <v>45802</v>
      </c>
      <c r="D384" t="s">
        <v>17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27</v>
      </c>
      <c r="K384">
        <v>0</v>
      </c>
      <c r="L384">
        <v>0</v>
      </c>
      <c r="M384" t="str" cm="1">
        <f t="array" ref="M384">_xlfn.IFS(I384&lt;25,"0-25",I384&lt;50,"25-50",I384&lt;75,"50-75",I384&lt;100,"75-100",I384&lt;125,"100-125",I384&gt;=125,"125+")</f>
        <v>100-125</v>
      </c>
    </row>
    <row r="385" spans="1:13" x14ac:dyDescent="0.25">
      <c r="A385" t="s">
        <v>727</v>
      </c>
      <c r="B385" t="s">
        <v>728</v>
      </c>
      <c r="C385" s="1">
        <v>45617</v>
      </c>
      <c r="D385" t="s">
        <v>47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27</v>
      </c>
      <c r="K385">
        <v>0</v>
      </c>
      <c r="L385">
        <v>0</v>
      </c>
      <c r="M385" t="str" cm="1">
        <f t="array" ref="M385">_xlfn.IFS(I385&lt;25,"0-25",I385&lt;50,"25-50",I385&lt;75,"50-75",I385&lt;100,"75-100",I385&lt;125,"100-125",I385&gt;=125,"125+")</f>
        <v>25-50</v>
      </c>
    </row>
    <row r="386" spans="1:13" x14ac:dyDescent="0.25">
      <c r="A386" t="s">
        <v>729</v>
      </c>
      <c r="B386" t="s">
        <v>730</v>
      </c>
      <c r="C386" s="1">
        <v>45502</v>
      </c>
      <c r="D386" t="s">
        <v>24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62</v>
      </c>
      <c r="K386">
        <v>15</v>
      </c>
      <c r="L386">
        <v>0</v>
      </c>
      <c r="M386" t="str" cm="1">
        <f t="array" ref="M386">_xlfn.IFS(I386&lt;25,"0-25",I386&lt;50,"25-50",I386&lt;75,"50-75",I386&lt;100,"75-100",I386&lt;125,"100-125",I386&gt;=125,"125+")</f>
        <v>0-25</v>
      </c>
    </row>
    <row r="387" spans="1:13" x14ac:dyDescent="0.25">
      <c r="A387" t="s">
        <v>731</v>
      </c>
      <c r="B387" t="s">
        <v>730</v>
      </c>
      <c r="C387" s="1">
        <v>45682</v>
      </c>
      <c r="D387" t="s">
        <v>38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62</v>
      </c>
      <c r="K387">
        <v>0</v>
      </c>
      <c r="L387">
        <v>0</v>
      </c>
      <c r="M387" t="str" cm="1">
        <f t="array" ref="M387">_xlfn.IFS(I387&lt;25,"0-25",I387&lt;50,"25-50",I387&lt;75,"50-75",I387&lt;100,"75-100",I387&lt;125,"100-125",I387&gt;=125,"125+")</f>
        <v>25-50</v>
      </c>
    </row>
    <row r="388" spans="1:13" x14ac:dyDescent="0.25">
      <c r="A388" t="s">
        <v>732</v>
      </c>
      <c r="B388" t="s">
        <v>733</v>
      </c>
      <c r="C388" s="1">
        <v>45420</v>
      </c>
      <c r="D388" t="s">
        <v>14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18</v>
      </c>
      <c r="K388">
        <v>170</v>
      </c>
      <c r="L388">
        <v>1</v>
      </c>
      <c r="M388" t="str" cm="1">
        <f t="array" ref="M388">_xlfn.IFS(I388&lt;25,"0-25",I388&lt;50,"25-50",I388&lt;75,"50-75",I388&lt;100,"75-100",I388&lt;125,"100-125",I388&gt;=125,"125+")</f>
        <v>25-50</v>
      </c>
    </row>
    <row r="389" spans="1:13" x14ac:dyDescent="0.25">
      <c r="A389" t="s">
        <v>734</v>
      </c>
      <c r="B389" t="s">
        <v>735</v>
      </c>
      <c r="C389" s="1">
        <v>45494</v>
      </c>
      <c r="D389" t="s">
        <v>38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18</v>
      </c>
      <c r="K389">
        <v>75</v>
      </c>
      <c r="L389">
        <v>1</v>
      </c>
      <c r="M389" t="str" cm="1">
        <f t="array" ref="M389">_xlfn.IFS(I389&lt;25,"0-25",I389&lt;50,"25-50",I389&lt;75,"50-75",I389&lt;100,"75-100",I389&lt;125,"100-125",I389&gt;=125,"125+")</f>
        <v>25-50</v>
      </c>
    </row>
    <row r="390" spans="1:13" x14ac:dyDescent="0.25">
      <c r="A390" t="s">
        <v>736</v>
      </c>
      <c r="B390" t="s">
        <v>735</v>
      </c>
      <c r="C390" s="1">
        <v>45498</v>
      </c>
      <c r="D390" t="s">
        <v>47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18</v>
      </c>
      <c r="K390">
        <v>153</v>
      </c>
      <c r="L390">
        <v>1</v>
      </c>
      <c r="M390" t="str" cm="1">
        <f t="array" ref="M390">_xlfn.IFS(I390&lt;25,"0-25",I390&lt;50,"25-50",I390&lt;75,"50-75",I390&lt;100,"75-100",I390&lt;125,"100-125",I390&gt;=125,"125+")</f>
        <v>25-50</v>
      </c>
    </row>
    <row r="391" spans="1:13" x14ac:dyDescent="0.25">
      <c r="A391" t="s">
        <v>737</v>
      </c>
      <c r="B391" t="s">
        <v>738</v>
      </c>
      <c r="C391" s="1">
        <v>45735</v>
      </c>
      <c r="D391" t="s">
        <v>30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15</v>
      </c>
      <c r="K391">
        <v>0</v>
      </c>
      <c r="L391">
        <v>0</v>
      </c>
      <c r="M391" t="str" cm="1">
        <f t="array" ref="M391">_xlfn.IFS(I391&lt;25,"0-25",I391&lt;50,"25-50",I391&lt;75,"50-75",I391&lt;100,"75-100",I391&lt;125,"100-125",I391&gt;=125,"125+")</f>
        <v>0-25</v>
      </c>
    </row>
    <row r="392" spans="1:13" x14ac:dyDescent="0.25">
      <c r="A392" t="s">
        <v>739</v>
      </c>
      <c r="B392" t="s">
        <v>740</v>
      </c>
      <c r="C392" s="1">
        <v>45448</v>
      </c>
      <c r="D392" t="s">
        <v>17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27</v>
      </c>
      <c r="K392">
        <v>0</v>
      </c>
      <c r="L392">
        <v>0</v>
      </c>
      <c r="M392" t="str" cm="1">
        <f t="array" ref="M392">_xlfn.IFS(I392&lt;25,"0-25",I392&lt;50,"25-50",I392&lt;75,"50-75",I392&lt;100,"75-100",I392&lt;125,"100-125",I392&gt;=125,"125+")</f>
        <v>50-75</v>
      </c>
    </row>
    <row r="393" spans="1:13" x14ac:dyDescent="0.25">
      <c r="A393" t="s">
        <v>741</v>
      </c>
      <c r="B393" t="s">
        <v>742</v>
      </c>
      <c r="C393" s="1">
        <v>45772</v>
      </c>
      <c r="D393" t="s">
        <v>24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18</v>
      </c>
      <c r="K393">
        <v>78</v>
      </c>
      <c r="L393">
        <v>1</v>
      </c>
      <c r="M393" t="str" cm="1">
        <f t="array" ref="M393">_xlfn.IFS(I393&lt;25,"0-25",I393&lt;50,"25-50",I393&lt;75,"50-75",I393&lt;100,"75-100",I393&lt;125,"100-125",I393&gt;=125,"125+")</f>
        <v>100-125</v>
      </c>
    </row>
    <row r="394" spans="1:13" x14ac:dyDescent="0.25">
      <c r="A394" t="s">
        <v>743</v>
      </c>
      <c r="B394" t="s">
        <v>744</v>
      </c>
      <c r="C394" s="1">
        <v>45696</v>
      </c>
      <c r="D394" t="s">
        <v>21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27</v>
      </c>
      <c r="K394">
        <v>0</v>
      </c>
      <c r="L394">
        <v>0</v>
      </c>
      <c r="M394" t="str" cm="1">
        <f t="array" ref="M394">_xlfn.IFS(I394&lt;25,"0-25",I394&lt;50,"25-50",I394&lt;75,"50-75",I394&lt;100,"75-100",I394&lt;125,"100-125",I394&gt;=125,"125+")</f>
        <v>25-50</v>
      </c>
    </row>
    <row r="395" spans="1:13" x14ac:dyDescent="0.25">
      <c r="A395" t="s">
        <v>745</v>
      </c>
      <c r="B395" t="s">
        <v>746</v>
      </c>
      <c r="C395" s="1">
        <v>45458</v>
      </c>
      <c r="D395" t="s">
        <v>47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18</v>
      </c>
      <c r="K395">
        <v>141</v>
      </c>
      <c r="L395">
        <v>1</v>
      </c>
      <c r="M395" t="str" cm="1">
        <f t="array" ref="M395">_xlfn.IFS(I395&lt;25,"0-25",I395&lt;50,"25-50",I395&lt;75,"50-75",I395&lt;100,"75-100",I395&lt;125,"100-125",I395&gt;=125,"125+")</f>
        <v>25-50</v>
      </c>
    </row>
    <row r="396" spans="1:13" x14ac:dyDescent="0.25">
      <c r="A396" t="s">
        <v>747</v>
      </c>
      <c r="B396" t="s">
        <v>748</v>
      </c>
      <c r="C396" s="1">
        <v>45686</v>
      </c>
      <c r="D396" t="s">
        <v>30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27</v>
      </c>
      <c r="K396">
        <v>0</v>
      </c>
      <c r="L396">
        <v>0</v>
      </c>
      <c r="M396" t="str" cm="1">
        <f t="array" ref="M396">_xlfn.IFS(I396&lt;25,"0-25",I396&lt;50,"25-50",I396&lt;75,"50-75",I396&lt;100,"75-100",I396&lt;125,"100-125",I396&gt;=125,"125+")</f>
        <v>0-25</v>
      </c>
    </row>
    <row r="397" spans="1:13" x14ac:dyDescent="0.25">
      <c r="A397" t="s">
        <v>749</v>
      </c>
      <c r="B397" t="s">
        <v>748</v>
      </c>
      <c r="C397" s="1">
        <v>45443</v>
      </c>
      <c r="D397" t="s">
        <v>41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62</v>
      </c>
      <c r="K397">
        <v>0</v>
      </c>
      <c r="L397">
        <v>0</v>
      </c>
      <c r="M397" t="str" cm="1">
        <f t="array" ref="M397">_xlfn.IFS(I397&lt;25,"0-25",I397&lt;50,"25-50",I397&lt;75,"50-75",I397&lt;100,"75-100",I397&lt;125,"100-125",I397&gt;=125,"125+")</f>
        <v>25-50</v>
      </c>
    </row>
    <row r="398" spans="1:13" x14ac:dyDescent="0.25">
      <c r="A398" t="s">
        <v>750</v>
      </c>
      <c r="B398" t="s">
        <v>751</v>
      </c>
      <c r="C398" s="1">
        <v>45386</v>
      </c>
      <c r="D398" t="s">
        <v>47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62</v>
      </c>
      <c r="K398">
        <v>15</v>
      </c>
      <c r="L398">
        <v>0</v>
      </c>
      <c r="M398" t="str" cm="1">
        <f t="array" ref="M398">_xlfn.IFS(I398&lt;25,"0-25",I398&lt;50,"25-50",I398&lt;75,"50-75",I398&lt;100,"75-100",I398&lt;125,"100-125",I398&gt;=125,"125+")</f>
        <v>25-50</v>
      </c>
    </row>
    <row r="399" spans="1:13" x14ac:dyDescent="0.25">
      <c r="A399" t="s">
        <v>752</v>
      </c>
      <c r="B399" t="s">
        <v>753</v>
      </c>
      <c r="C399" s="1">
        <v>45729</v>
      </c>
      <c r="D399" t="s">
        <v>36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18</v>
      </c>
      <c r="K399">
        <v>107</v>
      </c>
      <c r="L399">
        <v>1</v>
      </c>
      <c r="M399" t="str" cm="1">
        <f t="array" ref="M399">_xlfn.IFS(I399&lt;25,"0-25",I399&lt;50,"25-50",I399&lt;75,"50-75",I399&lt;100,"75-100",I399&lt;125,"100-125",I399&gt;=125,"125+")</f>
        <v>25-50</v>
      </c>
    </row>
    <row r="400" spans="1:13" x14ac:dyDescent="0.25">
      <c r="A400" t="s">
        <v>754</v>
      </c>
      <c r="B400" t="s">
        <v>755</v>
      </c>
      <c r="C400" s="1">
        <v>45383</v>
      </c>
      <c r="D400" t="s">
        <v>21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18</v>
      </c>
      <c r="K400">
        <v>176</v>
      </c>
      <c r="L400">
        <v>1</v>
      </c>
      <c r="M400" t="str" cm="1">
        <f t="array" ref="M400">_xlfn.IFS(I400&lt;25,"0-25",I400&lt;50,"25-50",I400&lt;75,"50-75",I400&lt;100,"75-100",I400&lt;125,"100-125",I400&gt;=125,"125+")</f>
        <v>50-75</v>
      </c>
    </row>
    <row r="401" spans="1:13" x14ac:dyDescent="0.25">
      <c r="A401" t="s">
        <v>756</v>
      </c>
      <c r="B401" t="s">
        <v>757</v>
      </c>
      <c r="C401" s="1">
        <v>45699</v>
      </c>
      <c r="D401" t="s">
        <v>30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27</v>
      </c>
      <c r="K401">
        <v>0</v>
      </c>
      <c r="L401">
        <v>0</v>
      </c>
      <c r="M401" t="str" cm="1">
        <f t="array" ref="M401">_xlfn.IFS(I401&lt;25,"0-25",I401&lt;50,"25-50",I401&lt;75,"50-75",I401&lt;100,"75-100",I401&lt;125,"100-125",I401&gt;=125,"125+")</f>
        <v>25-50</v>
      </c>
    </row>
    <row r="402" spans="1:13" x14ac:dyDescent="0.25">
      <c r="A402" t="s">
        <v>758</v>
      </c>
      <c r="B402" t="s">
        <v>759</v>
      </c>
      <c r="C402" s="1">
        <v>45587</v>
      </c>
      <c r="D402" t="s">
        <v>36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27</v>
      </c>
      <c r="K402">
        <v>0</v>
      </c>
      <c r="L402">
        <v>0</v>
      </c>
      <c r="M402" t="str" cm="1">
        <f t="array" ref="M402">_xlfn.IFS(I402&lt;25,"0-25",I402&lt;50,"25-50",I402&lt;75,"50-75",I402&lt;100,"75-100",I402&lt;125,"100-125",I402&gt;=125,"125+")</f>
        <v>50-75</v>
      </c>
    </row>
    <row r="403" spans="1:13" x14ac:dyDescent="0.25">
      <c r="A403" t="s">
        <v>760</v>
      </c>
      <c r="B403" t="s">
        <v>761</v>
      </c>
      <c r="C403" s="1">
        <v>45509</v>
      </c>
      <c r="D403" t="s">
        <v>38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18</v>
      </c>
      <c r="K403">
        <v>45</v>
      </c>
      <c r="L403">
        <v>1</v>
      </c>
      <c r="M403" t="str" cm="1">
        <f t="array" ref="M403">_xlfn.IFS(I403&lt;25,"0-25",I403&lt;50,"25-50",I403&lt;75,"50-75",I403&lt;100,"75-100",I403&lt;125,"100-125",I403&gt;=125,"125+")</f>
        <v>50-75</v>
      </c>
    </row>
    <row r="404" spans="1:13" x14ac:dyDescent="0.25">
      <c r="A404" t="s">
        <v>762</v>
      </c>
      <c r="B404" t="s">
        <v>763</v>
      </c>
      <c r="C404" s="1">
        <v>45403</v>
      </c>
      <c r="D404" t="s">
        <v>38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27</v>
      </c>
      <c r="K404">
        <v>0</v>
      </c>
      <c r="L404">
        <v>0</v>
      </c>
      <c r="M404" t="str" cm="1">
        <f t="array" ref="M404">_xlfn.IFS(I404&lt;25,"0-25",I404&lt;50,"25-50",I404&lt;75,"50-75",I404&lt;100,"75-100",I404&lt;125,"100-125",I404&gt;=125,"125+")</f>
        <v>25-50</v>
      </c>
    </row>
    <row r="405" spans="1:13" x14ac:dyDescent="0.25">
      <c r="A405" t="s">
        <v>764</v>
      </c>
      <c r="B405" t="s">
        <v>765</v>
      </c>
      <c r="C405" s="1">
        <v>45395</v>
      </c>
      <c r="D405" t="s">
        <v>24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18</v>
      </c>
      <c r="K405">
        <v>98</v>
      </c>
      <c r="L405">
        <v>1</v>
      </c>
      <c r="M405" t="str" cm="1">
        <f t="array" ref="M405">_xlfn.IFS(I405&lt;25,"0-25",I405&lt;50,"25-50",I405&lt;75,"50-75",I405&lt;100,"75-100",I405&lt;125,"100-125",I405&gt;=125,"125+")</f>
        <v>0-25</v>
      </c>
    </row>
    <row r="406" spans="1:13" x14ac:dyDescent="0.25">
      <c r="A406" t="s">
        <v>766</v>
      </c>
      <c r="B406" t="s">
        <v>767</v>
      </c>
      <c r="C406" s="1">
        <v>45826</v>
      </c>
      <c r="D406" t="s">
        <v>41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27</v>
      </c>
      <c r="K406">
        <v>0</v>
      </c>
      <c r="L406">
        <v>0</v>
      </c>
      <c r="M406" t="str" cm="1">
        <f t="array" ref="M406">_xlfn.IFS(I406&lt;25,"0-25",I406&lt;50,"25-50",I406&lt;75,"50-75",I406&lt;100,"75-100",I406&lt;125,"100-125",I406&gt;=125,"125+")</f>
        <v>75-100</v>
      </c>
    </row>
    <row r="407" spans="1:13" x14ac:dyDescent="0.25">
      <c r="A407" t="s">
        <v>768</v>
      </c>
      <c r="B407" t="s">
        <v>769</v>
      </c>
      <c r="C407" s="1">
        <v>45636</v>
      </c>
      <c r="D407" t="s">
        <v>24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62</v>
      </c>
      <c r="K407">
        <v>15</v>
      </c>
      <c r="L407">
        <v>0</v>
      </c>
      <c r="M407" t="str" cm="1">
        <f t="array" ref="M407">_xlfn.IFS(I407&lt;25,"0-25",I407&lt;50,"25-50",I407&lt;75,"50-75",I407&lt;100,"75-100",I407&lt;125,"100-125",I407&gt;=125,"125+")</f>
        <v>0-25</v>
      </c>
    </row>
    <row r="408" spans="1:13" x14ac:dyDescent="0.25">
      <c r="A408" t="s">
        <v>770</v>
      </c>
      <c r="B408" t="s">
        <v>769</v>
      </c>
      <c r="C408" s="1">
        <v>45656</v>
      </c>
      <c r="D408" t="s">
        <v>38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27</v>
      </c>
      <c r="K408">
        <v>0</v>
      </c>
      <c r="L408">
        <v>0</v>
      </c>
      <c r="M408" t="str" cm="1">
        <f t="array" ref="M408">_xlfn.IFS(I408&lt;25,"0-25",I408&lt;50,"25-50",I408&lt;75,"50-75",I408&lt;100,"75-100",I408&lt;125,"100-125",I408&gt;=125,"125+")</f>
        <v>0-25</v>
      </c>
    </row>
    <row r="409" spans="1:13" x14ac:dyDescent="0.25">
      <c r="A409" t="s">
        <v>771</v>
      </c>
      <c r="B409" t="s">
        <v>772</v>
      </c>
      <c r="C409" s="1">
        <v>45417</v>
      </c>
      <c r="D409" t="s">
        <v>17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62</v>
      </c>
      <c r="K409">
        <v>0</v>
      </c>
      <c r="L409">
        <v>0</v>
      </c>
      <c r="M409" t="str" cm="1">
        <f t="array" ref="M409">_xlfn.IFS(I409&lt;25,"0-25",I409&lt;50,"25-50",I409&lt;75,"50-75",I409&lt;100,"75-100",I409&lt;125,"100-125",I409&gt;=125,"125+")</f>
        <v>75-100</v>
      </c>
    </row>
    <row r="410" spans="1:13" x14ac:dyDescent="0.25">
      <c r="A410" t="s">
        <v>773</v>
      </c>
      <c r="B410" t="s">
        <v>772</v>
      </c>
      <c r="C410" s="1">
        <v>45484</v>
      </c>
      <c r="D410" t="s">
        <v>38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18</v>
      </c>
      <c r="K410">
        <v>112</v>
      </c>
      <c r="L410">
        <v>1</v>
      </c>
      <c r="M410" t="str" cm="1">
        <f t="array" ref="M410">_xlfn.IFS(I410&lt;25,"0-25",I410&lt;50,"25-50",I410&lt;75,"50-75",I410&lt;100,"75-100",I410&lt;125,"100-125",I410&gt;=125,"125+")</f>
        <v>50-75</v>
      </c>
    </row>
    <row r="411" spans="1:13" x14ac:dyDescent="0.25">
      <c r="A411" t="s">
        <v>774</v>
      </c>
      <c r="B411" t="s">
        <v>775</v>
      </c>
      <c r="C411" s="1">
        <v>45531</v>
      </c>
      <c r="D411" t="s">
        <v>30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62</v>
      </c>
      <c r="K411">
        <v>0</v>
      </c>
      <c r="L411">
        <v>0</v>
      </c>
      <c r="M411" t="str" cm="1">
        <f t="array" ref="M411">_xlfn.IFS(I411&lt;25,"0-25",I411&lt;50,"25-50",I411&lt;75,"50-75",I411&lt;100,"75-100",I411&lt;125,"100-125",I411&gt;=125,"125+")</f>
        <v>75-100</v>
      </c>
    </row>
    <row r="412" spans="1:13" x14ac:dyDescent="0.25">
      <c r="A412" t="s">
        <v>776</v>
      </c>
      <c r="B412" t="s">
        <v>777</v>
      </c>
      <c r="C412" s="1">
        <v>45394</v>
      </c>
      <c r="D412" t="s">
        <v>17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27</v>
      </c>
      <c r="K412">
        <v>0</v>
      </c>
      <c r="L412">
        <v>0</v>
      </c>
      <c r="M412" t="str" cm="1">
        <f t="array" ref="M412">_xlfn.IFS(I412&lt;25,"0-25",I412&lt;50,"25-50",I412&lt;75,"50-75",I412&lt;100,"75-100",I412&lt;125,"100-125",I412&gt;=125,"125+")</f>
        <v>0-25</v>
      </c>
    </row>
    <row r="413" spans="1:13" x14ac:dyDescent="0.25">
      <c r="A413" t="s">
        <v>778</v>
      </c>
      <c r="B413" t="s">
        <v>779</v>
      </c>
      <c r="C413" s="1">
        <v>45801</v>
      </c>
      <c r="D413" t="s">
        <v>21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62</v>
      </c>
      <c r="K413">
        <v>0</v>
      </c>
      <c r="L413">
        <v>0</v>
      </c>
      <c r="M413" t="str" cm="1">
        <f t="array" ref="M413">_xlfn.IFS(I413&lt;25,"0-25",I413&lt;50,"25-50",I413&lt;75,"50-75",I413&lt;100,"75-100",I413&lt;125,"100-125",I413&gt;=125,"125+")</f>
        <v>50-75</v>
      </c>
    </row>
    <row r="414" spans="1:13" x14ac:dyDescent="0.25">
      <c r="A414" t="s">
        <v>780</v>
      </c>
      <c r="B414" t="s">
        <v>781</v>
      </c>
      <c r="C414" s="1">
        <v>45538</v>
      </c>
      <c r="D414" t="s">
        <v>14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15</v>
      </c>
      <c r="K414">
        <v>0</v>
      </c>
      <c r="L414">
        <v>0</v>
      </c>
      <c r="M414" t="str" cm="1">
        <f t="array" ref="M414">_xlfn.IFS(I414&lt;25,"0-25",I414&lt;50,"25-50",I414&lt;75,"50-75",I414&lt;100,"75-100",I414&lt;125,"100-125",I414&gt;=125,"125+")</f>
        <v>25-50</v>
      </c>
    </row>
    <row r="415" spans="1:13" x14ac:dyDescent="0.25">
      <c r="A415" t="s">
        <v>782</v>
      </c>
      <c r="B415" t="s">
        <v>783</v>
      </c>
      <c r="C415" s="1">
        <v>45626</v>
      </c>
      <c r="D415" t="s">
        <v>36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27</v>
      </c>
      <c r="K415">
        <v>0</v>
      </c>
      <c r="L415">
        <v>0</v>
      </c>
      <c r="M415" t="str" cm="1">
        <f t="array" ref="M415">_xlfn.IFS(I415&lt;25,"0-25",I415&lt;50,"25-50",I415&lt;75,"50-75",I415&lt;100,"75-100",I415&lt;125,"100-125",I415&gt;=125,"125+")</f>
        <v>25-50</v>
      </c>
    </row>
    <row r="416" spans="1:13" x14ac:dyDescent="0.25">
      <c r="A416" t="s">
        <v>784</v>
      </c>
      <c r="B416" t="s">
        <v>785</v>
      </c>
      <c r="C416" s="1">
        <v>45795</v>
      </c>
      <c r="D416" t="s">
        <v>14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18</v>
      </c>
      <c r="K416">
        <v>115</v>
      </c>
      <c r="L416">
        <v>1</v>
      </c>
      <c r="M416" t="str" cm="1">
        <f t="array" ref="M416">_xlfn.IFS(I416&lt;25,"0-25",I416&lt;50,"25-50",I416&lt;75,"50-75",I416&lt;100,"75-100",I416&lt;125,"100-125",I416&gt;=125,"125+")</f>
        <v>50-75</v>
      </c>
    </row>
    <row r="417" spans="1:13" x14ac:dyDescent="0.25">
      <c r="A417" t="s">
        <v>786</v>
      </c>
      <c r="B417" t="s">
        <v>787</v>
      </c>
      <c r="C417" s="1">
        <v>45682</v>
      </c>
      <c r="D417" t="s">
        <v>47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15</v>
      </c>
      <c r="K417">
        <v>0</v>
      </c>
      <c r="L417">
        <v>0</v>
      </c>
      <c r="M417" t="str" cm="1">
        <f t="array" ref="M417">_xlfn.IFS(I417&lt;25,"0-25",I417&lt;50,"25-50",I417&lt;75,"50-75",I417&lt;100,"75-100",I417&lt;125,"100-125",I417&gt;=125,"125+")</f>
        <v>25-50</v>
      </c>
    </row>
    <row r="418" spans="1:13" x14ac:dyDescent="0.25">
      <c r="A418" t="s">
        <v>788</v>
      </c>
      <c r="B418" t="s">
        <v>787</v>
      </c>
      <c r="C418" s="1">
        <v>45406</v>
      </c>
      <c r="D418" t="s">
        <v>17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18</v>
      </c>
      <c r="K418">
        <v>78</v>
      </c>
      <c r="L418">
        <v>1</v>
      </c>
      <c r="M418" t="str" cm="1">
        <f t="array" ref="M418">_xlfn.IFS(I418&lt;25,"0-25",I418&lt;50,"25-50",I418&lt;75,"50-75",I418&lt;100,"75-100",I418&lt;125,"100-125",I418&gt;=125,"125+")</f>
        <v>50-75</v>
      </c>
    </row>
    <row r="419" spans="1:13" x14ac:dyDescent="0.25">
      <c r="A419" t="s">
        <v>789</v>
      </c>
      <c r="B419" t="s">
        <v>790</v>
      </c>
      <c r="C419" s="1">
        <v>45293</v>
      </c>
      <c r="D419" t="s">
        <v>36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27</v>
      </c>
      <c r="K419">
        <v>0</v>
      </c>
      <c r="L419">
        <v>0</v>
      </c>
      <c r="M419" t="str" cm="1">
        <f t="array" ref="M419">_xlfn.IFS(I419&lt;25,"0-25",I419&lt;50,"25-50",I419&lt;75,"50-75",I419&lt;100,"75-100",I419&lt;125,"100-125",I419&gt;=125,"125+")</f>
        <v>25-50</v>
      </c>
    </row>
    <row r="420" spans="1:13" x14ac:dyDescent="0.25">
      <c r="A420" t="s">
        <v>791</v>
      </c>
      <c r="B420" t="s">
        <v>792</v>
      </c>
      <c r="C420" s="1">
        <v>45519</v>
      </c>
      <c r="D420" t="s">
        <v>17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18</v>
      </c>
      <c r="K420">
        <v>32</v>
      </c>
      <c r="L420">
        <v>1</v>
      </c>
      <c r="M420" t="str" cm="1">
        <f t="array" ref="M420">_xlfn.IFS(I420&lt;25,"0-25",I420&lt;50,"25-50",I420&lt;75,"50-75",I420&lt;100,"75-100",I420&lt;125,"100-125",I420&gt;=125,"125+")</f>
        <v>25-50</v>
      </c>
    </row>
    <row r="421" spans="1:13" x14ac:dyDescent="0.25">
      <c r="A421" t="s">
        <v>793</v>
      </c>
      <c r="B421" t="s">
        <v>794</v>
      </c>
      <c r="C421" s="1">
        <v>45803</v>
      </c>
      <c r="D421" t="s">
        <v>14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27</v>
      </c>
      <c r="K421">
        <v>0</v>
      </c>
      <c r="L421">
        <v>0</v>
      </c>
      <c r="M421" t="str" cm="1">
        <f t="array" ref="M421">_xlfn.IFS(I421&lt;25,"0-25",I421&lt;50,"25-50",I421&lt;75,"50-75",I421&lt;100,"75-100",I421&lt;125,"100-125",I421&gt;=125,"125+")</f>
        <v>25-50</v>
      </c>
    </row>
    <row r="422" spans="1:13" x14ac:dyDescent="0.25">
      <c r="A422" t="s">
        <v>795</v>
      </c>
      <c r="B422" t="s">
        <v>796</v>
      </c>
      <c r="C422" s="1">
        <v>45781</v>
      </c>
      <c r="D422" t="s">
        <v>41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27</v>
      </c>
      <c r="K422">
        <v>0</v>
      </c>
      <c r="L422">
        <v>0</v>
      </c>
      <c r="M422" t="str" cm="1">
        <f t="array" ref="M422">_xlfn.IFS(I422&lt;25,"0-25",I422&lt;50,"25-50",I422&lt;75,"50-75",I422&lt;100,"75-100",I422&lt;125,"100-125",I422&gt;=125,"125+")</f>
        <v>25-50</v>
      </c>
    </row>
    <row r="423" spans="1:13" x14ac:dyDescent="0.25">
      <c r="A423" t="s">
        <v>797</v>
      </c>
      <c r="B423" t="s">
        <v>798</v>
      </c>
      <c r="C423" s="1">
        <v>45522</v>
      </c>
      <c r="D423" t="s">
        <v>41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15</v>
      </c>
      <c r="K423">
        <v>0</v>
      </c>
      <c r="L423">
        <v>0</v>
      </c>
      <c r="M423" t="str" cm="1">
        <f t="array" ref="M423">_xlfn.IFS(I423&lt;25,"0-25",I423&lt;50,"25-50",I423&lt;75,"50-75",I423&lt;100,"75-100",I423&lt;125,"100-125",I423&gt;=125,"125+")</f>
        <v>25-50</v>
      </c>
    </row>
    <row r="424" spans="1:13" x14ac:dyDescent="0.25">
      <c r="A424" t="s">
        <v>799</v>
      </c>
      <c r="B424" t="s">
        <v>798</v>
      </c>
      <c r="C424" s="1">
        <v>45455</v>
      </c>
      <c r="D424" t="s">
        <v>33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27</v>
      </c>
      <c r="K424">
        <v>0</v>
      </c>
      <c r="L424">
        <v>0</v>
      </c>
      <c r="M424" t="str" cm="1">
        <f t="array" ref="M424">_xlfn.IFS(I424&lt;25,"0-25",I424&lt;50,"25-50",I424&lt;75,"50-75",I424&lt;100,"75-100",I424&lt;125,"100-125",I424&gt;=125,"125+")</f>
        <v>50-75</v>
      </c>
    </row>
    <row r="425" spans="1:13" x14ac:dyDescent="0.25">
      <c r="A425" t="s">
        <v>800</v>
      </c>
      <c r="B425" t="s">
        <v>801</v>
      </c>
      <c r="C425" s="1">
        <v>45581</v>
      </c>
      <c r="D425" t="s">
        <v>30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15</v>
      </c>
      <c r="K425">
        <v>0</v>
      </c>
      <c r="L425">
        <v>0</v>
      </c>
      <c r="M425" t="str" cm="1">
        <f t="array" ref="M425">_xlfn.IFS(I425&lt;25,"0-25",I425&lt;50,"25-50",I425&lt;75,"50-75",I425&lt;100,"75-100",I425&lt;125,"100-125",I425&gt;=125,"125+")</f>
        <v>50-75</v>
      </c>
    </row>
    <row r="426" spans="1:13" x14ac:dyDescent="0.25">
      <c r="A426" t="s">
        <v>802</v>
      </c>
      <c r="B426" t="s">
        <v>803</v>
      </c>
      <c r="C426" s="1">
        <v>45603</v>
      </c>
      <c r="D426" t="s">
        <v>33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27</v>
      </c>
      <c r="K426">
        <v>0</v>
      </c>
      <c r="L426">
        <v>0</v>
      </c>
      <c r="M426" t="str" cm="1">
        <f t="array" ref="M426">_xlfn.IFS(I426&lt;25,"0-25",I426&lt;50,"25-50",I426&lt;75,"50-75",I426&lt;100,"75-100",I426&lt;125,"100-125",I426&gt;=125,"125+")</f>
        <v>100-125</v>
      </c>
    </row>
    <row r="427" spans="1:13" x14ac:dyDescent="0.25">
      <c r="A427" t="s">
        <v>804</v>
      </c>
      <c r="B427" t="s">
        <v>805</v>
      </c>
      <c r="C427" s="1">
        <v>45301</v>
      </c>
      <c r="D427" t="s">
        <v>24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62</v>
      </c>
      <c r="K427">
        <v>15</v>
      </c>
      <c r="L427">
        <v>0</v>
      </c>
      <c r="M427" t="str" cm="1">
        <f t="array" ref="M427">_xlfn.IFS(I427&lt;25,"0-25",I427&lt;50,"25-50",I427&lt;75,"50-75",I427&lt;100,"75-100",I427&lt;125,"100-125",I427&gt;=125,"125+")</f>
        <v>50-75</v>
      </c>
    </row>
    <row r="428" spans="1:13" x14ac:dyDescent="0.25">
      <c r="A428" t="s">
        <v>806</v>
      </c>
      <c r="B428" t="s">
        <v>807</v>
      </c>
      <c r="C428" s="1">
        <v>45390</v>
      </c>
      <c r="D428" t="s">
        <v>33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18</v>
      </c>
      <c r="K428">
        <v>151</v>
      </c>
      <c r="L428">
        <v>1</v>
      </c>
      <c r="M428" t="str" cm="1">
        <f t="array" ref="M428">_xlfn.IFS(I428&lt;25,"0-25",I428&lt;50,"25-50",I428&lt;75,"50-75",I428&lt;100,"75-100",I428&lt;125,"100-125",I428&gt;=125,"125+")</f>
        <v>50-75</v>
      </c>
    </row>
    <row r="429" spans="1:13" x14ac:dyDescent="0.25">
      <c r="A429" t="s">
        <v>808</v>
      </c>
      <c r="B429" t="s">
        <v>809</v>
      </c>
      <c r="C429" s="1">
        <v>45444</v>
      </c>
      <c r="D429" t="s">
        <v>41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27</v>
      </c>
      <c r="K429">
        <v>0</v>
      </c>
      <c r="L429">
        <v>0</v>
      </c>
      <c r="M429" t="str" cm="1">
        <f t="array" ref="M429">_xlfn.IFS(I429&lt;25,"0-25",I429&lt;50,"25-50",I429&lt;75,"50-75",I429&lt;100,"75-100",I429&lt;125,"100-125",I429&gt;=125,"125+")</f>
        <v>0-25</v>
      </c>
    </row>
    <row r="430" spans="1:13" x14ac:dyDescent="0.25">
      <c r="A430" t="s">
        <v>810</v>
      </c>
      <c r="B430" t="s">
        <v>811</v>
      </c>
      <c r="C430" s="1">
        <v>45676</v>
      </c>
      <c r="D430" t="s">
        <v>14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62</v>
      </c>
      <c r="K430">
        <v>30</v>
      </c>
      <c r="L430">
        <v>0</v>
      </c>
      <c r="M430" t="str" cm="1">
        <f t="array" ref="M430">_xlfn.IFS(I430&lt;25,"0-25",I430&lt;50,"25-50",I430&lt;75,"50-75",I430&lt;100,"75-100",I430&lt;125,"100-125",I430&gt;=125,"125+")</f>
        <v>25-50</v>
      </c>
    </row>
    <row r="431" spans="1:13" x14ac:dyDescent="0.25">
      <c r="A431" t="s">
        <v>812</v>
      </c>
      <c r="B431" t="s">
        <v>813</v>
      </c>
      <c r="C431" s="1">
        <v>45747</v>
      </c>
      <c r="D431" t="s">
        <v>14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27</v>
      </c>
      <c r="K431">
        <v>0</v>
      </c>
      <c r="L431">
        <v>0</v>
      </c>
      <c r="M431" t="str" cm="1">
        <f t="array" ref="M431">_xlfn.IFS(I431&lt;25,"0-25",I431&lt;50,"25-50",I431&lt;75,"50-75",I431&lt;100,"75-100",I431&lt;125,"100-125",I431&gt;=125,"125+")</f>
        <v>50-75</v>
      </c>
    </row>
    <row r="432" spans="1:13" x14ac:dyDescent="0.25">
      <c r="A432" t="s">
        <v>814</v>
      </c>
      <c r="B432" t="s">
        <v>815</v>
      </c>
      <c r="C432" s="1">
        <v>45388</v>
      </c>
      <c r="D432" t="s">
        <v>21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27</v>
      </c>
      <c r="K432">
        <v>0</v>
      </c>
      <c r="L432">
        <v>0</v>
      </c>
      <c r="M432" t="str" cm="1">
        <f t="array" ref="M432">_xlfn.IFS(I432&lt;25,"0-25",I432&lt;50,"25-50",I432&lt;75,"50-75",I432&lt;100,"75-100",I432&lt;125,"100-125",I432&gt;=125,"125+")</f>
        <v>25-50</v>
      </c>
    </row>
    <row r="433" spans="1:13" x14ac:dyDescent="0.25">
      <c r="A433" t="s">
        <v>816</v>
      </c>
      <c r="B433" t="s">
        <v>817</v>
      </c>
      <c r="C433" s="1">
        <v>45481</v>
      </c>
      <c r="D433" t="s">
        <v>17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27</v>
      </c>
      <c r="K433">
        <v>0</v>
      </c>
      <c r="L433">
        <v>0</v>
      </c>
      <c r="M433" t="str" cm="1">
        <f t="array" ref="M433">_xlfn.IFS(I433&lt;25,"0-25",I433&lt;50,"25-50",I433&lt;75,"50-75",I433&lt;100,"75-100",I433&lt;125,"100-125",I433&gt;=125,"125+")</f>
        <v>0-25</v>
      </c>
    </row>
    <row r="434" spans="1:13" x14ac:dyDescent="0.25">
      <c r="A434" t="s">
        <v>818</v>
      </c>
      <c r="B434" t="s">
        <v>819</v>
      </c>
      <c r="C434" s="1">
        <v>45419</v>
      </c>
      <c r="D434" t="s">
        <v>21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62</v>
      </c>
      <c r="K434">
        <v>0</v>
      </c>
      <c r="L434">
        <v>0</v>
      </c>
      <c r="M434" t="str" cm="1">
        <f t="array" ref="M434">_xlfn.IFS(I434&lt;25,"0-25",I434&lt;50,"25-50",I434&lt;75,"50-75",I434&lt;100,"75-100",I434&lt;125,"100-125",I434&gt;=125,"125+")</f>
        <v>50-75</v>
      </c>
    </row>
    <row r="435" spans="1:13" x14ac:dyDescent="0.25">
      <c r="A435" t="s">
        <v>820</v>
      </c>
      <c r="B435" t="s">
        <v>819</v>
      </c>
      <c r="C435" s="1">
        <v>45749</v>
      </c>
      <c r="D435" t="s">
        <v>36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27</v>
      </c>
      <c r="K435">
        <v>0</v>
      </c>
      <c r="L435">
        <v>0</v>
      </c>
      <c r="M435" t="str" cm="1">
        <f t="array" ref="M435">_xlfn.IFS(I435&lt;25,"0-25",I435&lt;50,"25-50",I435&lt;75,"50-75",I435&lt;100,"75-100",I435&lt;125,"100-125",I435&gt;=125,"125+")</f>
        <v>50-75</v>
      </c>
    </row>
    <row r="436" spans="1:13" x14ac:dyDescent="0.25">
      <c r="A436" t="s">
        <v>821</v>
      </c>
      <c r="B436" t="s">
        <v>822</v>
      </c>
      <c r="C436" s="1">
        <v>45419</v>
      </c>
      <c r="D436" t="s">
        <v>33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27</v>
      </c>
      <c r="K436">
        <v>0</v>
      </c>
      <c r="L436">
        <v>0</v>
      </c>
      <c r="M436" t="str" cm="1">
        <f t="array" ref="M436">_xlfn.IFS(I436&lt;25,"0-25",I436&lt;50,"25-50",I436&lt;75,"50-75",I436&lt;100,"75-100",I436&lt;125,"100-125",I436&gt;=125,"125+")</f>
        <v>0-25</v>
      </c>
    </row>
    <row r="437" spans="1:13" x14ac:dyDescent="0.25">
      <c r="A437" t="s">
        <v>823</v>
      </c>
      <c r="B437" t="s">
        <v>824</v>
      </c>
      <c r="C437" s="1">
        <v>45592</v>
      </c>
      <c r="D437" t="s">
        <v>41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27</v>
      </c>
      <c r="K437">
        <v>0</v>
      </c>
      <c r="L437">
        <v>0</v>
      </c>
      <c r="M437" t="str" cm="1">
        <f t="array" ref="M437">_xlfn.IFS(I437&lt;25,"0-25",I437&lt;50,"25-50",I437&lt;75,"50-75",I437&lt;100,"75-100",I437&lt;125,"100-125",I437&gt;=125,"125+")</f>
        <v>0-25</v>
      </c>
    </row>
    <row r="438" spans="1:13" x14ac:dyDescent="0.25">
      <c r="A438" t="s">
        <v>825</v>
      </c>
      <c r="B438" t="s">
        <v>826</v>
      </c>
      <c r="C438" s="1">
        <v>45506</v>
      </c>
      <c r="D438" t="s">
        <v>21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27</v>
      </c>
      <c r="K438">
        <v>0</v>
      </c>
      <c r="L438">
        <v>0</v>
      </c>
      <c r="M438" t="str" cm="1">
        <f t="array" ref="M438">_xlfn.IFS(I438&lt;25,"0-25",I438&lt;50,"25-50",I438&lt;75,"50-75",I438&lt;100,"75-100",I438&lt;125,"100-125",I438&gt;=125,"125+")</f>
        <v>50-75</v>
      </c>
    </row>
    <row r="439" spans="1:13" x14ac:dyDescent="0.25">
      <c r="A439" t="s">
        <v>827</v>
      </c>
      <c r="B439" t="s">
        <v>828</v>
      </c>
      <c r="C439" s="1">
        <v>45513</v>
      </c>
      <c r="D439" t="s">
        <v>33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15</v>
      </c>
      <c r="K439">
        <v>0</v>
      </c>
      <c r="L439">
        <v>0</v>
      </c>
      <c r="M439" t="str" cm="1">
        <f t="array" ref="M439">_xlfn.IFS(I439&lt;25,"0-25",I439&lt;50,"25-50",I439&lt;75,"50-75",I439&lt;100,"75-100",I439&lt;125,"100-125",I439&gt;=125,"125+")</f>
        <v>75-100</v>
      </c>
    </row>
    <row r="440" spans="1:13" x14ac:dyDescent="0.25">
      <c r="A440" t="s">
        <v>829</v>
      </c>
      <c r="B440" t="s">
        <v>830</v>
      </c>
      <c r="C440" s="1">
        <v>45377</v>
      </c>
      <c r="D440" t="s">
        <v>21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15</v>
      </c>
      <c r="K440">
        <v>0</v>
      </c>
      <c r="L440">
        <v>0</v>
      </c>
      <c r="M440" t="str" cm="1">
        <f t="array" ref="M440">_xlfn.IFS(I440&lt;25,"0-25",I440&lt;50,"25-50",I440&lt;75,"50-75",I440&lt;100,"75-100",I440&lt;125,"100-125",I440&gt;=125,"125+")</f>
        <v>25-50</v>
      </c>
    </row>
    <row r="441" spans="1:13" x14ac:dyDescent="0.25">
      <c r="A441" t="s">
        <v>831</v>
      </c>
      <c r="B441" t="s">
        <v>832</v>
      </c>
      <c r="C441" s="1">
        <v>45815</v>
      </c>
      <c r="D441" t="s">
        <v>38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27</v>
      </c>
      <c r="K441">
        <v>0</v>
      </c>
      <c r="L441">
        <v>0</v>
      </c>
      <c r="M441" t="str" cm="1">
        <f t="array" ref="M441">_xlfn.IFS(I441&lt;25,"0-25",I441&lt;50,"25-50",I441&lt;75,"50-75",I441&lt;100,"75-100",I441&lt;125,"100-125",I441&gt;=125,"125+")</f>
        <v>50-75</v>
      </c>
    </row>
    <row r="442" spans="1:13" x14ac:dyDescent="0.25">
      <c r="A442" t="s">
        <v>833</v>
      </c>
      <c r="B442" t="s">
        <v>834</v>
      </c>
      <c r="C442" s="1">
        <v>45419</v>
      </c>
      <c r="D442" t="s">
        <v>17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27</v>
      </c>
      <c r="K442">
        <v>0</v>
      </c>
      <c r="L442">
        <v>0</v>
      </c>
      <c r="M442" t="str" cm="1">
        <f t="array" ref="M442">_xlfn.IFS(I442&lt;25,"0-25",I442&lt;50,"25-50",I442&lt;75,"50-75",I442&lt;100,"75-100",I442&lt;125,"100-125",I442&gt;=125,"125+")</f>
        <v>50-75</v>
      </c>
    </row>
    <row r="443" spans="1:13" x14ac:dyDescent="0.25">
      <c r="A443" t="s">
        <v>835</v>
      </c>
      <c r="B443" t="s">
        <v>834</v>
      </c>
      <c r="C443" s="1">
        <v>45441</v>
      </c>
      <c r="D443" t="s">
        <v>30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27</v>
      </c>
      <c r="K443">
        <v>0</v>
      </c>
      <c r="L443">
        <v>0</v>
      </c>
      <c r="M443" t="str" cm="1">
        <f t="array" ref="M443">_xlfn.IFS(I443&lt;25,"0-25",I443&lt;50,"25-50",I443&lt;75,"50-75",I443&lt;100,"75-100",I443&lt;125,"100-125",I443&gt;=125,"125+")</f>
        <v>25-50</v>
      </c>
    </row>
    <row r="444" spans="1:13" x14ac:dyDescent="0.25">
      <c r="A444" t="s">
        <v>836</v>
      </c>
      <c r="B444" t="s">
        <v>837</v>
      </c>
      <c r="C444" s="1">
        <v>45605</v>
      </c>
      <c r="D444" t="s">
        <v>38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27</v>
      </c>
      <c r="K444">
        <v>0</v>
      </c>
      <c r="L444">
        <v>0</v>
      </c>
      <c r="M444" t="str" cm="1">
        <f t="array" ref="M444">_xlfn.IFS(I444&lt;25,"0-25",I444&lt;50,"25-50",I444&lt;75,"50-75",I444&lt;100,"75-100",I444&lt;125,"100-125",I444&gt;=125,"125+")</f>
        <v>50-75</v>
      </c>
    </row>
    <row r="445" spans="1:13" x14ac:dyDescent="0.25">
      <c r="A445" t="s">
        <v>838</v>
      </c>
      <c r="B445" t="s">
        <v>839</v>
      </c>
      <c r="C445" s="1">
        <v>45341</v>
      </c>
      <c r="D445" t="s">
        <v>47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18</v>
      </c>
      <c r="K445">
        <v>129</v>
      </c>
      <c r="L445">
        <v>1</v>
      </c>
      <c r="M445" t="str" cm="1">
        <f t="array" ref="M445">_xlfn.IFS(I445&lt;25,"0-25",I445&lt;50,"25-50",I445&lt;75,"50-75",I445&lt;100,"75-100",I445&lt;125,"100-125",I445&gt;=125,"125+")</f>
        <v>50-75</v>
      </c>
    </row>
    <row r="446" spans="1:13" x14ac:dyDescent="0.25">
      <c r="A446" t="s">
        <v>840</v>
      </c>
      <c r="B446" t="s">
        <v>841</v>
      </c>
      <c r="C446" s="1">
        <v>45422</v>
      </c>
      <c r="D446" t="s">
        <v>21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18</v>
      </c>
      <c r="K446">
        <v>161</v>
      </c>
      <c r="L446">
        <v>1</v>
      </c>
      <c r="M446" t="str" cm="1">
        <f t="array" ref="M446">_xlfn.IFS(I446&lt;25,"0-25",I446&lt;50,"25-50",I446&lt;75,"50-75",I446&lt;100,"75-100",I446&lt;125,"100-125",I446&gt;=125,"125+")</f>
        <v>50-75</v>
      </c>
    </row>
    <row r="447" spans="1:13" x14ac:dyDescent="0.25">
      <c r="A447" t="s">
        <v>842</v>
      </c>
      <c r="B447" t="s">
        <v>843</v>
      </c>
      <c r="C447" s="1">
        <v>45671</v>
      </c>
      <c r="D447" t="s">
        <v>33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62</v>
      </c>
      <c r="K447">
        <v>0</v>
      </c>
      <c r="L447">
        <v>0</v>
      </c>
      <c r="M447" t="str" cm="1">
        <f t="array" ref="M447">_xlfn.IFS(I447&lt;25,"0-25",I447&lt;50,"25-50",I447&lt;75,"50-75",I447&lt;100,"75-100",I447&lt;125,"100-125",I447&gt;=125,"125+")</f>
        <v>25-50</v>
      </c>
    </row>
    <row r="448" spans="1:13" x14ac:dyDescent="0.25">
      <c r="A448" t="s">
        <v>844</v>
      </c>
      <c r="B448" t="s">
        <v>845</v>
      </c>
      <c r="C448" s="1">
        <v>45574</v>
      </c>
      <c r="D448" t="s">
        <v>33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15</v>
      </c>
      <c r="K448">
        <v>0</v>
      </c>
      <c r="L448">
        <v>0</v>
      </c>
      <c r="M448" t="str" cm="1">
        <f t="array" ref="M448">_xlfn.IFS(I448&lt;25,"0-25",I448&lt;50,"25-50",I448&lt;75,"50-75",I448&lt;100,"75-100",I448&lt;125,"100-125",I448&gt;=125,"125+")</f>
        <v>50-75</v>
      </c>
    </row>
    <row r="449" spans="1:13" x14ac:dyDescent="0.25">
      <c r="A449" t="s">
        <v>846</v>
      </c>
      <c r="B449" t="s">
        <v>847</v>
      </c>
      <c r="C449" s="1">
        <v>45612</v>
      </c>
      <c r="D449" t="s">
        <v>38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27</v>
      </c>
      <c r="K449">
        <v>0</v>
      </c>
      <c r="L449">
        <v>0</v>
      </c>
      <c r="M449" t="str" cm="1">
        <f t="array" ref="M449">_xlfn.IFS(I449&lt;25,"0-25",I449&lt;50,"25-50",I449&lt;75,"50-75",I449&lt;100,"75-100",I449&lt;125,"100-125",I449&gt;=125,"125+")</f>
        <v>25-50</v>
      </c>
    </row>
    <row r="450" spans="1:13" x14ac:dyDescent="0.25">
      <c r="A450" t="s">
        <v>848</v>
      </c>
      <c r="B450" t="s">
        <v>847</v>
      </c>
      <c r="C450" s="1">
        <v>45584</v>
      </c>
      <c r="D450" t="s">
        <v>38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15</v>
      </c>
      <c r="K450">
        <v>0</v>
      </c>
      <c r="L450">
        <v>0</v>
      </c>
      <c r="M450" t="str" cm="1">
        <f t="array" ref="M450">_xlfn.IFS(I450&lt;25,"0-25",I450&lt;50,"25-50",I450&lt;75,"50-75",I450&lt;100,"75-100",I450&lt;125,"100-125",I450&gt;=125,"125+")</f>
        <v>25-50</v>
      </c>
    </row>
    <row r="451" spans="1:13" x14ac:dyDescent="0.25">
      <c r="A451" t="s">
        <v>849</v>
      </c>
      <c r="B451" t="s">
        <v>850</v>
      </c>
      <c r="C451" s="1">
        <v>45819</v>
      </c>
      <c r="D451" t="s">
        <v>17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27</v>
      </c>
      <c r="K451">
        <v>0</v>
      </c>
      <c r="L451">
        <v>0</v>
      </c>
      <c r="M451" t="str" cm="1">
        <f t="array" ref="M451">_xlfn.IFS(I451&lt;25,"0-25",I451&lt;50,"25-50",I451&lt;75,"50-75",I451&lt;100,"75-100",I451&lt;125,"100-125",I451&gt;=125,"125+")</f>
        <v>25-50</v>
      </c>
    </row>
    <row r="452" spans="1:13" x14ac:dyDescent="0.25">
      <c r="A452" t="s">
        <v>851</v>
      </c>
      <c r="B452" t="s">
        <v>850</v>
      </c>
      <c r="C452" s="1">
        <v>45645</v>
      </c>
      <c r="D452" t="s">
        <v>36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15</v>
      </c>
      <c r="K452">
        <v>0</v>
      </c>
      <c r="L452">
        <v>0</v>
      </c>
      <c r="M452" t="str" cm="1">
        <f t="array" ref="M452">_xlfn.IFS(I452&lt;25,"0-25",I452&lt;50,"25-50",I452&lt;75,"50-75",I452&lt;100,"75-100",I452&lt;125,"100-125",I452&gt;=125,"125+")</f>
        <v>50-75</v>
      </c>
    </row>
    <row r="453" spans="1:13" x14ac:dyDescent="0.25">
      <c r="A453" t="s">
        <v>852</v>
      </c>
      <c r="B453" t="s">
        <v>853</v>
      </c>
      <c r="C453" s="1">
        <v>45828</v>
      </c>
      <c r="D453" t="s">
        <v>21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27</v>
      </c>
      <c r="K453">
        <v>0</v>
      </c>
      <c r="L453">
        <v>0</v>
      </c>
      <c r="M453" t="str" cm="1">
        <f t="array" ref="M453">_xlfn.IFS(I453&lt;25,"0-25",I453&lt;50,"25-50",I453&lt;75,"50-75",I453&lt;100,"75-100",I453&lt;125,"100-125",I453&gt;=125,"125+")</f>
        <v>50-75</v>
      </c>
    </row>
    <row r="454" spans="1:13" x14ac:dyDescent="0.25">
      <c r="A454" t="s">
        <v>854</v>
      </c>
      <c r="B454" t="s">
        <v>853</v>
      </c>
      <c r="C454" s="1">
        <v>45466</v>
      </c>
      <c r="D454" t="s">
        <v>33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18</v>
      </c>
      <c r="K454">
        <v>58</v>
      </c>
      <c r="L454">
        <v>1</v>
      </c>
      <c r="M454" t="str" cm="1">
        <f t="array" ref="M454">_xlfn.IFS(I454&lt;25,"0-25",I454&lt;50,"25-50",I454&lt;75,"50-75",I454&lt;100,"75-100",I454&lt;125,"100-125",I454&gt;=125,"125+")</f>
        <v>75-100</v>
      </c>
    </row>
    <row r="455" spans="1:13" x14ac:dyDescent="0.25">
      <c r="A455" t="s">
        <v>855</v>
      </c>
      <c r="B455" t="s">
        <v>856</v>
      </c>
      <c r="C455" s="1">
        <v>45786</v>
      </c>
      <c r="D455" t="s">
        <v>38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15</v>
      </c>
      <c r="K455">
        <v>0</v>
      </c>
      <c r="L455">
        <v>0</v>
      </c>
      <c r="M455" t="str" cm="1">
        <f t="array" ref="M455">_xlfn.IFS(I455&lt;25,"0-25",I455&lt;50,"25-50",I455&lt;75,"50-75",I455&lt;100,"75-100",I455&lt;125,"100-125",I455&gt;=125,"125+")</f>
        <v>100-125</v>
      </c>
    </row>
    <row r="456" spans="1:13" x14ac:dyDescent="0.25">
      <c r="A456" t="s">
        <v>857</v>
      </c>
      <c r="B456" t="s">
        <v>858</v>
      </c>
      <c r="C456" s="1">
        <v>45328</v>
      </c>
      <c r="D456" t="s">
        <v>38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62</v>
      </c>
      <c r="K456">
        <v>15</v>
      </c>
      <c r="L456">
        <v>0</v>
      </c>
      <c r="M456" t="str" cm="1">
        <f t="array" ref="M456">_xlfn.IFS(I456&lt;25,"0-25",I456&lt;50,"25-50",I456&lt;75,"50-75",I456&lt;100,"75-100",I456&lt;125,"100-125",I456&gt;=125,"125+")</f>
        <v>25-50</v>
      </c>
    </row>
    <row r="457" spans="1:13" x14ac:dyDescent="0.25">
      <c r="A457" t="s">
        <v>859</v>
      </c>
      <c r="B457" t="s">
        <v>860</v>
      </c>
      <c r="C457" s="1">
        <v>45650</v>
      </c>
      <c r="D457" t="s">
        <v>41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27</v>
      </c>
      <c r="K457">
        <v>0</v>
      </c>
      <c r="L457">
        <v>0</v>
      </c>
      <c r="M457" t="str" cm="1">
        <f t="array" ref="M457">_xlfn.IFS(I457&lt;25,"0-25",I457&lt;50,"25-50",I457&lt;75,"50-75",I457&lt;100,"75-100",I457&lt;125,"100-125",I457&gt;=125,"125+")</f>
        <v>25-50</v>
      </c>
    </row>
    <row r="458" spans="1:13" x14ac:dyDescent="0.25">
      <c r="A458" t="s">
        <v>861</v>
      </c>
      <c r="B458" t="s">
        <v>862</v>
      </c>
      <c r="C458" s="1">
        <v>45791</v>
      </c>
      <c r="D458" t="s">
        <v>14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18</v>
      </c>
      <c r="K458">
        <v>94</v>
      </c>
      <c r="L458">
        <v>1</v>
      </c>
      <c r="M458" t="str" cm="1">
        <f t="array" ref="M458">_xlfn.IFS(I458&lt;25,"0-25",I458&lt;50,"25-50",I458&lt;75,"50-75",I458&lt;100,"75-100",I458&lt;125,"100-125",I458&gt;=125,"125+")</f>
        <v>25-50</v>
      </c>
    </row>
    <row r="459" spans="1:13" x14ac:dyDescent="0.25">
      <c r="A459" t="s">
        <v>863</v>
      </c>
      <c r="B459" t="s">
        <v>864</v>
      </c>
      <c r="C459" s="1">
        <v>45567</v>
      </c>
      <c r="D459" t="s">
        <v>17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18</v>
      </c>
      <c r="K459">
        <v>142</v>
      </c>
      <c r="L459">
        <v>1</v>
      </c>
      <c r="M459" t="str" cm="1">
        <f t="array" ref="M459">_xlfn.IFS(I459&lt;25,"0-25",I459&lt;50,"25-50",I459&lt;75,"50-75",I459&lt;100,"75-100",I459&lt;125,"100-125",I459&gt;=125,"125+")</f>
        <v>50-75</v>
      </c>
    </row>
    <row r="460" spans="1:13" x14ac:dyDescent="0.25">
      <c r="A460" t="s">
        <v>865</v>
      </c>
      <c r="B460" t="s">
        <v>866</v>
      </c>
      <c r="C460" s="1">
        <v>45495</v>
      </c>
      <c r="D460" t="s">
        <v>14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27</v>
      </c>
      <c r="K460">
        <v>0</v>
      </c>
      <c r="L460">
        <v>0</v>
      </c>
      <c r="M460" t="str" cm="1">
        <f t="array" ref="M460">_xlfn.IFS(I460&lt;25,"0-25",I460&lt;50,"25-50",I460&lt;75,"50-75",I460&lt;100,"75-100",I460&lt;125,"100-125",I460&gt;=125,"125+")</f>
        <v>0-25</v>
      </c>
    </row>
    <row r="461" spans="1:13" x14ac:dyDescent="0.25">
      <c r="A461" t="s">
        <v>867</v>
      </c>
      <c r="B461" t="s">
        <v>868</v>
      </c>
      <c r="C461" s="1">
        <v>45564</v>
      </c>
      <c r="D461" t="s">
        <v>30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27</v>
      </c>
      <c r="K461">
        <v>0</v>
      </c>
      <c r="L461">
        <v>0</v>
      </c>
      <c r="M461" t="str" cm="1">
        <f t="array" ref="M461">_xlfn.IFS(I461&lt;25,"0-25",I461&lt;50,"25-50",I461&lt;75,"50-75",I461&lt;100,"75-100",I461&lt;125,"100-125",I461&gt;=125,"125+")</f>
        <v>0-25</v>
      </c>
    </row>
    <row r="462" spans="1:13" x14ac:dyDescent="0.25">
      <c r="A462" t="s">
        <v>869</v>
      </c>
      <c r="B462" t="s">
        <v>870</v>
      </c>
      <c r="C462" s="1">
        <v>45690</v>
      </c>
      <c r="D462" t="s">
        <v>33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62</v>
      </c>
      <c r="K462">
        <v>30</v>
      </c>
      <c r="L462">
        <v>0</v>
      </c>
      <c r="M462" t="str" cm="1">
        <f t="array" ref="M462">_xlfn.IFS(I462&lt;25,"0-25",I462&lt;50,"25-50",I462&lt;75,"50-75",I462&lt;100,"75-100",I462&lt;125,"100-125",I462&gt;=125,"125+")</f>
        <v>25-50</v>
      </c>
    </row>
    <row r="463" spans="1:13" x14ac:dyDescent="0.25">
      <c r="A463" t="s">
        <v>871</v>
      </c>
      <c r="B463" t="s">
        <v>872</v>
      </c>
      <c r="C463" s="1">
        <v>45642</v>
      </c>
      <c r="D463" t="s">
        <v>30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18</v>
      </c>
      <c r="K463">
        <v>32</v>
      </c>
      <c r="L463">
        <v>1</v>
      </c>
      <c r="M463" t="str" cm="1">
        <f t="array" ref="M463">_xlfn.IFS(I463&lt;25,"0-25",I463&lt;50,"25-50",I463&lt;75,"50-75",I463&lt;100,"75-100",I463&lt;125,"100-125",I463&gt;=125,"125+")</f>
        <v>50-75</v>
      </c>
    </row>
    <row r="464" spans="1:13" x14ac:dyDescent="0.25">
      <c r="A464" t="s">
        <v>873</v>
      </c>
      <c r="B464" t="s">
        <v>874</v>
      </c>
      <c r="C464" s="1">
        <v>45448</v>
      </c>
      <c r="D464" t="s">
        <v>24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27</v>
      </c>
      <c r="K464">
        <v>0</v>
      </c>
      <c r="L464">
        <v>0</v>
      </c>
      <c r="M464" t="str" cm="1">
        <f t="array" ref="M464">_xlfn.IFS(I464&lt;25,"0-25",I464&lt;50,"25-50",I464&lt;75,"50-75",I464&lt;100,"75-100",I464&lt;125,"100-125",I464&gt;=125,"125+")</f>
        <v>0-25</v>
      </c>
    </row>
    <row r="465" spans="1:13" x14ac:dyDescent="0.25">
      <c r="A465" t="s">
        <v>875</v>
      </c>
      <c r="B465" t="s">
        <v>876</v>
      </c>
      <c r="C465" s="1">
        <v>45397</v>
      </c>
      <c r="D465" t="s">
        <v>24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27</v>
      </c>
      <c r="K465">
        <v>0</v>
      </c>
      <c r="L465">
        <v>0</v>
      </c>
      <c r="M465" t="str" cm="1">
        <f t="array" ref="M465">_xlfn.IFS(I465&lt;25,"0-25",I465&lt;50,"25-50",I465&lt;75,"50-75",I465&lt;100,"75-100",I465&lt;125,"100-125",I465&gt;=125,"125+")</f>
        <v>25-50</v>
      </c>
    </row>
    <row r="466" spans="1:13" x14ac:dyDescent="0.25">
      <c r="A466" t="s">
        <v>877</v>
      </c>
      <c r="B466" t="s">
        <v>878</v>
      </c>
      <c r="C466" s="1">
        <v>45331</v>
      </c>
      <c r="D466" t="s">
        <v>47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18</v>
      </c>
      <c r="K466">
        <v>79</v>
      </c>
      <c r="L466">
        <v>1</v>
      </c>
      <c r="M466" t="str" cm="1">
        <f t="array" ref="M466">_xlfn.IFS(I466&lt;25,"0-25",I466&lt;50,"25-50",I466&lt;75,"50-75",I466&lt;100,"75-100",I466&lt;125,"100-125",I466&gt;=125,"125+")</f>
        <v>50-75</v>
      </c>
    </row>
    <row r="467" spans="1:13" x14ac:dyDescent="0.25">
      <c r="A467" t="s">
        <v>879</v>
      </c>
      <c r="B467" t="s">
        <v>878</v>
      </c>
      <c r="C467" s="1">
        <v>45681</v>
      </c>
      <c r="D467" t="s">
        <v>33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18</v>
      </c>
      <c r="K467">
        <v>108</v>
      </c>
      <c r="L467">
        <v>1</v>
      </c>
      <c r="M467" t="str" cm="1">
        <f t="array" ref="M467">_xlfn.IFS(I467&lt;25,"0-25",I467&lt;50,"25-50",I467&lt;75,"50-75",I467&lt;100,"75-100",I467&lt;125,"100-125",I467&gt;=125,"125+")</f>
        <v>75-100</v>
      </c>
    </row>
    <row r="468" spans="1:13" x14ac:dyDescent="0.25">
      <c r="A468" t="s">
        <v>880</v>
      </c>
      <c r="B468" t="s">
        <v>881</v>
      </c>
      <c r="C468" s="1">
        <v>45344</v>
      </c>
      <c r="D468" t="s">
        <v>38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27</v>
      </c>
      <c r="K468">
        <v>0</v>
      </c>
      <c r="L468">
        <v>0</v>
      </c>
      <c r="M468" t="str" cm="1">
        <f t="array" ref="M468">_xlfn.IFS(I468&lt;25,"0-25",I468&lt;50,"25-50",I468&lt;75,"50-75",I468&lt;100,"75-100",I468&lt;125,"100-125",I468&gt;=125,"125+")</f>
        <v>25-50</v>
      </c>
    </row>
    <row r="469" spans="1:13" x14ac:dyDescent="0.25">
      <c r="A469" t="s">
        <v>882</v>
      </c>
      <c r="B469" t="s">
        <v>883</v>
      </c>
      <c r="C469" s="1">
        <v>45345</v>
      </c>
      <c r="D469" t="s">
        <v>17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27</v>
      </c>
      <c r="K469">
        <v>0</v>
      </c>
      <c r="L469">
        <v>0</v>
      </c>
      <c r="M469" t="str" cm="1">
        <f t="array" ref="M469">_xlfn.IFS(I469&lt;25,"0-25",I469&lt;50,"25-50",I469&lt;75,"50-75",I469&lt;100,"75-100",I469&lt;125,"100-125",I469&gt;=125,"125+")</f>
        <v>50-75</v>
      </c>
    </row>
    <row r="470" spans="1:13" x14ac:dyDescent="0.25">
      <c r="A470" t="s">
        <v>884</v>
      </c>
      <c r="B470" t="s">
        <v>885</v>
      </c>
      <c r="C470" s="1">
        <v>45603</v>
      </c>
      <c r="D470" t="s">
        <v>47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18</v>
      </c>
      <c r="K470">
        <v>33</v>
      </c>
      <c r="L470">
        <v>1</v>
      </c>
      <c r="M470" t="str" cm="1">
        <f t="array" ref="M470">_xlfn.IFS(I470&lt;25,"0-25",I470&lt;50,"25-50",I470&lt;75,"50-75",I470&lt;100,"75-100",I470&lt;125,"100-125",I470&gt;=125,"125+")</f>
        <v>50-75</v>
      </c>
    </row>
    <row r="471" spans="1:13" x14ac:dyDescent="0.25">
      <c r="A471" t="s">
        <v>886</v>
      </c>
      <c r="B471" t="s">
        <v>887</v>
      </c>
      <c r="C471" s="1">
        <v>45833</v>
      </c>
      <c r="D471" t="s">
        <v>33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27</v>
      </c>
      <c r="K471">
        <v>0</v>
      </c>
      <c r="L471">
        <v>0</v>
      </c>
      <c r="M471" t="str" cm="1">
        <f t="array" ref="M471">_xlfn.IFS(I471&lt;25,"0-25",I471&lt;50,"25-50",I471&lt;75,"50-75",I471&lt;100,"75-100",I471&lt;125,"100-125",I471&gt;=125,"125+")</f>
        <v>50-75</v>
      </c>
    </row>
    <row r="472" spans="1:13" x14ac:dyDescent="0.25">
      <c r="A472" t="s">
        <v>888</v>
      </c>
      <c r="B472" t="s">
        <v>889</v>
      </c>
      <c r="C472" s="1">
        <v>45487</v>
      </c>
      <c r="D472" t="s">
        <v>36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18</v>
      </c>
      <c r="K472">
        <v>144</v>
      </c>
      <c r="L472">
        <v>1</v>
      </c>
      <c r="M472" t="str" cm="1">
        <f t="array" ref="M472">_xlfn.IFS(I472&lt;25,"0-25",I472&lt;50,"25-50",I472&lt;75,"50-75",I472&lt;100,"75-100",I472&lt;125,"100-125",I472&gt;=125,"125+")</f>
        <v>25-50</v>
      </c>
    </row>
    <row r="473" spans="1:13" x14ac:dyDescent="0.25">
      <c r="A473" t="s">
        <v>890</v>
      </c>
      <c r="B473" t="s">
        <v>891</v>
      </c>
      <c r="C473" s="1">
        <v>45498</v>
      </c>
      <c r="D473" t="s">
        <v>36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27</v>
      </c>
      <c r="K473">
        <v>0</v>
      </c>
      <c r="L473">
        <v>0</v>
      </c>
      <c r="M473" t="str" cm="1">
        <f t="array" ref="M473">_xlfn.IFS(I473&lt;25,"0-25",I473&lt;50,"25-50",I473&lt;75,"50-75",I473&lt;100,"75-100",I473&lt;125,"100-125",I473&gt;=125,"125+")</f>
        <v>75-100</v>
      </c>
    </row>
    <row r="474" spans="1:13" x14ac:dyDescent="0.25">
      <c r="A474" t="s">
        <v>892</v>
      </c>
      <c r="B474" t="s">
        <v>891</v>
      </c>
      <c r="C474" s="1">
        <v>45666</v>
      </c>
      <c r="D474" t="s">
        <v>17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15</v>
      </c>
      <c r="K474">
        <v>0</v>
      </c>
      <c r="L474">
        <v>0</v>
      </c>
      <c r="M474" t="str" cm="1">
        <f t="array" ref="M474">_xlfn.IFS(I474&lt;25,"0-25",I474&lt;50,"25-50",I474&lt;75,"50-75",I474&lt;100,"75-100",I474&lt;125,"100-125",I474&gt;=125,"125+")</f>
        <v>25-50</v>
      </c>
    </row>
    <row r="475" spans="1:13" x14ac:dyDescent="0.25">
      <c r="A475" t="s">
        <v>893</v>
      </c>
      <c r="B475" t="s">
        <v>894</v>
      </c>
      <c r="C475" s="1">
        <v>45572</v>
      </c>
      <c r="D475" t="s">
        <v>17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27</v>
      </c>
      <c r="K475">
        <v>0</v>
      </c>
      <c r="L475">
        <v>0</v>
      </c>
      <c r="M475" t="str" cm="1">
        <f t="array" ref="M475">_xlfn.IFS(I475&lt;25,"0-25",I475&lt;50,"25-50",I475&lt;75,"50-75",I475&lt;100,"75-100",I475&lt;125,"100-125",I475&gt;=125,"125+")</f>
        <v>100-125</v>
      </c>
    </row>
    <row r="476" spans="1:13" x14ac:dyDescent="0.25">
      <c r="A476" t="s">
        <v>895</v>
      </c>
      <c r="B476" t="s">
        <v>896</v>
      </c>
      <c r="C476" s="1">
        <v>45368</v>
      </c>
      <c r="D476" t="s">
        <v>38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27</v>
      </c>
      <c r="K476">
        <v>0</v>
      </c>
      <c r="L476">
        <v>0</v>
      </c>
      <c r="M476" t="str" cm="1">
        <f t="array" ref="M476">_xlfn.IFS(I476&lt;25,"0-25",I476&lt;50,"25-50",I476&lt;75,"50-75",I476&lt;100,"75-100",I476&lt;125,"100-125",I476&gt;=125,"125+")</f>
        <v>0-25</v>
      </c>
    </row>
    <row r="477" spans="1:13" x14ac:dyDescent="0.25">
      <c r="A477" t="s">
        <v>897</v>
      </c>
      <c r="B477" t="s">
        <v>898</v>
      </c>
      <c r="C477" s="1">
        <v>45515</v>
      </c>
      <c r="D477" t="s">
        <v>17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15</v>
      </c>
      <c r="K477">
        <v>0</v>
      </c>
      <c r="L477">
        <v>0</v>
      </c>
      <c r="M477" t="str" cm="1">
        <f t="array" ref="M477">_xlfn.IFS(I477&lt;25,"0-25",I477&lt;50,"25-50",I477&lt;75,"50-75",I477&lt;100,"75-100",I477&lt;125,"100-125",I477&gt;=125,"125+")</f>
        <v>0-25</v>
      </c>
    </row>
    <row r="478" spans="1:13" x14ac:dyDescent="0.25">
      <c r="A478" t="s">
        <v>899</v>
      </c>
      <c r="B478" t="s">
        <v>900</v>
      </c>
      <c r="C478" s="1">
        <v>45595</v>
      </c>
      <c r="D478" t="s">
        <v>21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27</v>
      </c>
      <c r="K478">
        <v>0</v>
      </c>
      <c r="L478">
        <v>0</v>
      </c>
      <c r="M478" t="str" cm="1">
        <f t="array" ref="M478">_xlfn.IFS(I478&lt;25,"0-25",I478&lt;50,"25-50",I478&lt;75,"50-75",I478&lt;100,"75-100",I478&lt;125,"100-125",I478&gt;=125,"125+")</f>
        <v>25-50</v>
      </c>
    </row>
    <row r="479" spans="1:13" x14ac:dyDescent="0.25">
      <c r="A479" t="s">
        <v>901</v>
      </c>
      <c r="B479" t="s">
        <v>902</v>
      </c>
      <c r="C479" s="1">
        <v>45568</v>
      </c>
      <c r="D479" t="s">
        <v>38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15</v>
      </c>
      <c r="K479">
        <v>0</v>
      </c>
      <c r="L479">
        <v>0</v>
      </c>
      <c r="M479" t="str" cm="1">
        <f t="array" ref="M479">_xlfn.IFS(I479&lt;25,"0-25",I479&lt;50,"25-50",I479&lt;75,"50-75",I479&lt;100,"75-100",I479&lt;125,"100-125",I479&gt;=125,"125+")</f>
        <v>0-25</v>
      </c>
    </row>
    <row r="480" spans="1:13" x14ac:dyDescent="0.25">
      <c r="A480" t="s">
        <v>903</v>
      </c>
      <c r="B480" t="s">
        <v>904</v>
      </c>
      <c r="C480" s="1">
        <v>45669</v>
      </c>
      <c r="D480" t="s">
        <v>38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62</v>
      </c>
      <c r="K480">
        <v>15</v>
      </c>
      <c r="L480">
        <v>0</v>
      </c>
      <c r="M480" t="str" cm="1">
        <f t="array" ref="M480">_xlfn.IFS(I480&lt;25,"0-25",I480&lt;50,"25-50",I480&lt;75,"50-75",I480&lt;100,"75-100",I480&lt;125,"100-125",I480&gt;=125,"125+")</f>
        <v>0-25</v>
      </c>
    </row>
    <row r="481" spans="1:13" x14ac:dyDescent="0.25">
      <c r="A481" t="s">
        <v>905</v>
      </c>
      <c r="B481" t="s">
        <v>904</v>
      </c>
      <c r="C481" s="1">
        <v>45350</v>
      </c>
      <c r="D481" t="s">
        <v>24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27</v>
      </c>
      <c r="K481">
        <v>0</v>
      </c>
      <c r="L481">
        <v>0</v>
      </c>
      <c r="M481" t="str" cm="1">
        <f t="array" ref="M481">_xlfn.IFS(I481&lt;25,"0-25",I481&lt;50,"25-50",I481&lt;75,"50-75",I481&lt;100,"75-100",I481&lt;125,"100-125",I481&gt;=125,"125+")</f>
        <v>25-50</v>
      </c>
    </row>
    <row r="482" spans="1:13" x14ac:dyDescent="0.25">
      <c r="A482" t="s">
        <v>906</v>
      </c>
      <c r="B482" t="s">
        <v>907</v>
      </c>
      <c r="C482" s="1">
        <v>45400</v>
      </c>
      <c r="D482" t="s">
        <v>24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15</v>
      </c>
      <c r="K482">
        <v>0</v>
      </c>
      <c r="L482">
        <v>0</v>
      </c>
      <c r="M482" t="str" cm="1">
        <f t="array" ref="M482">_xlfn.IFS(I482&lt;25,"0-25",I482&lt;50,"25-50",I482&lt;75,"50-75",I482&lt;100,"75-100",I482&lt;125,"100-125",I482&gt;=125,"125+")</f>
        <v>25-50</v>
      </c>
    </row>
    <row r="483" spans="1:13" x14ac:dyDescent="0.25">
      <c r="A483" t="s">
        <v>908</v>
      </c>
      <c r="B483" t="s">
        <v>909</v>
      </c>
      <c r="C483" s="1">
        <v>45500</v>
      </c>
      <c r="D483" t="s">
        <v>47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15</v>
      </c>
      <c r="K483">
        <v>0</v>
      </c>
      <c r="L483">
        <v>0</v>
      </c>
      <c r="M483" t="str" cm="1">
        <f t="array" ref="M483">_xlfn.IFS(I483&lt;25,"0-25",I483&lt;50,"25-50",I483&lt;75,"50-75",I483&lt;100,"75-100",I483&lt;125,"100-125",I483&gt;=125,"125+")</f>
        <v>25-50</v>
      </c>
    </row>
    <row r="484" spans="1:13" x14ac:dyDescent="0.25">
      <c r="A484" t="s">
        <v>910</v>
      </c>
      <c r="B484" t="s">
        <v>911</v>
      </c>
      <c r="C484" s="1">
        <v>45387</v>
      </c>
      <c r="D484" t="s">
        <v>38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18</v>
      </c>
      <c r="K484">
        <v>147</v>
      </c>
      <c r="L484">
        <v>1</v>
      </c>
      <c r="M484" t="str" cm="1">
        <f t="array" ref="M484">_xlfn.IFS(I484&lt;25,"0-25",I484&lt;50,"25-50",I484&lt;75,"50-75",I484&lt;100,"75-100",I484&lt;125,"100-125",I484&gt;=125,"125+")</f>
        <v>75-100</v>
      </c>
    </row>
    <row r="485" spans="1:13" x14ac:dyDescent="0.25">
      <c r="A485" t="s">
        <v>912</v>
      </c>
      <c r="B485" t="s">
        <v>913</v>
      </c>
      <c r="C485" s="1">
        <v>45313</v>
      </c>
      <c r="D485" t="s">
        <v>33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62</v>
      </c>
      <c r="K485">
        <v>15</v>
      </c>
      <c r="L485">
        <v>0</v>
      </c>
      <c r="M485" t="str" cm="1">
        <f t="array" ref="M485">_xlfn.IFS(I485&lt;25,"0-25",I485&lt;50,"25-50",I485&lt;75,"50-75",I485&lt;100,"75-100",I485&lt;125,"100-125",I485&gt;=125,"125+")</f>
        <v>25-50</v>
      </c>
    </row>
    <row r="486" spans="1:13" x14ac:dyDescent="0.25">
      <c r="A486" t="s">
        <v>914</v>
      </c>
      <c r="B486" t="s">
        <v>915</v>
      </c>
      <c r="C486" s="1">
        <v>45704</v>
      </c>
      <c r="D486" t="s">
        <v>38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15</v>
      </c>
      <c r="K486">
        <v>0</v>
      </c>
      <c r="L486">
        <v>0</v>
      </c>
      <c r="M486" t="str" cm="1">
        <f t="array" ref="M486">_xlfn.IFS(I486&lt;25,"0-25",I486&lt;50,"25-50",I486&lt;75,"50-75",I486&lt;100,"75-100",I486&lt;125,"100-125",I486&gt;=125,"125+")</f>
        <v>25-50</v>
      </c>
    </row>
    <row r="487" spans="1:13" x14ac:dyDescent="0.25">
      <c r="A487" t="s">
        <v>916</v>
      </c>
      <c r="B487" t="s">
        <v>917</v>
      </c>
      <c r="C487" s="1">
        <v>45336</v>
      </c>
      <c r="D487" t="s">
        <v>47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18</v>
      </c>
      <c r="K487">
        <v>51</v>
      </c>
      <c r="L487">
        <v>1</v>
      </c>
      <c r="M487" t="str" cm="1">
        <f t="array" ref="M487">_xlfn.IFS(I487&lt;25,"0-25",I487&lt;50,"25-50",I487&lt;75,"50-75",I487&lt;100,"75-100",I487&lt;125,"100-125",I487&gt;=125,"125+")</f>
        <v>50-75</v>
      </c>
    </row>
    <row r="488" spans="1:13" x14ac:dyDescent="0.25">
      <c r="A488" t="s">
        <v>918</v>
      </c>
      <c r="B488" t="s">
        <v>917</v>
      </c>
      <c r="C488" s="1">
        <v>45301</v>
      </c>
      <c r="D488" t="s">
        <v>24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15</v>
      </c>
      <c r="K488">
        <v>0</v>
      </c>
      <c r="L488">
        <v>0</v>
      </c>
      <c r="M488" t="str" cm="1">
        <f t="array" ref="M488">_xlfn.IFS(I488&lt;25,"0-25",I488&lt;50,"25-50",I488&lt;75,"50-75",I488&lt;100,"75-100",I488&lt;125,"100-125",I488&gt;=125,"125+")</f>
        <v>50-75</v>
      </c>
    </row>
    <row r="489" spans="1:13" x14ac:dyDescent="0.25">
      <c r="A489" t="s">
        <v>919</v>
      </c>
      <c r="B489" t="s">
        <v>920</v>
      </c>
      <c r="C489" s="1">
        <v>45459</v>
      </c>
      <c r="D489" t="s">
        <v>36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18</v>
      </c>
      <c r="K489">
        <v>152</v>
      </c>
      <c r="L489">
        <v>1</v>
      </c>
      <c r="M489" t="str" cm="1">
        <f t="array" ref="M489">_xlfn.IFS(I489&lt;25,"0-25",I489&lt;50,"25-50",I489&lt;75,"50-75",I489&lt;100,"75-100",I489&lt;125,"100-125",I489&gt;=125,"125+")</f>
        <v>25-50</v>
      </c>
    </row>
    <row r="490" spans="1:13" x14ac:dyDescent="0.25">
      <c r="A490" t="s">
        <v>921</v>
      </c>
      <c r="B490" t="s">
        <v>922</v>
      </c>
      <c r="C490" s="1">
        <v>45337</v>
      </c>
      <c r="D490" t="s">
        <v>41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18</v>
      </c>
      <c r="K490">
        <v>105</v>
      </c>
      <c r="L490">
        <v>1</v>
      </c>
      <c r="M490" t="str" cm="1">
        <f t="array" ref="M490">_xlfn.IFS(I490&lt;25,"0-25",I490&lt;50,"25-50",I490&lt;75,"50-75",I490&lt;100,"75-100",I490&lt;125,"100-125",I490&gt;=125,"125+")</f>
        <v>25-50</v>
      </c>
    </row>
    <row r="491" spans="1:13" x14ac:dyDescent="0.25">
      <c r="A491" t="s">
        <v>923</v>
      </c>
      <c r="B491" t="s">
        <v>924</v>
      </c>
      <c r="C491" s="1">
        <v>45686</v>
      </c>
      <c r="D491" t="s">
        <v>17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18</v>
      </c>
      <c r="K491">
        <v>103</v>
      </c>
      <c r="L491">
        <v>1</v>
      </c>
      <c r="M491" t="str" cm="1">
        <f t="array" ref="M491">_xlfn.IFS(I491&lt;25,"0-25",I491&lt;50,"25-50",I491&lt;75,"50-75",I491&lt;100,"75-100",I491&lt;125,"100-125",I491&gt;=125,"125+")</f>
        <v>75-100</v>
      </c>
    </row>
    <row r="492" spans="1:13" x14ac:dyDescent="0.25">
      <c r="A492" t="s">
        <v>925</v>
      </c>
      <c r="B492" t="s">
        <v>926</v>
      </c>
      <c r="C492" s="1">
        <v>45404</v>
      </c>
      <c r="D492" t="s">
        <v>17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18</v>
      </c>
      <c r="K492">
        <v>102</v>
      </c>
      <c r="L492">
        <v>1</v>
      </c>
      <c r="M492" t="str" cm="1">
        <f t="array" ref="M492">_xlfn.IFS(I492&lt;25,"0-25",I492&lt;50,"25-50",I492&lt;75,"50-75",I492&lt;100,"75-100",I492&lt;125,"100-125",I492&gt;=125,"125+")</f>
        <v>50-75</v>
      </c>
    </row>
    <row r="493" spans="1:13" x14ac:dyDescent="0.25">
      <c r="A493" t="s">
        <v>927</v>
      </c>
      <c r="B493" t="s">
        <v>928</v>
      </c>
      <c r="C493" s="1">
        <v>45446</v>
      </c>
      <c r="D493" t="s">
        <v>47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18</v>
      </c>
      <c r="K493">
        <v>165</v>
      </c>
      <c r="L493">
        <v>1</v>
      </c>
      <c r="M493" t="str" cm="1">
        <f t="array" ref="M493">_xlfn.IFS(I493&lt;25,"0-25",I493&lt;50,"25-50",I493&lt;75,"50-75",I493&lt;100,"75-100",I493&lt;125,"100-125",I493&gt;=125,"125+")</f>
        <v>50-75</v>
      </c>
    </row>
    <row r="494" spans="1:13" x14ac:dyDescent="0.25">
      <c r="A494" t="s">
        <v>929</v>
      </c>
      <c r="B494" t="s">
        <v>930</v>
      </c>
      <c r="C494" s="1">
        <v>45585</v>
      </c>
      <c r="D494" t="s">
        <v>33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15</v>
      </c>
      <c r="K494">
        <v>0</v>
      </c>
      <c r="L494">
        <v>0</v>
      </c>
      <c r="M494" t="str" cm="1">
        <f t="array" ref="M494">_xlfn.IFS(I494&lt;25,"0-25",I494&lt;50,"25-50",I494&lt;75,"50-75",I494&lt;100,"75-100",I494&lt;125,"100-125",I494&gt;=125,"125+")</f>
        <v>25-50</v>
      </c>
    </row>
    <row r="495" spans="1:13" x14ac:dyDescent="0.25">
      <c r="A495" t="s">
        <v>931</v>
      </c>
      <c r="B495" t="s">
        <v>932</v>
      </c>
      <c r="C495" s="1">
        <v>45444</v>
      </c>
      <c r="D495" t="s">
        <v>24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27</v>
      </c>
      <c r="K495">
        <v>0</v>
      </c>
      <c r="L495">
        <v>0</v>
      </c>
      <c r="M495" t="str" cm="1">
        <f t="array" ref="M495">_xlfn.IFS(I495&lt;25,"0-25",I495&lt;50,"25-50",I495&lt;75,"50-75",I495&lt;100,"75-100",I495&lt;125,"100-125",I495&gt;=125,"125+")</f>
        <v>75-100</v>
      </c>
    </row>
    <row r="496" spans="1:13" x14ac:dyDescent="0.25">
      <c r="A496" t="s">
        <v>933</v>
      </c>
      <c r="B496" t="s">
        <v>934</v>
      </c>
      <c r="C496" s="1">
        <v>45577</v>
      </c>
      <c r="D496" t="s">
        <v>14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18</v>
      </c>
      <c r="K496">
        <v>112</v>
      </c>
      <c r="L496">
        <v>1</v>
      </c>
      <c r="M496" t="str" cm="1">
        <f t="array" ref="M496">_xlfn.IFS(I496&lt;25,"0-25",I496&lt;50,"25-50",I496&lt;75,"50-75",I496&lt;100,"75-100",I496&lt;125,"100-125",I496&gt;=125,"125+")</f>
        <v>50-75</v>
      </c>
    </row>
    <row r="497" spans="1:13" x14ac:dyDescent="0.25">
      <c r="A497" t="s">
        <v>935</v>
      </c>
      <c r="B497" t="s">
        <v>936</v>
      </c>
      <c r="C497" s="1">
        <v>45715</v>
      </c>
      <c r="D497" t="s">
        <v>33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27</v>
      </c>
      <c r="K497">
        <v>0</v>
      </c>
      <c r="L497">
        <v>0</v>
      </c>
      <c r="M497" t="str" cm="1">
        <f t="array" ref="M497">_xlfn.IFS(I497&lt;25,"0-25",I497&lt;50,"25-50",I497&lt;75,"50-75",I497&lt;100,"75-100",I497&lt;125,"100-125",I497&gt;=125,"125+")</f>
        <v>25-50</v>
      </c>
    </row>
    <row r="498" spans="1:13" x14ac:dyDescent="0.25">
      <c r="A498" t="s">
        <v>937</v>
      </c>
      <c r="B498" t="s">
        <v>936</v>
      </c>
      <c r="C498" s="1">
        <v>45837</v>
      </c>
      <c r="D498" t="s">
        <v>38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27</v>
      </c>
      <c r="K498">
        <v>0</v>
      </c>
      <c r="L498">
        <v>0</v>
      </c>
      <c r="M498" t="str" cm="1">
        <f t="array" ref="M498">_xlfn.IFS(I498&lt;25,"0-25",I498&lt;50,"25-50",I498&lt;75,"50-75",I498&lt;100,"75-100",I498&lt;125,"100-125",I498&gt;=125,"125+")</f>
        <v>25-50</v>
      </c>
    </row>
    <row r="499" spans="1:13" x14ac:dyDescent="0.25">
      <c r="A499" t="s">
        <v>938</v>
      </c>
      <c r="B499" t="s">
        <v>939</v>
      </c>
      <c r="C499" s="1">
        <v>45532</v>
      </c>
      <c r="D499" t="s">
        <v>21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15</v>
      </c>
      <c r="K499">
        <v>0</v>
      </c>
      <c r="L499">
        <v>0</v>
      </c>
      <c r="M499" t="str" cm="1">
        <f t="array" ref="M499">_xlfn.IFS(I499&lt;25,"0-25",I499&lt;50,"25-50",I499&lt;75,"50-75",I499&lt;100,"75-100",I499&lt;125,"100-125",I499&gt;=125,"125+")</f>
        <v>50-75</v>
      </c>
    </row>
    <row r="500" spans="1:13" x14ac:dyDescent="0.25">
      <c r="A500" t="s">
        <v>940</v>
      </c>
      <c r="B500" t="s">
        <v>941</v>
      </c>
      <c r="C500" s="1">
        <v>45661</v>
      </c>
      <c r="D500" t="s">
        <v>14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62</v>
      </c>
      <c r="K500">
        <v>15</v>
      </c>
      <c r="L500">
        <v>0</v>
      </c>
      <c r="M500" t="str" cm="1">
        <f t="array" ref="M500">_xlfn.IFS(I500&lt;25,"0-25",I500&lt;50,"25-50",I500&lt;75,"50-75",I500&lt;100,"75-100",I500&lt;125,"100-125",I500&gt;=125,"125+")</f>
        <v>125+</v>
      </c>
    </row>
    <row r="501" spans="1:13" x14ac:dyDescent="0.25">
      <c r="A501" t="s">
        <v>942</v>
      </c>
      <c r="B501" t="s">
        <v>943</v>
      </c>
      <c r="C501" s="1">
        <v>45521</v>
      </c>
      <c r="D501" t="s">
        <v>33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18</v>
      </c>
      <c r="K501">
        <v>65</v>
      </c>
      <c r="L501">
        <v>1</v>
      </c>
      <c r="M501" t="str" cm="1">
        <f t="array" ref="M501">_xlfn.IFS(I501&lt;25,"0-25",I501&lt;50,"25-50",I501&lt;75,"50-75",I501&lt;100,"75-100",I501&lt;125,"100-125",I501&gt;=125,"125+")</f>
        <v>50-75</v>
      </c>
    </row>
    <row r="502" spans="1:13" x14ac:dyDescent="0.25">
      <c r="A502" t="s">
        <v>944</v>
      </c>
      <c r="B502" t="s">
        <v>945</v>
      </c>
      <c r="C502" s="1">
        <v>45400</v>
      </c>
      <c r="D502" t="s">
        <v>33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15</v>
      </c>
      <c r="K502">
        <v>0</v>
      </c>
      <c r="L502">
        <v>0</v>
      </c>
      <c r="M502" t="str" cm="1">
        <f t="array" ref="M502">_xlfn.IFS(I502&lt;25,"0-25",I502&lt;50,"25-50",I502&lt;75,"50-75",I502&lt;100,"75-100",I502&lt;125,"100-125",I502&gt;=125,"125+")</f>
        <v>25-50</v>
      </c>
    </row>
    <row r="503" spans="1:13" x14ac:dyDescent="0.25">
      <c r="A503" t="s">
        <v>946</v>
      </c>
      <c r="B503" t="s">
        <v>947</v>
      </c>
      <c r="C503" s="1">
        <v>45718</v>
      </c>
      <c r="D503" t="s">
        <v>41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15</v>
      </c>
      <c r="K503">
        <v>0</v>
      </c>
      <c r="L503">
        <v>0</v>
      </c>
      <c r="M503" t="str" cm="1">
        <f t="array" ref="M503">_xlfn.IFS(I503&lt;25,"0-25",I503&lt;50,"25-50",I503&lt;75,"50-75",I503&lt;100,"75-100",I503&lt;125,"100-125",I503&gt;=125,"125+")</f>
        <v>0-25</v>
      </c>
    </row>
    <row r="504" spans="1:13" x14ac:dyDescent="0.25">
      <c r="A504" t="s">
        <v>948</v>
      </c>
      <c r="B504" t="s">
        <v>947</v>
      </c>
      <c r="C504" s="1">
        <v>45746</v>
      </c>
      <c r="D504" t="s">
        <v>21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27</v>
      </c>
      <c r="K504">
        <v>0</v>
      </c>
      <c r="L504">
        <v>0</v>
      </c>
      <c r="M504" t="str" cm="1">
        <f t="array" ref="M504">_xlfn.IFS(I504&lt;25,"0-25",I504&lt;50,"25-50",I504&lt;75,"50-75",I504&lt;100,"75-100",I504&lt;125,"100-125",I504&gt;=125,"125+")</f>
        <v>0-25</v>
      </c>
    </row>
    <row r="505" spans="1:13" x14ac:dyDescent="0.25">
      <c r="A505" t="s">
        <v>949</v>
      </c>
      <c r="B505" t="s">
        <v>950</v>
      </c>
      <c r="C505" s="1">
        <v>45725</v>
      </c>
      <c r="D505" t="s">
        <v>41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62</v>
      </c>
      <c r="K505">
        <v>15</v>
      </c>
      <c r="L505">
        <v>0</v>
      </c>
      <c r="M505" t="str" cm="1">
        <f t="array" ref="M505">_xlfn.IFS(I505&lt;25,"0-25",I505&lt;50,"25-50",I505&lt;75,"50-75",I505&lt;100,"75-100",I505&lt;125,"100-125",I505&gt;=125,"125+")</f>
        <v>0-25</v>
      </c>
    </row>
    <row r="506" spans="1:13" x14ac:dyDescent="0.25">
      <c r="A506" t="s">
        <v>951</v>
      </c>
      <c r="B506" t="s">
        <v>952</v>
      </c>
      <c r="C506" s="1">
        <v>45570</v>
      </c>
      <c r="D506" t="s">
        <v>47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15</v>
      </c>
      <c r="K506">
        <v>0</v>
      </c>
      <c r="L506">
        <v>0</v>
      </c>
      <c r="M506" t="str" cm="1">
        <f t="array" ref="M506">_xlfn.IFS(I506&lt;25,"0-25",I506&lt;50,"25-50",I506&lt;75,"50-75",I506&lt;100,"75-100",I506&lt;125,"100-125",I506&gt;=125,"125+")</f>
        <v>50-75</v>
      </c>
    </row>
    <row r="507" spans="1:13" x14ac:dyDescent="0.25">
      <c r="A507" t="s">
        <v>953</v>
      </c>
      <c r="B507" t="s">
        <v>952</v>
      </c>
      <c r="C507" s="1">
        <v>45480</v>
      </c>
      <c r="D507" t="s">
        <v>33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62</v>
      </c>
      <c r="K507">
        <v>30</v>
      </c>
      <c r="L507">
        <v>0</v>
      </c>
      <c r="M507" t="str" cm="1">
        <f t="array" ref="M507">_xlfn.IFS(I507&lt;25,"0-25",I507&lt;50,"25-50",I507&lt;75,"50-75",I507&lt;100,"75-100",I507&lt;125,"100-125",I507&gt;=125,"125+")</f>
        <v>50-75</v>
      </c>
    </row>
    <row r="508" spans="1:13" x14ac:dyDescent="0.25">
      <c r="A508" t="s">
        <v>954</v>
      </c>
      <c r="B508" t="s">
        <v>955</v>
      </c>
      <c r="C508" s="1">
        <v>45460</v>
      </c>
      <c r="D508" t="s">
        <v>14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18</v>
      </c>
      <c r="K508">
        <v>125</v>
      </c>
      <c r="L508">
        <v>1</v>
      </c>
      <c r="M508" t="str" cm="1">
        <f t="array" ref="M508">_xlfn.IFS(I508&lt;25,"0-25",I508&lt;50,"25-50",I508&lt;75,"50-75",I508&lt;100,"75-100",I508&lt;125,"100-125",I508&gt;=125,"125+")</f>
        <v>25-50</v>
      </c>
    </row>
    <row r="509" spans="1:13" x14ac:dyDescent="0.25">
      <c r="A509" t="s">
        <v>956</v>
      </c>
      <c r="B509" t="s">
        <v>957</v>
      </c>
      <c r="C509" s="1">
        <v>45635</v>
      </c>
      <c r="D509" t="s">
        <v>38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18</v>
      </c>
      <c r="K509">
        <v>102</v>
      </c>
      <c r="L509">
        <v>1</v>
      </c>
      <c r="M509" t="str" cm="1">
        <f t="array" ref="M509">_xlfn.IFS(I509&lt;25,"0-25",I509&lt;50,"25-50",I509&lt;75,"50-75",I509&lt;100,"75-100",I509&lt;125,"100-125",I509&gt;=125,"125+")</f>
        <v>0-25</v>
      </c>
    </row>
    <row r="510" spans="1:13" x14ac:dyDescent="0.25">
      <c r="A510" t="s">
        <v>958</v>
      </c>
      <c r="B510" t="s">
        <v>959</v>
      </c>
      <c r="C510" s="1">
        <v>45498</v>
      </c>
      <c r="D510" t="s">
        <v>36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27</v>
      </c>
      <c r="K510">
        <v>0</v>
      </c>
      <c r="L510">
        <v>0</v>
      </c>
      <c r="M510" t="str" cm="1">
        <f t="array" ref="M510">_xlfn.IFS(I510&lt;25,"0-25",I510&lt;50,"25-50",I510&lt;75,"50-75",I510&lt;100,"75-100",I510&lt;125,"100-125",I510&gt;=125,"125+")</f>
        <v>50-75</v>
      </c>
    </row>
    <row r="511" spans="1:13" x14ac:dyDescent="0.25">
      <c r="A511" t="s">
        <v>960</v>
      </c>
      <c r="B511" t="s">
        <v>961</v>
      </c>
      <c r="C511" s="1">
        <v>45614</v>
      </c>
      <c r="D511" t="s">
        <v>47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18</v>
      </c>
      <c r="K511">
        <v>109</v>
      </c>
      <c r="L511">
        <v>1</v>
      </c>
      <c r="M511" t="str" cm="1">
        <f t="array" ref="M511">_xlfn.IFS(I511&lt;25,"0-25",I511&lt;50,"25-50",I511&lt;75,"50-75",I511&lt;100,"75-100",I511&lt;125,"100-125",I511&gt;=125,"125+")</f>
        <v>25-50</v>
      </c>
    </row>
    <row r="512" spans="1:13" x14ac:dyDescent="0.25">
      <c r="A512" t="s">
        <v>962</v>
      </c>
      <c r="B512" t="s">
        <v>961</v>
      </c>
      <c r="C512" s="1">
        <v>45614</v>
      </c>
      <c r="D512" t="s">
        <v>41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15</v>
      </c>
      <c r="K512">
        <v>0</v>
      </c>
      <c r="L512">
        <v>0</v>
      </c>
      <c r="M512" t="str" cm="1">
        <f t="array" ref="M512">_xlfn.IFS(I512&lt;25,"0-25",I512&lt;50,"25-50",I512&lt;75,"50-75",I512&lt;100,"75-100",I512&lt;125,"100-125",I512&gt;=125,"125+")</f>
        <v>50-75</v>
      </c>
    </row>
    <row r="513" spans="1:13" x14ac:dyDescent="0.25">
      <c r="A513" t="s">
        <v>963</v>
      </c>
      <c r="B513" t="s">
        <v>964</v>
      </c>
      <c r="C513" s="1">
        <v>45445</v>
      </c>
      <c r="D513" t="s">
        <v>36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18</v>
      </c>
      <c r="K513">
        <v>127</v>
      </c>
      <c r="L513">
        <v>1</v>
      </c>
      <c r="M513" t="str" cm="1">
        <f t="array" ref="M513">_xlfn.IFS(I513&lt;25,"0-25",I513&lt;50,"25-50",I513&lt;75,"50-75",I513&lt;100,"75-100",I513&lt;125,"100-125",I513&gt;=125,"125+")</f>
        <v>50-75</v>
      </c>
    </row>
    <row r="514" spans="1:13" x14ac:dyDescent="0.25">
      <c r="A514" t="s">
        <v>965</v>
      </c>
      <c r="B514" t="s">
        <v>966</v>
      </c>
      <c r="C514" s="1">
        <v>45387</v>
      </c>
      <c r="D514" t="s">
        <v>41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27</v>
      </c>
      <c r="K514">
        <v>0</v>
      </c>
      <c r="L514">
        <v>0</v>
      </c>
      <c r="M514" t="str" cm="1">
        <f t="array" ref="M514">_xlfn.IFS(I514&lt;25,"0-25",I514&lt;50,"25-50",I514&lt;75,"50-75",I514&lt;100,"75-100",I514&lt;125,"100-125",I514&gt;=125,"125+")</f>
        <v>0-25</v>
      </c>
    </row>
    <row r="515" spans="1:13" x14ac:dyDescent="0.25">
      <c r="A515" t="s">
        <v>967</v>
      </c>
      <c r="B515" t="s">
        <v>968</v>
      </c>
      <c r="C515" s="1">
        <v>45827</v>
      </c>
      <c r="D515" t="s">
        <v>33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15</v>
      </c>
      <c r="K515">
        <v>0</v>
      </c>
      <c r="L515">
        <v>0</v>
      </c>
      <c r="M515" t="str" cm="1">
        <f t="array" ref="M515">_xlfn.IFS(I515&lt;25,"0-25",I515&lt;50,"25-50",I515&lt;75,"50-75",I515&lt;100,"75-100",I515&lt;125,"100-125",I515&gt;=125,"125+")</f>
        <v>0-25</v>
      </c>
    </row>
    <row r="516" spans="1:13" x14ac:dyDescent="0.25">
      <c r="A516" t="s">
        <v>969</v>
      </c>
      <c r="B516" t="s">
        <v>970</v>
      </c>
      <c r="C516" s="1">
        <v>45688</v>
      </c>
      <c r="D516" t="s">
        <v>30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18</v>
      </c>
      <c r="K516">
        <v>49</v>
      </c>
      <c r="L516">
        <v>1</v>
      </c>
      <c r="M516" t="str" cm="1">
        <f t="array" ref="M516">_xlfn.IFS(I516&lt;25,"0-25",I516&lt;50,"25-50",I516&lt;75,"50-75",I516&lt;100,"75-100",I516&lt;125,"100-125",I516&gt;=125,"125+")</f>
        <v>50-75</v>
      </c>
    </row>
    <row r="517" spans="1:13" x14ac:dyDescent="0.25">
      <c r="A517" t="s">
        <v>971</v>
      </c>
      <c r="B517" t="s">
        <v>972</v>
      </c>
      <c r="C517" s="1">
        <v>45608</v>
      </c>
      <c r="D517" t="s">
        <v>47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62</v>
      </c>
      <c r="K517">
        <v>30</v>
      </c>
      <c r="L517">
        <v>0</v>
      </c>
      <c r="M517" t="str" cm="1">
        <f t="array" ref="M517">_xlfn.IFS(I517&lt;25,"0-25",I517&lt;50,"25-50",I517&lt;75,"50-75",I517&lt;100,"75-100",I517&lt;125,"100-125",I517&gt;=125,"125+")</f>
        <v>75-100</v>
      </c>
    </row>
    <row r="518" spans="1:13" x14ac:dyDescent="0.25">
      <c r="A518" t="s">
        <v>973</v>
      </c>
      <c r="B518" t="s">
        <v>972</v>
      </c>
      <c r="C518" s="1">
        <v>45457</v>
      </c>
      <c r="D518" t="s">
        <v>36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18</v>
      </c>
      <c r="K518">
        <v>177</v>
      </c>
      <c r="L518">
        <v>1</v>
      </c>
      <c r="M518" t="str" cm="1">
        <f t="array" ref="M518">_xlfn.IFS(I518&lt;25,"0-25",I518&lt;50,"25-50",I518&lt;75,"50-75",I518&lt;100,"75-100",I518&lt;125,"100-125",I518&gt;=125,"125+")</f>
        <v>50-75</v>
      </c>
    </row>
    <row r="519" spans="1:13" x14ac:dyDescent="0.25">
      <c r="A519" t="s">
        <v>974</v>
      </c>
      <c r="B519" t="s">
        <v>975</v>
      </c>
      <c r="C519" s="1">
        <v>45776</v>
      </c>
      <c r="D519" t="s">
        <v>36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27</v>
      </c>
      <c r="K519">
        <v>0</v>
      </c>
      <c r="L519">
        <v>0</v>
      </c>
      <c r="M519" t="str" cm="1">
        <f t="array" ref="M519">_xlfn.IFS(I519&lt;25,"0-25",I519&lt;50,"25-50",I519&lt;75,"50-75",I519&lt;100,"75-100",I519&lt;125,"100-125",I519&gt;=125,"125+")</f>
        <v>50-75</v>
      </c>
    </row>
    <row r="520" spans="1:13" x14ac:dyDescent="0.25">
      <c r="A520" t="s">
        <v>976</v>
      </c>
      <c r="B520" t="s">
        <v>977</v>
      </c>
      <c r="C520" s="1">
        <v>45702</v>
      </c>
      <c r="D520" t="s">
        <v>36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62</v>
      </c>
      <c r="K520">
        <v>0</v>
      </c>
      <c r="L520">
        <v>0</v>
      </c>
      <c r="M520" t="str" cm="1">
        <f t="array" ref="M520">_xlfn.IFS(I520&lt;25,"0-25",I520&lt;50,"25-50",I520&lt;75,"50-75",I520&lt;100,"75-100",I520&lt;125,"100-125",I520&gt;=125,"125+")</f>
        <v>25-50</v>
      </c>
    </row>
    <row r="521" spans="1:13" x14ac:dyDescent="0.25">
      <c r="A521" t="s">
        <v>978</v>
      </c>
      <c r="B521" t="s">
        <v>977</v>
      </c>
      <c r="C521" s="1">
        <v>45715</v>
      </c>
      <c r="D521" t="s">
        <v>14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15</v>
      </c>
      <c r="K521">
        <v>0</v>
      </c>
      <c r="L521">
        <v>0</v>
      </c>
      <c r="M521" t="str" cm="1">
        <f t="array" ref="M521">_xlfn.IFS(I521&lt;25,"0-25",I521&lt;50,"25-50",I521&lt;75,"50-75",I521&lt;100,"75-100",I521&lt;125,"100-125",I521&gt;=125,"125+")</f>
        <v>25-50</v>
      </c>
    </row>
    <row r="522" spans="1:13" x14ac:dyDescent="0.25">
      <c r="A522" t="s">
        <v>979</v>
      </c>
      <c r="B522" t="s">
        <v>980</v>
      </c>
      <c r="C522" s="1">
        <v>45300</v>
      </c>
      <c r="D522" t="s">
        <v>47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27</v>
      </c>
      <c r="K522">
        <v>0</v>
      </c>
      <c r="L522">
        <v>0</v>
      </c>
      <c r="M522" t="str" cm="1">
        <f t="array" ref="M522">_xlfn.IFS(I522&lt;25,"0-25",I522&lt;50,"25-50",I522&lt;75,"50-75",I522&lt;100,"75-100",I522&lt;125,"100-125",I522&gt;=125,"125+")</f>
        <v>25-50</v>
      </c>
    </row>
    <row r="523" spans="1:13" x14ac:dyDescent="0.25">
      <c r="A523" t="s">
        <v>981</v>
      </c>
      <c r="B523" t="s">
        <v>982</v>
      </c>
      <c r="C523" s="1">
        <v>45771</v>
      </c>
      <c r="D523" t="s">
        <v>36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62</v>
      </c>
      <c r="K523">
        <v>15</v>
      </c>
      <c r="L523">
        <v>0</v>
      </c>
      <c r="M523" t="str" cm="1">
        <f t="array" ref="M523">_xlfn.IFS(I523&lt;25,"0-25",I523&lt;50,"25-50",I523&lt;75,"50-75",I523&lt;100,"75-100",I523&lt;125,"100-125",I523&gt;=125,"125+")</f>
        <v>75-100</v>
      </c>
    </row>
    <row r="524" spans="1:13" x14ac:dyDescent="0.25">
      <c r="A524" t="s">
        <v>983</v>
      </c>
      <c r="B524" t="s">
        <v>984</v>
      </c>
      <c r="C524" s="1">
        <v>45628</v>
      </c>
      <c r="D524" t="s">
        <v>36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62</v>
      </c>
      <c r="K524">
        <v>0</v>
      </c>
      <c r="L524">
        <v>0</v>
      </c>
      <c r="M524" t="str" cm="1">
        <f t="array" ref="M524">_xlfn.IFS(I524&lt;25,"0-25",I524&lt;50,"25-50",I524&lt;75,"50-75",I524&lt;100,"75-100",I524&lt;125,"100-125",I524&gt;=125,"125+")</f>
        <v>0-25</v>
      </c>
    </row>
    <row r="525" spans="1:13" x14ac:dyDescent="0.25">
      <c r="A525" t="s">
        <v>985</v>
      </c>
      <c r="B525" t="s">
        <v>986</v>
      </c>
      <c r="C525" s="1">
        <v>45773</v>
      </c>
      <c r="D525" t="s">
        <v>14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18</v>
      </c>
      <c r="K525">
        <v>84</v>
      </c>
      <c r="L525">
        <v>1</v>
      </c>
      <c r="M525" t="str" cm="1">
        <f t="array" ref="M525">_xlfn.IFS(I525&lt;25,"0-25",I525&lt;50,"25-50",I525&lt;75,"50-75",I525&lt;100,"75-100",I525&lt;125,"100-125",I525&gt;=125,"125+")</f>
        <v>25-50</v>
      </c>
    </row>
    <row r="526" spans="1:13" x14ac:dyDescent="0.25">
      <c r="A526" t="s">
        <v>987</v>
      </c>
      <c r="B526" t="s">
        <v>988</v>
      </c>
      <c r="C526" s="1">
        <v>45662</v>
      </c>
      <c r="D526" t="s">
        <v>41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62</v>
      </c>
      <c r="K526">
        <v>30</v>
      </c>
      <c r="L526">
        <v>0</v>
      </c>
      <c r="M526" t="str" cm="1">
        <f t="array" ref="M526">_xlfn.IFS(I526&lt;25,"0-25",I526&lt;50,"25-50",I526&lt;75,"50-75",I526&lt;100,"75-100",I526&lt;125,"100-125",I526&gt;=125,"125+")</f>
        <v>100-125</v>
      </c>
    </row>
    <row r="527" spans="1:13" x14ac:dyDescent="0.25">
      <c r="A527" t="s">
        <v>989</v>
      </c>
      <c r="B527" t="s">
        <v>990</v>
      </c>
      <c r="C527" s="1">
        <v>45472</v>
      </c>
      <c r="D527" t="s">
        <v>41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18</v>
      </c>
      <c r="K527">
        <v>47</v>
      </c>
      <c r="L527">
        <v>1</v>
      </c>
      <c r="M527" t="str" cm="1">
        <f t="array" ref="M527">_xlfn.IFS(I527&lt;25,"0-25",I527&lt;50,"25-50",I527&lt;75,"50-75",I527&lt;100,"75-100",I527&lt;125,"100-125",I527&gt;=125,"125+")</f>
        <v>50-75</v>
      </c>
    </row>
    <row r="528" spans="1:13" x14ac:dyDescent="0.25">
      <c r="A528" t="s">
        <v>991</v>
      </c>
      <c r="B528" t="s">
        <v>992</v>
      </c>
      <c r="C528" s="1">
        <v>45557</v>
      </c>
      <c r="D528" t="s">
        <v>36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15</v>
      </c>
      <c r="K528">
        <v>0</v>
      </c>
      <c r="L528">
        <v>0</v>
      </c>
      <c r="M528" t="str" cm="1">
        <f t="array" ref="M528">_xlfn.IFS(I528&lt;25,"0-25",I528&lt;50,"25-50",I528&lt;75,"50-75",I528&lt;100,"75-100",I528&lt;125,"100-125",I528&gt;=125,"125+")</f>
        <v>25-50</v>
      </c>
    </row>
    <row r="529" spans="1:13" x14ac:dyDescent="0.25">
      <c r="A529" t="s">
        <v>993</v>
      </c>
      <c r="B529" t="s">
        <v>994</v>
      </c>
      <c r="C529" s="1">
        <v>45456</v>
      </c>
      <c r="D529" t="s">
        <v>24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15</v>
      </c>
      <c r="K529">
        <v>0</v>
      </c>
      <c r="L529">
        <v>0</v>
      </c>
      <c r="M529" t="str" cm="1">
        <f t="array" ref="M529">_xlfn.IFS(I529&lt;25,"0-25",I529&lt;50,"25-50",I529&lt;75,"50-75",I529&lt;100,"75-100",I529&lt;125,"100-125",I529&gt;=125,"125+")</f>
        <v>25-50</v>
      </c>
    </row>
    <row r="530" spans="1:13" x14ac:dyDescent="0.25">
      <c r="A530" t="s">
        <v>995</v>
      </c>
      <c r="B530" t="s">
        <v>996</v>
      </c>
      <c r="C530" s="1">
        <v>45440</v>
      </c>
      <c r="D530" t="s">
        <v>41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62</v>
      </c>
      <c r="K530">
        <v>30</v>
      </c>
      <c r="L530">
        <v>0</v>
      </c>
      <c r="M530" t="str" cm="1">
        <f t="array" ref="M530">_xlfn.IFS(I530&lt;25,"0-25",I530&lt;50,"25-50",I530&lt;75,"50-75",I530&lt;100,"75-100",I530&lt;125,"100-125",I530&gt;=125,"125+")</f>
        <v>25-50</v>
      </c>
    </row>
    <row r="531" spans="1:13" x14ac:dyDescent="0.25">
      <c r="A531" t="s">
        <v>997</v>
      </c>
      <c r="B531" t="s">
        <v>998</v>
      </c>
      <c r="C531" s="1">
        <v>45616</v>
      </c>
      <c r="D531" t="s">
        <v>30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18</v>
      </c>
      <c r="K531">
        <v>134</v>
      </c>
      <c r="L531">
        <v>1</v>
      </c>
      <c r="M531" t="str" cm="1">
        <f t="array" ref="M531">_xlfn.IFS(I531&lt;25,"0-25",I531&lt;50,"25-50",I531&lt;75,"50-75",I531&lt;100,"75-100",I531&lt;125,"100-125",I531&gt;=125,"125+")</f>
        <v>50-75</v>
      </c>
    </row>
    <row r="532" spans="1:13" x14ac:dyDescent="0.25">
      <c r="A532" t="s">
        <v>999</v>
      </c>
      <c r="B532" t="s">
        <v>1000</v>
      </c>
      <c r="C532" s="1">
        <v>45391</v>
      </c>
      <c r="D532" t="s">
        <v>41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18</v>
      </c>
      <c r="K532">
        <v>78</v>
      </c>
      <c r="L532">
        <v>1</v>
      </c>
      <c r="M532" t="str" cm="1">
        <f t="array" ref="M532">_xlfn.IFS(I532&lt;25,"0-25",I532&lt;50,"25-50",I532&lt;75,"50-75",I532&lt;100,"75-100",I532&lt;125,"100-125",I532&gt;=125,"125+")</f>
        <v>75-100</v>
      </c>
    </row>
    <row r="533" spans="1:13" x14ac:dyDescent="0.25">
      <c r="A533" t="s">
        <v>1001</v>
      </c>
      <c r="B533" t="s">
        <v>1002</v>
      </c>
      <c r="C533" s="1">
        <v>45487</v>
      </c>
      <c r="D533" t="s">
        <v>21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27</v>
      </c>
      <c r="K533">
        <v>0</v>
      </c>
      <c r="L533">
        <v>0</v>
      </c>
      <c r="M533" t="str" cm="1">
        <f t="array" ref="M533">_xlfn.IFS(I533&lt;25,"0-25",I533&lt;50,"25-50",I533&lt;75,"50-75",I533&lt;100,"75-100",I533&lt;125,"100-125",I533&gt;=125,"125+")</f>
        <v>25-50</v>
      </c>
    </row>
    <row r="534" spans="1:13" x14ac:dyDescent="0.25">
      <c r="A534" t="s">
        <v>1003</v>
      </c>
      <c r="B534" t="s">
        <v>1004</v>
      </c>
      <c r="C534" s="1">
        <v>45758</v>
      </c>
      <c r="D534" t="s">
        <v>41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15</v>
      </c>
      <c r="K534">
        <v>0</v>
      </c>
      <c r="L534">
        <v>0</v>
      </c>
      <c r="M534" t="str" cm="1">
        <f t="array" ref="M534">_xlfn.IFS(I534&lt;25,"0-25",I534&lt;50,"25-50",I534&lt;75,"50-75",I534&lt;100,"75-100",I534&lt;125,"100-125",I534&gt;=125,"125+")</f>
        <v>25-50</v>
      </c>
    </row>
    <row r="535" spans="1:13" x14ac:dyDescent="0.25">
      <c r="A535" t="s">
        <v>1005</v>
      </c>
      <c r="B535" t="s">
        <v>1004</v>
      </c>
      <c r="C535" s="1">
        <v>45761</v>
      </c>
      <c r="D535" t="s">
        <v>17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27</v>
      </c>
      <c r="K535">
        <v>0</v>
      </c>
      <c r="L535">
        <v>0</v>
      </c>
      <c r="M535" t="str" cm="1">
        <f t="array" ref="M535">_xlfn.IFS(I535&lt;25,"0-25",I535&lt;50,"25-50",I535&lt;75,"50-75",I535&lt;100,"75-100",I535&lt;125,"100-125",I535&gt;=125,"125+")</f>
        <v>50-75</v>
      </c>
    </row>
    <row r="536" spans="1:13" x14ac:dyDescent="0.25">
      <c r="A536" t="s">
        <v>1006</v>
      </c>
      <c r="B536" t="s">
        <v>1007</v>
      </c>
      <c r="C536" s="1">
        <v>45393</v>
      </c>
      <c r="D536" t="s">
        <v>17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27</v>
      </c>
      <c r="K536">
        <v>0</v>
      </c>
      <c r="L536">
        <v>0</v>
      </c>
      <c r="M536" t="str" cm="1">
        <f t="array" ref="M536">_xlfn.IFS(I536&lt;25,"0-25",I536&lt;50,"25-50",I536&lt;75,"50-75",I536&lt;100,"75-100",I536&lt;125,"100-125",I536&gt;=125,"125+")</f>
        <v>0-25</v>
      </c>
    </row>
    <row r="537" spans="1:13" x14ac:dyDescent="0.25">
      <c r="A537" t="s">
        <v>1008</v>
      </c>
      <c r="B537" t="s">
        <v>1009</v>
      </c>
      <c r="C537" s="1">
        <v>45394</v>
      </c>
      <c r="D537" t="s">
        <v>47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15</v>
      </c>
      <c r="K537">
        <v>0</v>
      </c>
      <c r="L537">
        <v>0</v>
      </c>
      <c r="M537" t="str" cm="1">
        <f t="array" ref="M537">_xlfn.IFS(I537&lt;25,"0-25",I537&lt;50,"25-50",I537&lt;75,"50-75",I537&lt;100,"75-100",I537&lt;125,"100-125",I537&gt;=125,"125+")</f>
        <v>0-25</v>
      </c>
    </row>
    <row r="538" spans="1:13" x14ac:dyDescent="0.25">
      <c r="A538" t="s">
        <v>1010</v>
      </c>
      <c r="B538" t="s">
        <v>1011</v>
      </c>
      <c r="C538" s="1">
        <v>45492</v>
      </c>
      <c r="D538" t="s">
        <v>17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62</v>
      </c>
      <c r="K538">
        <v>30</v>
      </c>
      <c r="L538">
        <v>0</v>
      </c>
      <c r="M538" t="str" cm="1">
        <f t="array" ref="M538">_xlfn.IFS(I538&lt;25,"0-25",I538&lt;50,"25-50",I538&lt;75,"50-75",I538&lt;100,"75-100",I538&lt;125,"100-125",I538&gt;=125,"125+")</f>
        <v>25-50</v>
      </c>
    </row>
    <row r="539" spans="1:13" x14ac:dyDescent="0.25">
      <c r="A539" t="s">
        <v>1012</v>
      </c>
      <c r="B539" t="s">
        <v>1013</v>
      </c>
      <c r="C539" s="1">
        <v>45675</v>
      </c>
      <c r="D539" t="s">
        <v>14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27</v>
      </c>
      <c r="K539">
        <v>0</v>
      </c>
      <c r="L539">
        <v>0</v>
      </c>
      <c r="M539" t="str" cm="1">
        <f t="array" ref="M539">_xlfn.IFS(I539&lt;25,"0-25",I539&lt;50,"25-50",I539&lt;75,"50-75",I539&lt;100,"75-100",I539&lt;125,"100-125",I539&gt;=125,"125+")</f>
        <v>25-50</v>
      </c>
    </row>
    <row r="540" spans="1:13" x14ac:dyDescent="0.25">
      <c r="A540" t="s">
        <v>1014</v>
      </c>
      <c r="B540" t="s">
        <v>1015</v>
      </c>
      <c r="C540" s="1">
        <v>45296</v>
      </c>
      <c r="D540" t="s">
        <v>24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27</v>
      </c>
      <c r="K540">
        <v>0</v>
      </c>
      <c r="L540">
        <v>0</v>
      </c>
      <c r="M540" t="str" cm="1">
        <f t="array" ref="M540">_xlfn.IFS(I540&lt;25,"0-25",I540&lt;50,"25-50",I540&lt;75,"50-75",I540&lt;100,"75-100",I540&lt;125,"100-125",I540&gt;=125,"125+")</f>
        <v>50-75</v>
      </c>
    </row>
    <row r="541" spans="1:13" x14ac:dyDescent="0.25">
      <c r="A541" t="s">
        <v>1016</v>
      </c>
      <c r="B541" t="s">
        <v>1017</v>
      </c>
      <c r="C541" s="1">
        <v>45466</v>
      </c>
      <c r="D541" t="s">
        <v>30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62</v>
      </c>
      <c r="K541">
        <v>30</v>
      </c>
      <c r="L541">
        <v>0</v>
      </c>
      <c r="M541" t="str" cm="1">
        <f t="array" ref="M541">_xlfn.IFS(I541&lt;25,"0-25",I541&lt;50,"25-50",I541&lt;75,"50-75",I541&lt;100,"75-100",I541&lt;125,"100-125",I541&gt;=125,"125+")</f>
        <v>25-50</v>
      </c>
    </row>
    <row r="542" spans="1:13" x14ac:dyDescent="0.25">
      <c r="A542" t="s">
        <v>1018</v>
      </c>
      <c r="B542" t="s">
        <v>1019</v>
      </c>
      <c r="C542" s="1">
        <v>45731</v>
      </c>
      <c r="D542" t="s">
        <v>38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18</v>
      </c>
      <c r="K542">
        <v>129</v>
      </c>
      <c r="L542">
        <v>1</v>
      </c>
      <c r="M542" t="str" cm="1">
        <f t="array" ref="M542">_xlfn.IFS(I542&lt;25,"0-25",I542&lt;50,"25-50",I542&lt;75,"50-75",I542&lt;100,"75-100",I542&lt;125,"100-125",I542&gt;=125,"125+")</f>
        <v>50-75</v>
      </c>
    </row>
    <row r="543" spans="1:13" x14ac:dyDescent="0.25">
      <c r="A543" t="s">
        <v>1020</v>
      </c>
      <c r="B543" t="s">
        <v>1019</v>
      </c>
      <c r="C543" s="1">
        <v>45393</v>
      </c>
      <c r="D543" t="s">
        <v>33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27</v>
      </c>
      <c r="K543">
        <v>0</v>
      </c>
      <c r="L543">
        <v>0</v>
      </c>
      <c r="M543" t="str" cm="1">
        <f t="array" ref="M543">_xlfn.IFS(I543&lt;25,"0-25",I543&lt;50,"25-50",I543&lt;75,"50-75",I543&lt;100,"75-100",I543&lt;125,"100-125",I543&gt;=125,"125+")</f>
        <v>25-50</v>
      </c>
    </row>
    <row r="544" spans="1:13" x14ac:dyDescent="0.25">
      <c r="A544" t="s">
        <v>1021</v>
      </c>
      <c r="B544" t="s">
        <v>1022</v>
      </c>
      <c r="C544" s="1">
        <v>45454</v>
      </c>
      <c r="D544" t="s">
        <v>17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27</v>
      </c>
      <c r="K544">
        <v>0</v>
      </c>
      <c r="L544">
        <v>0</v>
      </c>
      <c r="M544" t="str" cm="1">
        <f t="array" ref="M544">_xlfn.IFS(I544&lt;25,"0-25",I544&lt;50,"25-50",I544&lt;75,"50-75",I544&lt;100,"75-100",I544&lt;125,"100-125",I544&gt;=125,"125+")</f>
        <v>50-75</v>
      </c>
    </row>
    <row r="545" spans="1:13" x14ac:dyDescent="0.25">
      <c r="A545" t="s">
        <v>1023</v>
      </c>
      <c r="B545" t="s">
        <v>1024</v>
      </c>
      <c r="C545" s="1">
        <v>45372</v>
      </c>
      <c r="D545" t="s">
        <v>47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15</v>
      </c>
      <c r="K545">
        <v>0</v>
      </c>
      <c r="L545">
        <v>0</v>
      </c>
      <c r="M545" t="str" cm="1">
        <f t="array" ref="M545">_xlfn.IFS(I545&lt;25,"0-25",I545&lt;50,"25-50",I545&lt;75,"50-75",I545&lt;100,"75-100",I545&lt;125,"100-125",I545&gt;=125,"125+")</f>
        <v>50-75</v>
      </c>
    </row>
    <row r="546" spans="1:13" x14ac:dyDescent="0.25">
      <c r="A546" t="s">
        <v>1025</v>
      </c>
      <c r="B546" t="s">
        <v>1026</v>
      </c>
      <c r="C546" s="1">
        <v>45543</v>
      </c>
      <c r="D546" t="s">
        <v>30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27</v>
      </c>
      <c r="K546">
        <v>0</v>
      </c>
      <c r="L546">
        <v>0</v>
      </c>
      <c r="M546" t="str" cm="1">
        <f t="array" ref="M546">_xlfn.IFS(I546&lt;25,"0-25",I546&lt;50,"25-50",I546&lt;75,"50-75",I546&lt;100,"75-100",I546&lt;125,"100-125",I546&gt;=125,"125+")</f>
        <v>25-50</v>
      </c>
    </row>
    <row r="547" spans="1:13" x14ac:dyDescent="0.25">
      <c r="A547" t="s">
        <v>1027</v>
      </c>
      <c r="B547" t="s">
        <v>1026</v>
      </c>
      <c r="C547" s="1">
        <v>45397</v>
      </c>
      <c r="D547" t="s">
        <v>24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62</v>
      </c>
      <c r="K547">
        <v>15</v>
      </c>
      <c r="L547">
        <v>0</v>
      </c>
      <c r="M547" t="str" cm="1">
        <f t="array" ref="M547">_xlfn.IFS(I547&lt;25,"0-25",I547&lt;50,"25-50",I547&lt;75,"50-75",I547&lt;100,"75-100",I547&lt;125,"100-125",I547&gt;=125,"125+")</f>
        <v>25-50</v>
      </c>
    </row>
    <row r="548" spans="1:13" x14ac:dyDescent="0.25">
      <c r="A548" t="s">
        <v>1028</v>
      </c>
      <c r="B548" t="s">
        <v>1029</v>
      </c>
      <c r="C548" s="1">
        <v>45504</v>
      </c>
      <c r="D548" t="s">
        <v>24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27</v>
      </c>
      <c r="K548">
        <v>0</v>
      </c>
      <c r="L548">
        <v>0</v>
      </c>
      <c r="M548" t="str" cm="1">
        <f t="array" ref="M548">_xlfn.IFS(I548&lt;25,"0-25",I548&lt;50,"25-50",I548&lt;75,"50-75",I548&lt;100,"75-100",I548&lt;125,"100-125",I548&gt;=125,"125+")</f>
        <v>25-50</v>
      </c>
    </row>
    <row r="549" spans="1:13" x14ac:dyDescent="0.25">
      <c r="A549" t="s">
        <v>1030</v>
      </c>
      <c r="B549" t="s">
        <v>1031</v>
      </c>
      <c r="C549" s="1">
        <v>45753</v>
      </c>
      <c r="D549" t="s">
        <v>36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27</v>
      </c>
      <c r="K549">
        <v>0</v>
      </c>
      <c r="L549">
        <v>0</v>
      </c>
      <c r="M549" t="str" cm="1">
        <f t="array" ref="M549">_xlfn.IFS(I549&lt;25,"0-25",I549&lt;50,"25-50",I549&lt;75,"50-75",I549&lt;100,"75-100",I549&lt;125,"100-125",I549&gt;=125,"125+")</f>
        <v>50-75</v>
      </c>
    </row>
    <row r="550" spans="1:13" x14ac:dyDescent="0.25">
      <c r="A550" t="s">
        <v>1032</v>
      </c>
      <c r="B550" t="s">
        <v>1033</v>
      </c>
      <c r="C550" s="1">
        <v>45647</v>
      </c>
      <c r="D550" t="s">
        <v>47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27</v>
      </c>
      <c r="K550">
        <v>0</v>
      </c>
      <c r="L550">
        <v>0</v>
      </c>
      <c r="M550" t="str" cm="1">
        <f t="array" ref="M550">_xlfn.IFS(I550&lt;25,"0-25",I550&lt;50,"25-50",I550&lt;75,"50-75",I550&lt;100,"75-100",I550&lt;125,"100-125",I550&gt;=125,"125+")</f>
        <v>75-100</v>
      </c>
    </row>
    <row r="551" spans="1:13" x14ac:dyDescent="0.25">
      <c r="A551" t="s">
        <v>1034</v>
      </c>
      <c r="B551" t="s">
        <v>1035</v>
      </c>
      <c r="C551" s="1">
        <v>45822</v>
      </c>
      <c r="D551" t="s">
        <v>24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15</v>
      </c>
      <c r="K551">
        <v>0</v>
      </c>
      <c r="L551">
        <v>0</v>
      </c>
      <c r="M551" t="str" cm="1">
        <f t="array" ref="M551">_xlfn.IFS(I551&lt;25,"0-25",I551&lt;50,"25-50",I551&lt;75,"50-75",I551&lt;100,"75-100",I551&lt;125,"100-125",I551&gt;=125,"125+")</f>
        <v>50-75</v>
      </c>
    </row>
    <row r="552" spans="1:13" x14ac:dyDescent="0.25">
      <c r="A552" t="s">
        <v>1036</v>
      </c>
      <c r="B552" t="s">
        <v>1037</v>
      </c>
      <c r="C552" s="1">
        <v>45421</v>
      </c>
      <c r="D552" t="s">
        <v>38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15</v>
      </c>
      <c r="K552">
        <v>0</v>
      </c>
      <c r="L552">
        <v>0</v>
      </c>
      <c r="M552" t="str" cm="1">
        <f t="array" ref="M552">_xlfn.IFS(I552&lt;25,"0-25",I552&lt;50,"25-50",I552&lt;75,"50-75",I552&lt;100,"75-100",I552&lt;125,"100-125",I552&gt;=125,"125+")</f>
        <v>0-25</v>
      </c>
    </row>
    <row r="553" spans="1:13" x14ac:dyDescent="0.25">
      <c r="A553" t="s">
        <v>1038</v>
      </c>
      <c r="B553" t="s">
        <v>1039</v>
      </c>
      <c r="C553" s="1">
        <v>45701</v>
      </c>
      <c r="D553" t="s">
        <v>21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27</v>
      </c>
      <c r="K553">
        <v>0</v>
      </c>
      <c r="L553">
        <v>0</v>
      </c>
      <c r="M553" t="str" cm="1">
        <f t="array" ref="M553">_xlfn.IFS(I553&lt;25,"0-25",I553&lt;50,"25-50",I553&lt;75,"50-75",I553&lt;100,"75-100",I553&lt;125,"100-125",I553&gt;=125,"125+")</f>
        <v>25-50</v>
      </c>
    </row>
    <row r="554" spans="1:13" x14ac:dyDescent="0.25">
      <c r="A554" t="s">
        <v>1040</v>
      </c>
      <c r="B554" t="s">
        <v>1041</v>
      </c>
      <c r="C554" s="1">
        <v>45502</v>
      </c>
      <c r="D554" t="s">
        <v>24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15</v>
      </c>
      <c r="K554">
        <v>0</v>
      </c>
      <c r="L554">
        <v>0</v>
      </c>
      <c r="M554" t="str" cm="1">
        <f t="array" ref="M554">_xlfn.IFS(I554&lt;25,"0-25",I554&lt;50,"25-50",I554&lt;75,"50-75",I554&lt;100,"75-100",I554&lt;125,"100-125",I554&gt;=125,"125+")</f>
        <v>25-50</v>
      </c>
    </row>
    <row r="555" spans="1:13" x14ac:dyDescent="0.25">
      <c r="A555" t="s">
        <v>1042</v>
      </c>
      <c r="B555" t="s">
        <v>1041</v>
      </c>
      <c r="C555" s="1">
        <v>45684</v>
      </c>
      <c r="D555" t="s">
        <v>17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27</v>
      </c>
      <c r="K555">
        <v>0</v>
      </c>
      <c r="L555">
        <v>0</v>
      </c>
      <c r="M555" t="str" cm="1">
        <f t="array" ref="M555">_xlfn.IFS(I555&lt;25,"0-25",I555&lt;50,"25-50",I555&lt;75,"50-75",I555&lt;100,"75-100",I555&lt;125,"100-125",I555&gt;=125,"125+")</f>
        <v>25-50</v>
      </c>
    </row>
    <row r="556" spans="1:13" x14ac:dyDescent="0.25">
      <c r="A556" t="s">
        <v>1043</v>
      </c>
      <c r="B556" t="s">
        <v>1044</v>
      </c>
      <c r="C556" s="1">
        <v>45711</v>
      </c>
      <c r="D556" t="s">
        <v>36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62</v>
      </c>
      <c r="K556">
        <v>0</v>
      </c>
      <c r="L556">
        <v>0</v>
      </c>
      <c r="M556" t="str" cm="1">
        <f t="array" ref="M556">_xlfn.IFS(I556&lt;25,"0-25",I556&lt;50,"25-50",I556&lt;75,"50-75",I556&lt;100,"75-100",I556&lt;125,"100-125",I556&gt;=125,"125+")</f>
        <v>25-50</v>
      </c>
    </row>
    <row r="557" spans="1:13" x14ac:dyDescent="0.25">
      <c r="A557" t="s">
        <v>1045</v>
      </c>
      <c r="B557" t="s">
        <v>1046</v>
      </c>
      <c r="C557" s="1">
        <v>45482</v>
      </c>
      <c r="D557" t="s">
        <v>30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62</v>
      </c>
      <c r="K557">
        <v>0</v>
      </c>
      <c r="L557">
        <v>0</v>
      </c>
      <c r="M557" t="str" cm="1">
        <f t="array" ref="M557">_xlfn.IFS(I557&lt;25,"0-25",I557&lt;50,"25-50",I557&lt;75,"50-75",I557&lt;100,"75-100",I557&lt;125,"100-125",I557&gt;=125,"125+")</f>
        <v>0-25</v>
      </c>
    </row>
    <row r="558" spans="1:13" x14ac:dyDescent="0.25">
      <c r="A558" t="s">
        <v>1047</v>
      </c>
      <c r="B558" t="s">
        <v>1046</v>
      </c>
      <c r="C558" s="1">
        <v>45303</v>
      </c>
      <c r="D558" t="s">
        <v>30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27</v>
      </c>
      <c r="K558">
        <v>0</v>
      </c>
      <c r="L558">
        <v>0</v>
      </c>
      <c r="M558" t="str" cm="1">
        <f t="array" ref="M558">_xlfn.IFS(I558&lt;25,"0-25",I558&lt;50,"25-50",I558&lt;75,"50-75",I558&lt;100,"75-100",I558&lt;125,"100-125",I558&gt;=125,"125+")</f>
        <v>25-50</v>
      </c>
    </row>
    <row r="559" spans="1:13" x14ac:dyDescent="0.25">
      <c r="A559" t="s">
        <v>1048</v>
      </c>
      <c r="B559" t="s">
        <v>1049</v>
      </c>
      <c r="C559" s="1">
        <v>45514</v>
      </c>
      <c r="D559" t="s">
        <v>38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18</v>
      </c>
      <c r="K559">
        <v>101</v>
      </c>
      <c r="L559">
        <v>1</v>
      </c>
      <c r="M559" t="str" cm="1">
        <f t="array" ref="M559">_xlfn.IFS(I559&lt;25,"0-25",I559&lt;50,"25-50",I559&lt;75,"50-75",I559&lt;100,"75-100",I559&lt;125,"100-125",I559&gt;=125,"125+")</f>
        <v>50-75</v>
      </c>
    </row>
    <row r="560" spans="1:13" x14ac:dyDescent="0.25">
      <c r="A560" t="s">
        <v>1050</v>
      </c>
      <c r="B560" t="s">
        <v>1051</v>
      </c>
      <c r="C560" s="1">
        <v>45619</v>
      </c>
      <c r="D560" t="s">
        <v>36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18</v>
      </c>
      <c r="K560">
        <v>42</v>
      </c>
      <c r="L560">
        <v>1</v>
      </c>
      <c r="M560" t="str" cm="1">
        <f t="array" ref="M560">_xlfn.IFS(I560&lt;25,"0-25",I560&lt;50,"25-50",I560&lt;75,"50-75",I560&lt;100,"75-100",I560&lt;125,"100-125",I560&gt;=125,"125+")</f>
        <v>50-75</v>
      </c>
    </row>
    <row r="561" spans="1:13" x14ac:dyDescent="0.25">
      <c r="A561" t="s">
        <v>1052</v>
      </c>
      <c r="B561" t="s">
        <v>1053</v>
      </c>
      <c r="C561" s="1">
        <v>45467</v>
      </c>
      <c r="D561" t="s">
        <v>14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27</v>
      </c>
      <c r="K561">
        <v>0</v>
      </c>
      <c r="L561">
        <v>0</v>
      </c>
      <c r="M561" t="str" cm="1">
        <f t="array" ref="M561">_xlfn.IFS(I561&lt;25,"0-25",I561&lt;50,"25-50",I561&lt;75,"50-75",I561&lt;100,"75-100",I561&lt;125,"100-125",I561&gt;=125,"125+")</f>
        <v>50-75</v>
      </c>
    </row>
    <row r="562" spans="1:13" x14ac:dyDescent="0.25">
      <c r="A562" t="s">
        <v>1054</v>
      </c>
      <c r="B562" t="s">
        <v>1053</v>
      </c>
      <c r="C562" s="1">
        <v>45764</v>
      </c>
      <c r="D562" t="s">
        <v>41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27</v>
      </c>
      <c r="K562">
        <v>0</v>
      </c>
      <c r="L562">
        <v>0</v>
      </c>
      <c r="M562" t="str" cm="1">
        <f t="array" ref="M562">_xlfn.IFS(I562&lt;25,"0-25",I562&lt;50,"25-50",I562&lt;75,"50-75",I562&lt;100,"75-100",I562&lt;125,"100-125",I562&gt;=125,"125+")</f>
        <v>25-50</v>
      </c>
    </row>
    <row r="563" spans="1:13" x14ac:dyDescent="0.25">
      <c r="A563" t="s">
        <v>1055</v>
      </c>
      <c r="B563" t="s">
        <v>1056</v>
      </c>
      <c r="C563" s="1">
        <v>45717</v>
      </c>
      <c r="D563" t="s">
        <v>21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15</v>
      </c>
      <c r="K563">
        <v>0</v>
      </c>
      <c r="L563">
        <v>0</v>
      </c>
      <c r="M563" t="str" cm="1">
        <f t="array" ref="M563">_xlfn.IFS(I563&lt;25,"0-25",I563&lt;50,"25-50",I563&lt;75,"50-75",I563&lt;100,"75-100",I563&lt;125,"100-125",I563&gt;=125,"125+")</f>
        <v>75-100</v>
      </c>
    </row>
    <row r="564" spans="1:13" x14ac:dyDescent="0.25">
      <c r="A564" t="s">
        <v>1057</v>
      </c>
      <c r="B564" t="s">
        <v>1056</v>
      </c>
      <c r="C564" s="1">
        <v>45694</v>
      </c>
      <c r="D564" t="s">
        <v>17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18</v>
      </c>
      <c r="K564">
        <v>146</v>
      </c>
      <c r="L564">
        <v>1</v>
      </c>
      <c r="M564" t="str" cm="1">
        <f t="array" ref="M564">_xlfn.IFS(I564&lt;25,"0-25",I564&lt;50,"25-50",I564&lt;75,"50-75",I564&lt;100,"75-100",I564&lt;125,"100-125",I564&gt;=125,"125+")</f>
        <v>50-75</v>
      </c>
    </row>
    <row r="565" spans="1:13" x14ac:dyDescent="0.25">
      <c r="A565" t="s">
        <v>1058</v>
      </c>
      <c r="B565" t="s">
        <v>1059</v>
      </c>
      <c r="C565" s="1">
        <v>45340</v>
      </c>
      <c r="D565" t="s">
        <v>36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15</v>
      </c>
      <c r="K565">
        <v>0</v>
      </c>
      <c r="L565">
        <v>0</v>
      </c>
      <c r="M565" t="str" cm="1">
        <f t="array" ref="M565">_xlfn.IFS(I565&lt;25,"0-25",I565&lt;50,"25-50",I565&lt;75,"50-75",I565&lt;100,"75-100",I565&lt;125,"100-125",I565&gt;=125,"125+")</f>
        <v>100-125</v>
      </c>
    </row>
    <row r="566" spans="1:13" x14ac:dyDescent="0.25">
      <c r="A566" t="s">
        <v>1060</v>
      </c>
      <c r="B566" t="s">
        <v>1061</v>
      </c>
      <c r="C566" s="1">
        <v>45297</v>
      </c>
      <c r="D566" t="s">
        <v>17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62</v>
      </c>
      <c r="K566">
        <v>15</v>
      </c>
      <c r="L566">
        <v>0</v>
      </c>
      <c r="M566" t="str" cm="1">
        <f t="array" ref="M566">_xlfn.IFS(I566&lt;25,"0-25",I566&lt;50,"25-50",I566&lt;75,"50-75",I566&lt;100,"75-100",I566&lt;125,"100-125",I566&gt;=125,"125+")</f>
        <v>25-50</v>
      </c>
    </row>
    <row r="567" spans="1:13" x14ac:dyDescent="0.25">
      <c r="A567" t="s">
        <v>1062</v>
      </c>
      <c r="B567" t="s">
        <v>1061</v>
      </c>
      <c r="C567" s="1">
        <v>45680</v>
      </c>
      <c r="D567" t="s">
        <v>41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18</v>
      </c>
      <c r="K567">
        <v>73</v>
      </c>
      <c r="L567">
        <v>1</v>
      </c>
      <c r="M567" t="str" cm="1">
        <f t="array" ref="M567">_xlfn.IFS(I567&lt;25,"0-25",I567&lt;50,"25-50",I567&lt;75,"50-75",I567&lt;100,"75-100",I567&lt;125,"100-125",I567&gt;=125,"125+")</f>
        <v>50-75</v>
      </c>
    </row>
    <row r="568" spans="1:13" x14ac:dyDescent="0.25">
      <c r="A568" t="s">
        <v>1063</v>
      </c>
      <c r="B568" t="s">
        <v>1064</v>
      </c>
      <c r="C568" s="1">
        <v>45715</v>
      </c>
      <c r="D568" t="s">
        <v>47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27</v>
      </c>
      <c r="K568">
        <v>0</v>
      </c>
      <c r="L568">
        <v>0</v>
      </c>
      <c r="M568" t="str" cm="1">
        <f t="array" ref="M568">_xlfn.IFS(I568&lt;25,"0-25",I568&lt;50,"25-50",I568&lt;75,"50-75",I568&lt;100,"75-100",I568&lt;125,"100-125",I568&gt;=125,"125+")</f>
        <v>25-50</v>
      </c>
    </row>
    <row r="569" spans="1:13" x14ac:dyDescent="0.25">
      <c r="A569" t="s">
        <v>1065</v>
      </c>
      <c r="B569" t="s">
        <v>1064</v>
      </c>
      <c r="C569" s="1">
        <v>45786</v>
      </c>
      <c r="D569" t="s">
        <v>38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27</v>
      </c>
      <c r="K569">
        <v>0</v>
      </c>
      <c r="L569">
        <v>0</v>
      </c>
      <c r="M569" t="str" cm="1">
        <f t="array" ref="M569">_xlfn.IFS(I569&lt;25,"0-25",I569&lt;50,"25-50",I569&lt;75,"50-75",I569&lt;100,"75-100",I569&lt;125,"100-125",I569&gt;=125,"125+")</f>
        <v>50-75</v>
      </c>
    </row>
    <row r="570" spans="1:13" x14ac:dyDescent="0.25">
      <c r="A570" t="s">
        <v>1066</v>
      </c>
      <c r="B570" t="s">
        <v>1067</v>
      </c>
      <c r="C570" s="1">
        <v>45368</v>
      </c>
      <c r="D570" t="s">
        <v>21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27</v>
      </c>
      <c r="K570">
        <v>0</v>
      </c>
      <c r="L570">
        <v>0</v>
      </c>
      <c r="M570" t="str" cm="1">
        <f t="array" ref="M570">_xlfn.IFS(I570&lt;25,"0-25",I570&lt;50,"25-50",I570&lt;75,"50-75",I570&lt;100,"75-100",I570&lt;125,"100-125",I570&gt;=125,"125+")</f>
        <v>25-50</v>
      </c>
    </row>
    <row r="571" spans="1:13" x14ac:dyDescent="0.25">
      <c r="A571" t="s">
        <v>1068</v>
      </c>
      <c r="B571" t="s">
        <v>1069</v>
      </c>
      <c r="C571" s="1">
        <v>45832</v>
      </c>
      <c r="D571" t="s">
        <v>17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15</v>
      </c>
      <c r="K571">
        <v>0</v>
      </c>
      <c r="L571">
        <v>0</v>
      </c>
      <c r="M571" t="str" cm="1">
        <f t="array" ref="M571">_xlfn.IFS(I571&lt;25,"0-25",I571&lt;50,"25-50",I571&lt;75,"50-75",I571&lt;100,"75-100",I571&lt;125,"100-125",I571&gt;=125,"125+")</f>
        <v>25-50</v>
      </c>
    </row>
    <row r="572" spans="1:13" x14ac:dyDescent="0.25">
      <c r="A572" t="s">
        <v>1070</v>
      </c>
      <c r="B572" t="s">
        <v>1071</v>
      </c>
      <c r="C572" s="1">
        <v>45664</v>
      </c>
      <c r="D572" t="s">
        <v>33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62</v>
      </c>
      <c r="K572">
        <v>0</v>
      </c>
      <c r="L572">
        <v>0</v>
      </c>
      <c r="M572" t="str" cm="1">
        <f t="array" ref="M572">_xlfn.IFS(I572&lt;25,"0-25",I572&lt;50,"25-50",I572&lt;75,"50-75",I572&lt;100,"75-100",I572&lt;125,"100-125",I572&gt;=125,"125+")</f>
        <v>25-50</v>
      </c>
    </row>
    <row r="573" spans="1:13" x14ac:dyDescent="0.25">
      <c r="A573" t="s">
        <v>1072</v>
      </c>
      <c r="B573" t="s">
        <v>1073</v>
      </c>
      <c r="C573" s="1">
        <v>45396</v>
      </c>
      <c r="D573" t="s">
        <v>17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62</v>
      </c>
      <c r="K573">
        <v>15</v>
      </c>
      <c r="L573">
        <v>0</v>
      </c>
      <c r="M573" t="str" cm="1">
        <f t="array" ref="M573">_xlfn.IFS(I573&lt;25,"0-25",I573&lt;50,"25-50",I573&lt;75,"50-75",I573&lt;100,"75-100",I573&lt;125,"100-125",I573&gt;=125,"125+")</f>
        <v>25-50</v>
      </c>
    </row>
    <row r="574" spans="1:13" x14ac:dyDescent="0.25">
      <c r="A574" t="s">
        <v>1074</v>
      </c>
      <c r="B574" t="s">
        <v>1075</v>
      </c>
      <c r="C574" s="1">
        <v>45563</v>
      </c>
      <c r="D574" t="s">
        <v>14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27</v>
      </c>
      <c r="K574">
        <v>0</v>
      </c>
      <c r="L574">
        <v>0</v>
      </c>
      <c r="M574" t="str" cm="1">
        <f t="array" ref="M574">_xlfn.IFS(I574&lt;25,"0-25",I574&lt;50,"25-50",I574&lt;75,"50-75",I574&lt;100,"75-100",I574&lt;125,"100-125",I574&gt;=125,"125+")</f>
        <v>25-50</v>
      </c>
    </row>
    <row r="575" spans="1:13" x14ac:dyDescent="0.25">
      <c r="A575" t="s">
        <v>1076</v>
      </c>
      <c r="B575" t="s">
        <v>1077</v>
      </c>
      <c r="C575" s="1">
        <v>45670</v>
      </c>
      <c r="D575" t="s">
        <v>17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15</v>
      </c>
      <c r="K575">
        <v>0</v>
      </c>
      <c r="L575">
        <v>0</v>
      </c>
      <c r="M575" t="str" cm="1">
        <f t="array" ref="M575">_xlfn.IFS(I575&lt;25,"0-25",I575&lt;50,"25-50",I575&lt;75,"50-75",I575&lt;100,"75-100",I575&lt;125,"100-125",I575&gt;=125,"125+")</f>
        <v>25-50</v>
      </c>
    </row>
    <row r="576" spans="1:13" x14ac:dyDescent="0.25">
      <c r="A576" t="s">
        <v>1078</v>
      </c>
      <c r="B576" t="s">
        <v>1079</v>
      </c>
      <c r="C576" s="1">
        <v>45797</v>
      </c>
      <c r="D576" t="s">
        <v>24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27</v>
      </c>
      <c r="K576">
        <v>0</v>
      </c>
      <c r="L576">
        <v>0</v>
      </c>
      <c r="M576" t="str" cm="1">
        <f t="array" ref="M576">_xlfn.IFS(I576&lt;25,"0-25",I576&lt;50,"25-50",I576&lt;75,"50-75",I576&lt;100,"75-100",I576&lt;125,"100-125",I576&gt;=125,"125+")</f>
        <v>25-50</v>
      </c>
    </row>
    <row r="577" spans="1:13" x14ac:dyDescent="0.25">
      <c r="A577" t="s">
        <v>1080</v>
      </c>
      <c r="B577" t="s">
        <v>1081</v>
      </c>
      <c r="C577" s="1">
        <v>45536</v>
      </c>
      <c r="D577" t="s">
        <v>36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18</v>
      </c>
      <c r="K577">
        <v>55</v>
      </c>
      <c r="L577">
        <v>1</v>
      </c>
      <c r="M577" t="str" cm="1">
        <f t="array" ref="M577">_xlfn.IFS(I577&lt;25,"0-25",I577&lt;50,"25-50",I577&lt;75,"50-75",I577&lt;100,"75-100",I577&lt;125,"100-125",I577&gt;=125,"125+")</f>
        <v>50-75</v>
      </c>
    </row>
    <row r="578" spans="1:13" x14ac:dyDescent="0.25">
      <c r="A578" t="s">
        <v>1082</v>
      </c>
      <c r="B578" t="s">
        <v>1083</v>
      </c>
      <c r="C578" s="1">
        <v>45566</v>
      </c>
      <c r="D578" t="s">
        <v>47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27</v>
      </c>
      <c r="K578">
        <v>0</v>
      </c>
      <c r="L578">
        <v>0</v>
      </c>
      <c r="M578" t="str" cm="1">
        <f t="array" ref="M578">_xlfn.IFS(I578&lt;25,"0-25",I578&lt;50,"25-50",I578&lt;75,"50-75",I578&lt;100,"75-100",I578&lt;125,"100-125",I578&gt;=125,"125+")</f>
        <v>0-25</v>
      </c>
    </row>
    <row r="579" spans="1:13" x14ac:dyDescent="0.25">
      <c r="A579" t="s">
        <v>1084</v>
      </c>
      <c r="B579" t="s">
        <v>1085</v>
      </c>
      <c r="C579" s="1">
        <v>45780</v>
      </c>
      <c r="D579" t="s">
        <v>47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62</v>
      </c>
      <c r="K579">
        <v>15</v>
      </c>
      <c r="L579">
        <v>0</v>
      </c>
      <c r="M579" t="str" cm="1">
        <f t="array" ref="M579">_xlfn.IFS(I579&lt;25,"0-25",I579&lt;50,"25-50",I579&lt;75,"50-75",I579&lt;100,"75-100",I579&lt;125,"100-125",I579&gt;=125,"125+")</f>
        <v>0-25</v>
      </c>
    </row>
    <row r="580" spans="1:13" x14ac:dyDescent="0.25">
      <c r="A580" t="s">
        <v>1086</v>
      </c>
      <c r="B580" t="s">
        <v>1087</v>
      </c>
      <c r="C580" s="1">
        <v>45305</v>
      </c>
      <c r="D580" t="s">
        <v>36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27</v>
      </c>
      <c r="K580">
        <v>0</v>
      </c>
      <c r="L580">
        <v>0</v>
      </c>
      <c r="M580" t="str" cm="1">
        <f t="array" ref="M580">_xlfn.IFS(I580&lt;25,"0-25",I580&lt;50,"25-50",I580&lt;75,"50-75",I580&lt;100,"75-100",I580&lt;125,"100-125",I580&gt;=125,"125+")</f>
        <v>50-75</v>
      </c>
    </row>
    <row r="581" spans="1:13" x14ac:dyDescent="0.25">
      <c r="A581" t="s">
        <v>1088</v>
      </c>
      <c r="B581" t="s">
        <v>1089</v>
      </c>
      <c r="C581" s="1">
        <v>45777</v>
      </c>
      <c r="D581" t="s">
        <v>36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27</v>
      </c>
      <c r="K581">
        <v>0</v>
      </c>
      <c r="L581">
        <v>0</v>
      </c>
      <c r="M581" t="str" cm="1">
        <f t="array" ref="M581">_xlfn.IFS(I581&lt;25,"0-25",I581&lt;50,"25-50",I581&lt;75,"50-75",I581&lt;100,"75-100",I581&lt;125,"100-125",I581&gt;=125,"125+")</f>
        <v>50-75</v>
      </c>
    </row>
    <row r="582" spans="1:13" x14ac:dyDescent="0.25">
      <c r="A582" t="s">
        <v>1090</v>
      </c>
      <c r="B582" t="s">
        <v>1089</v>
      </c>
      <c r="C582" s="1">
        <v>45829</v>
      </c>
      <c r="D582" t="s">
        <v>36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15</v>
      </c>
      <c r="K582">
        <v>0</v>
      </c>
      <c r="L582">
        <v>0</v>
      </c>
      <c r="M582" t="str" cm="1">
        <f t="array" ref="M582">_xlfn.IFS(I582&lt;25,"0-25",I582&lt;50,"25-50",I582&lt;75,"50-75",I582&lt;100,"75-100",I582&lt;125,"100-125",I582&gt;=125,"125+")</f>
        <v>25-50</v>
      </c>
    </row>
    <row r="583" spans="1:13" x14ac:dyDescent="0.25">
      <c r="A583" t="s">
        <v>1091</v>
      </c>
      <c r="B583" t="s">
        <v>1092</v>
      </c>
      <c r="C583" s="1">
        <v>45790</v>
      </c>
      <c r="D583" t="s">
        <v>30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15</v>
      </c>
      <c r="K583">
        <v>0</v>
      </c>
      <c r="L583">
        <v>0</v>
      </c>
      <c r="M583" t="str" cm="1">
        <f t="array" ref="M583">_xlfn.IFS(I583&lt;25,"0-25",I583&lt;50,"25-50",I583&lt;75,"50-75",I583&lt;100,"75-100",I583&lt;125,"100-125",I583&gt;=125,"125+")</f>
        <v>0-25</v>
      </c>
    </row>
    <row r="584" spans="1:13" x14ac:dyDescent="0.25">
      <c r="A584" t="s">
        <v>1093</v>
      </c>
      <c r="B584" t="s">
        <v>1094</v>
      </c>
      <c r="C584" s="1">
        <v>45568</v>
      </c>
      <c r="D584" t="s">
        <v>30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27</v>
      </c>
      <c r="K584">
        <v>0</v>
      </c>
      <c r="L584">
        <v>0</v>
      </c>
      <c r="M584" t="str" cm="1">
        <f t="array" ref="M584">_xlfn.IFS(I584&lt;25,"0-25",I584&lt;50,"25-50",I584&lt;75,"50-75",I584&lt;100,"75-100",I584&lt;125,"100-125",I584&gt;=125,"125+")</f>
        <v>50-75</v>
      </c>
    </row>
    <row r="585" spans="1:13" x14ac:dyDescent="0.25">
      <c r="A585" t="s">
        <v>1095</v>
      </c>
      <c r="B585" t="s">
        <v>1096</v>
      </c>
      <c r="C585" s="1">
        <v>45733</v>
      </c>
      <c r="D585" t="s">
        <v>38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27</v>
      </c>
      <c r="K585">
        <v>0</v>
      </c>
      <c r="L585">
        <v>0</v>
      </c>
      <c r="M585" t="str" cm="1">
        <f t="array" ref="M585">_xlfn.IFS(I585&lt;25,"0-25",I585&lt;50,"25-50",I585&lt;75,"50-75",I585&lt;100,"75-100",I585&lt;125,"100-125",I585&gt;=125,"125+")</f>
        <v>0-25</v>
      </c>
    </row>
    <row r="586" spans="1:13" x14ac:dyDescent="0.25">
      <c r="A586" t="s">
        <v>1097</v>
      </c>
      <c r="B586" t="s">
        <v>1096</v>
      </c>
      <c r="C586" s="1">
        <v>45752</v>
      </c>
      <c r="D586" t="s">
        <v>17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62</v>
      </c>
      <c r="K586">
        <v>15</v>
      </c>
      <c r="L586">
        <v>0</v>
      </c>
      <c r="M586" t="str" cm="1">
        <f t="array" ref="M586">_xlfn.IFS(I586&lt;25,"0-25",I586&lt;50,"25-50",I586&lt;75,"50-75",I586&lt;100,"75-100",I586&lt;125,"100-125",I586&gt;=125,"125+")</f>
        <v>25-50</v>
      </c>
    </row>
    <row r="587" spans="1:13" x14ac:dyDescent="0.25">
      <c r="A587" t="s">
        <v>1098</v>
      </c>
      <c r="B587" t="s">
        <v>1099</v>
      </c>
      <c r="C587" s="1">
        <v>45574</v>
      </c>
      <c r="D587" t="s">
        <v>30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27</v>
      </c>
      <c r="K587">
        <v>0</v>
      </c>
      <c r="L587">
        <v>0</v>
      </c>
      <c r="M587" t="str" cm="1">
        <f t="array" ref="M587">_xlfn.IFS(I587&lt;25,"0-25",I587&lt;50,"25-50",I587&lt;75,"50-75",I587&lt;100,"75-100",I587&lt;125,"100-125",I587&gt;=125,"125+")</f>
        <v>25-50</v>
      </c>
    </row>
    <row r="588" spans="1:13" x14ac:dyDescent="0.25">
      <c r="A588" t="s">
        <v>1100</v>
      </c>
      <c r="B588" t="s">
        <v>1099</v>
      </c>
      <c r="C588" s="1">
        <v>45647</v>
      </c>
      <c r="D588" t="s">
        <v>30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62</v>
      </c>
      <c r="K588">
        <v>30</v>
      </c>
      <c r="L588">
        <v>0</v>
      </c>
      <c r="M588" t="str" cm="1">
        <f t="array" ref="M588">_xlfn.IFS(I588&lt;25,"0-25",I588&lt;50,"25-50",I588&lt;75,"50-75",I588&lt;100,"75-100",I588&lt;125,"100-125",I588&gt;=125,"125+")</f>
        <v>25-50</v>
      </c>
    </row>
    <row r="589" spans="1:13" x14ac:dyDescent="0.25">
      <c r="A589" t="s">
        <v>1101</v>
      </c>
      <c r="B589" t="s">
        <v>1102</v>
      </c>
      <c r="C589" s="1">
        <v>45458</v>
      </c>
      <c r="D589" t="s">
        <v>14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15</v>
      </c>
      <c r="K589">
        <v>0</v>
      </c>
      <c r="L589">
        <v>0</v>
      </c>
      <c r="M589" t="str" cm="1">
        <f t="array" ref="M589">_xlfn.IFS(I589&lt;25,"0-25",I589&lt;50,"25-50",I589&lt;75,"50-75",I589&lt;100,"75-100",I589&lt;125,"100-125",I589&gt;=125,"125+")</f>
        <v>0-25</v>
      </c>
    </row>
    <row r="590" spans="1:13" x14ac:dyDescent="0.25">
      <c r="A590" t="s">
        <v>1103</v>
      </c>
      <c r="B590" t="s">
        <v>1104</v>
      </c>
      <c r="C590" s="1">
        <v>45605</v>
      </c>
      <c r="D590" t="s">
        <v>41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18</v>
      </c>
      <c r="K590">
        <v>120</v>
      </c>
      <c r="L590">
        <v>1</v>
      </c>
      <c r="M590" t="str" cm="1">
        <f t="array" ref="M590">_xlfn.IFS(I590&lt;25,"0-25",I590&lt;50,"25-50",I590&lt;75,"50-75",I590&lt;100,"75-100",I590&lt;125,"100-125",I590&gt;=125,"125+")</f>
        <v>50-75</v>
      </c>
    </row>
    <row r="591" spans="1:13" x14ac:dyDescent="0.25">
      <c r="A591" t="s">
        <v>1105</v>
      </c>
      <c r="B591" t="s">
        <v>1106</v>
      </c>
      <c r="C591" s="1">
        <v>45806</v>
      </c>
      <c r="D591" t="s">
        <v>41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27</v>
      </c>
      <c r="K591">
        <v>0</v>
      </c>
      <c r="L591">
        <v>0</v>
      </c>
      <c r="M591" t="str" cm="1">
        <f t="array" ref="M591">_xlfn.IFS(I591&lt;25,"0-25",I591&lt;50,"25-50",I591&lt;75,"50-75",I591&lt;100,"75-100",I591&lt;125,"100-125",I591&gt;=125,"125+")</f>
        <v>25-50</v>
      </c>
    </row>
    <row r="592" spans="1:13" x14ac:dyDescent="0.25">
      <c r="A592" t="s">
        <v>1107</v>
      </c>
      <c r="B592" t="s">
        <v>1108</v>
      </c>
      <c r="C592" s="1">
        <v>45374</v>
      </c>
      <c r="D592" t="s">
        <v>24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18</v>
      </c>
      <c r="K592">
        <v>38</v>
      </c>
      <c r="L592">
        <v>1</v>
      </c>
      <c r="M592" t="str" cm="1">
        <f t="array" ref="M592">_xlfn.IFS(I592&lt;25,"0-25",I592&lt;50,"25-50",I592&lt;75,"50-75",I592&lt;100,"75-100",I592&lt;125,"100-125",I592&gt;=125,"125+")</f>
        <v>25-50</v>
      </c>
    </row>
    <row r="593" spans="1:13" x14ac:dyDescent="0.25">
      <c r="A593" t="s">
        <v>1109</v>
      </c>
      <c r="B593" t="s">
        <v>1110</v>
      </c>
      <c r="C593" s="1">
        <v>45392</v>
      </c>
      <c r="D593" t="s">
        <v>30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62</v>
      </c>
      <c r="K593">
        <v>15</v>
      </c>
      <c r="L593">
        <v>0</v>
      </c>
      <c r="M593" t="str" cm="1">
        <f t="array" ref="M593">_xlfn.IFS(I593&lt;25,"0-25",I593&lt;50,"25-50",I593&lt;75,"50-75",I593&lt;100,"75-100",I593&lt;125,"100-125",I593&gt;=125,"125+")</f>
        <v>25-50</v>
      </c>
    </row>
    <row r="594" spans="1:13" x14ac:dyDescent="0.25">
      <c r="A594" t="s">
        <v>1111</v>
      </c>
      <c r="B594" t="s">
        <v>1112</v>
      </c>
      <c r="C594" s="1">
        <v>45496</v>
      </c>
      <c r="D594" t="s">
        <v>17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27</v>
      </c>
      <c r="K594">
        <v>0</v>
      </c>
      <c r="L594">
        <v>0</v>
      </c>
      <c r="M594" t="str" cm="1">
        <f t="array" ref="M594">_xlfn.IFS(I594&lt;25,"0-25",I594&lt;50,"25-50",I594&lt;75,"50-75",I594&lt;100,"75-100",I594&lt;125,"100-125",I594&gt;=125,"125+")</f>
        <v>25-50</v>
      </c>
    </row>
    <row r="595" spans="1:13" x14ac:dyDescent="0.25">
      <c r="A595" t="s">
        <v>1113</v>
      </c>
      <c r="B595" t="s">
        <v>1114</v>
      </c>
      <c r="C595" s="1">
        <v>45739</v>
      </c>
      <c r="D595" t="s">
        <v>24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18</v>
      </c>
      <c r="K595">
        <v>164</v>
      </c>
      <c r="L595">
        <v>1</v>
      </c>
      <c r="M595" t="str" cm="1">
        <f t="array" ref="M595">_xlfn.IFS(I595&lt;25,"0-25",I595&lt;50,"25-50",I595&lt;75,"50-75",I595&lt;100,"75-100",I595&lt;125,"100-125",I595&gt;=125,"125+")</f>
        <v>50-75</v>
      </c>
    </row>
    <row r="596" spans="1:13" x14ac:dyDescent="0.25">
      <c r="A596" t="s">
        <v>1115</v>
      </c>
      <c r="B596" t="s">
        <v>1116</v>
      </c>
      <c r="C596" s="1">
        <v>45729</v>
      </c>
      <c r="D596" t="s">
        <v>30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62</v>
      </c>
      <c r="K596">
        <v>30</v>
      </c>
      <c r="L596">
        <v>0</v>
      </c>
      <c r="M596" t="str" cm="1">
        <f t="array" ref="M596">_xlfn.IFS(I596&lt;25,"0-25",I596&lt;50,"25-50",I596&lt;75,"50-75",I596&lt;100,"75-100",I596&lt;125,"100-125",I596&gt;=125,"125+")</f>
        <v>50-75</v>
      </c>
    </row>
    <row r="597" spans="1:13" x14ac:dyDescent="0.25">
      <c r="A597" t="s">
        <v>1117</v>
      </c>
      <c r="B597" t="s">
        <v>1118</v>
      </c>
      <c r="C597" s="1">
        <v>45601</v>
      </c>
      <c r="D597" t="s">
        <v>41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27</v>
      </c>
      <c r="K597">
        <v>0</v>
      </c>
      <c r="L597">
        <v>0</v>
      </c>
      <c r="M597" t="str" cm="1">
        <f t="array" ref="M597">_xlfn.IFS(I597&lt;25,"0-25",I597&lt;50,"25-50",I597&lt;75,"50-75",I597&lt;100,"75-100",I597&lt;125,"100-125",I597&gt;=125,"125+")</f>
        <v>50-75</v>
      </c>
    </row>
    <row r="598" spans="1:13" x14ac:dyDescent="0.25">
      <c r="A598" t="s">
        <v>1119</v>
      </c>
      <c r="B598" t="s">
        <v>1118</v>
      </c>
      <c r="C598" s="1">
        <v>45694</v>
      </c>
      <c r="D598" t="s">
        <v>47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18</v>
      </c>
      <c r="K598">
        <v>31</v>
      </c>
      <c r="L598">
        <v>1</v>
      </c>
      <c r="M598" t="str" cm="1">
        <f t="array" ref="M598">_xlfn.IFS(I598&lt;25,"0-25",I598&lt;50,"25-50",I598&lt;75,"50-75",I598&lt;100,"75-100",I598&lt;125,"100-125",I598&gt;=125,"125+")</f>
        <v>50-75</v>
      </c>
    </row>
    <row r="599" spans="1:13" x14ac:dyDescent="0.25">
      <c r="A599" t="s">
        <v>1120</v>
      </c>
      <c r="B599" t="s">
        <v>1121</v>
      </c>
      <c r="C599" s="1">
        <v>45401</v>
      </c>
      <c r="D599" t="s">
        <v>21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27</v>
      </c>
      <c r="K599">
        <v>0</v>
      </c>
      <c r="L599">
        <v>0</v>
      </c>
      <c r="M599" t="str" cm="1">
        <f t="array" ref="M599">_xlfn.IFS(I599&lt;25,"0-25",I599&lt;50,"25-50",I599&lt;75,"50-75",I599&lt;100,"75-100",I599&lt;125,"100-125",I599&gt;=125,"125+")</f>
        <v>25-50</v>
      </c>
    </row>
    <row r="600" spans="1:13" x14ac:dyDescent="0.25">
      <c r="A600" t="s">
        <v>1122</v>
      </c>
      <c r="B600" t="s">
        <v>1123</v>
      </c>
      <c r="C600" s="1">
        <v>45346</v>
      </c>
      <c r="D600" t="s">
        <v>30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27</v>
      </c>
      <c r="K600">
        <v>0</v>
      </c>
      <c r="L600">
        <v>0</v>
      </c>
      <c r="M600" t="str" cm="1">
        <f t="array" ref="M600">_xlfn.IFS(I600&lt;25,"0-25",I600&lt;50,"25-50",I600&lt;75,"50-75",I600&lt;100,"75-100",I600&lt;125,"100-125",I600&gt;=125,"125+")</f>
        <v>25-50</v>
      </c>
    </row>
    <row r="601" spans="1:13" x14ac:dyDescent="0.25">
      <c r="A601" t="s">
        <v>1124</v>
      </c>
      <c r="B601" t="s">
        <v>1125</v>
      </c>
      <c r="C601" s="1">
        <v>45610</v>
      </c>
      <c r="D601" t="s">
        <v>33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62</v>
      </c>
      <c r="K601">
        <v>15</v>
      </c>
      <c r="L601">
        <v>0</v>
      </c>
      <c r="M601" t="str" cm="1">
        <f t="array" ref="M601">_xlfn.IFS(I601&lt;25,"0-25",I601&lt;50,"25-50",I601&lt;75,"50-75",I601&lt;100,"75-100",I601&lt;125,"100-125",I601&gt;=125,"125+")</f>
        <v>50-75</v>
      </c>
    </row>
    <row r="602" spans="1:13" x14ac:dyDescent="0.25">
      <c r="A602" t="s">
        <v>1126</v>
      </c>
      <c r="B602" t="s">
        <v>1125</v>
      </c>
      <c r="C602" s="1">
        <v>45415</v>
      </c>
      <c r="D602" t="s">
        <v>47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27</v>
      </c>
      <c r="K602">
        <v>0</v>
      </c>
      <c r="L602">
        <v>0</v>
      </c>
      <c r="M602" t="str" cm="1">
        <f t="array" ref="M602">_xlfn.IFS(I602&lt;25,"0-25",I602&lt;50,"25-50",I602&lt;75,"50-75",I602&lt;100,"75-100",I602&lt;125,"100-125",I602&gt;=125,"125+")</f>
        <v>50-75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2FDB-EAF9-42F9-B9DB-CF0B7610AD7C}">
  <dimension ref="A1:Y602"/>
  <sheetViews>
    <sheetView zoomScaleNormal="100" workbookViewId="0">
      <selection activeCell="W18" sqref="W18"/>
    </sheetView>
  </sheetViews>
  <sheetFormatPr defaultRowHeight="15" x14ac:dyDescent="0.25"/>
  <cols>
    <col min="3" max="3" width="16" bestFit="1" customWidth="1"/>
    <col min="4" max="4" width="18.42578125" bestFit="1" customWidth="1"/>
    <col min="5" max="5" width="12.7109375" bestFit="1" customWidth="1"/>
    <col min="6" max="6" width="12.5703125" bestFit="1" customWidth="1"/>
    <col min="7" max="7" width="11.85546875" bestFit="1" customWidth="1"/>
    <col min="8" max="8" width="16.7109375" bestFit="1" customWidth="1"/>
    <col min="10" max="10" width="11.28515625" bestFit="1" customWidth="1"/>
    <col min="11" max="11" width="15.5703125" bestFit="1" customWidth="1"/>
    <col min="14" max="14" width="13.42578125" bestFit="1" customWidth="1"/>
    <col min="15" max="15" width="22.85546875" bestFit="1" customWidth="1"/>
    <col min="16" max="16" width="18.85546875" bestFit="1" customWidth="1"/>
    <col min="17" max="17" width="19.140625" bestFit="1" customWidth="1"/>
    <col min="18" max="18" width="14.85546875" bestFit="1" customWidth="1"/>
    <col min="19" max="19" width="8.7109375" bestFit="1" customWidth="1"/>
    <col min="20" max="20" width="10" bestFit="1" customWidth="1"/>
    <col min="21" max="21" width="14" bestFit="1" customWidth="1"/>
    <col min="22" max="22" width="9.85546875" bestFit="1" customWidth="1"/>
    <col min="23" max="23" width="19.28515625" bestFit="1" customWidth="1"/>
    <col min="24" max="24" width="9" bestFit="1" customWidth="1"/>
    <col min="25" max="25" width="12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2" t="s">
        <v>0</v>
      </c>
      <c r="O1" t="s">
        <v>1139</v>
      </c>
    </row>
    <row r="2" spans="1:25" x14ac:dyDescent="0.25">
      <c r="A2" t="s">
        <v>12</v>
      </c>
      <c r="B2" t="s">
        <v>13</v>
      </c>
      <c r="C2" s="1">
        <v>45299</v>
      </c>
      <c r="D2" t="s">
        <v>14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15</v>
      </c>
      <c r="K2">
        <v>0</v>
      </c>
      <c r="L2">
        <v>0</v>
      </c>
    </row>
    <row r="3" spans="1:25" x14ac:dyDescent="0.25">
      <c r="A3" t="s">
        <v>16</v>
      </c>
      <c r="B3" t="s">
        <v>13</v>
      </c>
      <c r="C3" s="1">
        <v>45517</v>
      </c>
      <c r="D3" t="s">
        <v>17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18</v>
      </c>
      <c r="K3">
        <v>138</v>
      </c>
      <c r="L3">
        <v>1</v>
      </c>
      <c r="O3" s="2" t="s">
        <v>1138</v>
      </c>
    </row>
    <row r="4" spans="1:25" x14ac:dyDescent="0.25">
      <c r="A4" t="s">
        <v>19</v>
      </c>
      <c r="B4" t="s">
        <v>20</v>
      </c>
      <c r="C4" s="1">
        <v>45836</v>
      </c>
      <c r="D4" t="s">
        <v>21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15</v>
      </c>
      <c r="K4">
        <v>0</v>
      </c>
      <c r="L4">
        <v>0</v>
      </c>
      <c r="O4" t="s">
        <v>33</v>
      </c>
      <c r="P4" t="s">
        <v>21</v>
      </c>
      <c r="Q4" t="s">
        <v>41</v>
      </c>
      <c r="R4" t="s">
        <v>17</v>
      </c>
      <c r="S4" t="s">
        <v>14</v>
      </c>
      <c r="T4" t="s">
        <v>30</v>
      </c>
      <c r="U4" t="s">
        <v>38</v>
      </c>
      <c r="V4" t="s">
        <v>24</v>
      </c>
      <c r="W4" t="s">
        <v>36</v>
      </c>
      <c r="X4" t="s">
        <v>47</v>
      </c>
      <c r="Y4" t="s">
        <v>1136</v>
      </c>
    </row>
    <row r="5" spans="1:25" x14ac:dyDescent="0.25">
      <c r="A5" t="s">
        <v>22</v>
      </c>
      <c r="B5" t="s">
        <v>23</v>
      </c>
      <c r="C5" s="1">
        <v>45795</v>
      </c>
      <c r="D5" t="s">
        <v>24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18</v>
      </c>
      <c r="K5">
        <v>34</v>
      </c>
      <c r="L5">
        <v>1</v>
      </c>
      <c r="N5" t="s">
        <v>1137</v>
      </c>
      <c r="O5" s="6">
        <v>0.20588235294117646</v>
      </c>
      <c r="P5" s="6">
        <v>0.21428571428571427</v>
      </c>
      <c r="Q5" s="6">
        <v>0.21568627450980393</v>
      </c>
      <c r="R5" s="6">
        <v>0.22058823529411764</v>
      </c>
      <c r="S5" s="6">
        <v>0.22580645161290322</v>
      </c>
      <c r="T5" s="6">
        <v>0.22641509433962265</v>
      </c>
      <c r="U5" s="6">
        <v>0.2413793103448276</v>
      </c>
      <c r="V5" s="6">
        <v>0.2711864406779661</v>
      </c>
      <c r="W5" s="6">
        <v>0.2857142857142857</v>
      </c>
      <c r="X5" s="6">
        <v>0.32142857142857145</v>
      </c>
      <c r="Y5">
        <v>0.24292845257903495</v>
      </c>
    </row>
    <row r="6" spans="1:25" x14ac:dyDescent="0.25">
      <c r="A6" t="s">
        <v>25</v>
      </c>
      <c r="B6" t="s">
        <v>26</v>
      </c>
      <c r="C6" s="1">
        <v>45740</v>
      </c>
      <c r="D6" t="s">
        <v>21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27</v>
      </c>
      <c r="K6">
        <v>0</v>
      </c>
      <c r="L6">
        <v>0</v>
      </c>
    </row>
    <row r="7" spans="1:25" x14ac:dyDescent="0.25">
      <c r="A7" t="s">
        <v>28</v>
      </c>
      <c r="B7" t="s">
        <v>29</v>
      </c>
      <c r="C7" s="1">
        <v>45766</v>
      </c>
      <c r="D7" t="s">
        <v>30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27</v>
      </c>
      <c r="K7">
        <v>0</v>
      </c>
      <c r="L7">
        <v>0</v>
      </c>
    </row>
    <row r="8" spans="1:25" x14ac:dyDescent="0.25">
      <c r="A8" t="s">
        <v>31</v>
      </c>
      <c r="B8" t="s">
        <v>32</v>
      </c>
      <c r="C8" s="1">
        <v>45477</v>
      </c>
      <c r="D8" t="s">
        <v>33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15</v>
      </c>
      <c r="K8">
        <v>0</v>
      </c>
      <c r="L8">
        <v>0</v>
      </c>
    </row>
    <row r="9" spans="1:25" x14ac:dyDescent="0.25">
      <c r="A9" t="s">
        <v>34</v>
      </c>
      <c r="B9" t="s">
        <v>35</v>
      </c>
      <c r="C9" s="1">
        <v>45745</v>
      </c>
      <c r="D9" t="s">
        <v>36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18</v>
      </c>
      <c r="K9">
        <v>38</v>
      </c>
      <c r="L9">
        <v>1</v>
      </c>
    </row>
    <row r="10" spans="1:25" x14ac:dyDescent="0.25">
      <c r="A10" t="s">
        <v>37</v>
      </c>
      <c r="B10" t="s">
        <v>35</v>
      </c>
      <c r="C10" s="1">
        <v>45505</v>
      </c>
      <c r="D10" t="s">
        <v>38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27</v>
      </c>
      <c r="K10">
        <v>0</v>
      </c>
      <c r="L10">
        <v>0</v>
      </c>
    </row>
    <row r="11" spans="1:25" x14ac:dyDescent="0.25">
      <c r="A11" t="s">
        <v>39</v>
      </c>
      <c r="B11" t="s">
        <v>40</v>
      </c>
      <c r="C11" s="1">
        <v>45597</v>
      </c>
      <c r="D11" t="s">
        <v>41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18</v>
      </c>
      <c r="K11">
        <v>43</v>
      </c>
      <c r="L11">
        <v>1</v>
      </c>
    </row>
    <row r="12" spans="1:25" x14ac:dyDescent="0.25">
      <c r="A12" t="s">
        <v>42</v>
      </c>
      <c r="B12" t="s">
        <v>43</v>
      </c>
      <c r="C12" s="1">
        <v>45463</v>
      </c>
      <c r="D12" t="s">
        <v>38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27</v>
      </c>
      <c r="K12">
        <v>0</v>
      </c>
      <c r="L12">
        <v>0</v>
      </c>
    </row>
    <row r="13" spans="1:25" x14ac:dyDescent="0.25">
      <c r="A13" t="s">
        <v>44</v>
      </c>
      <c r="B13" t="s">
        <v>43</v>
      </c>
      <c r="C13" s="1">
        <v>45450</v>
      </c>
      <c r="D13" t="s">
        <v>38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27</v>
      </c>
      <c r="K13">
        <v>0</v>
      </c>
      <c r="L13">
        <v>0</v>
      </c>
    </row>
    <row r="14" spans="1:25" x14ac:dyDescent="0.25">
      <c r="A14" t="s">
        <v>45</v>
      </c>
      <c r="B14" t="s">
        <v>46</v>
      </c>
      <c r="C14" s="1">
        <v>45449</v>
      </c>
      <c r="D14" t="s">
        <v>47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27</v>
      </c>
      <c r="K14">
        <v>0</v>
      </c>
      <c r="L14">
        <v>0</v>
      </c>
    </row>
    <row r="15" spans="1:25" x14ac:dyDescent="0.25">
      <c r="A15" t="s">
        <v>48</v>
      </c>
      <c r="B15" t="s">
        <v>49</v>
      </c>
      <c r="C15" s="1">
        <v>45313</v>
      </c>
      <c r="D15" t="s">
        <v>21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27</v>
      </c>
      <c r="K15">
        <v>0</v>
      </c>
      <c r="L15">
        <v>0</v>
      </c>
    </row>
    <row r="16" spans="1:25" x14ac:dyDescent="0.25">
      <c r="A16" t="s">
        <v>50</v>
      </c>
      <c r="B16" t="s">
        <v>51</v>
      </c>
      <c r="C16" s="1">
        <v>45486</v>
      </c>
      <c r="D16" t="s">
        <v>14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27</v>
      </c>
      <c r="K16">
        <v>0</v>
      </c>
      <c r="L16">
        <v>0</v>
      </c>
    </row>
    <row r="17" spans="1:17" x14ac:dyDescent="0.25">
      <c r="A17" t="s">
        <v>52</v>
      </c>
      <c r="B17" t="s">
        <v>51</v>
      </c>
      <c r="C17" s="1">
        <v>45835</v>
      </c>
      <c r="D17" t="s">
        <v>14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18</v>
      </c>
      <c r="K17">
        <v>105</v>
      </c>
      <c r="L17">
        <v>1</v>
      </c>
    </row>
    <row r="18" spans="1:17" x14ac:dyDescent="0.25">
      <c r="A18" t="s">
        <v>53</v>
      </c>
      <c r="B18" t="s">
        <v>54</v>
      </c>
      <c r="C18" s="1">
        <v>45481</v>
      </c>
      <c r="D18" t="s">
        <v>21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27</v>
      </c>
      <c r="K18">
        <v>0</v>
      </c>
      <c r="L18">
        <v>0</v>
      </c>
    </row>
    <row r="19" spans="1:17" x14ac:dyDescent="0.25">
      <c r="A19" t="s">
        <v>55</v>
      </c>
      <c r="B19" t="s">
        <v>54</v>
      </c>
      <c r="C19" s="1">
        <v>45486</v>
      </c>
      <c r="D19" t="s">
        <v>47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27</v>
      </c>
      <c r="K19">
        <v>0</v>
      </c>
      <c r="L19">
        <v>0</v>
      </c>
    </row>
    <row r="20" spans="1:17" x14ac:dyDescent="0.25">
      <c r="A20" t="s">
        <v>56</v>
      </c>
      <c r="B20" t="s">
        <v>57</v>
      </c>
      <c r="C20" s="1">
        <v>45360</v>
      </c>
      <c r="D20" t="s">
        <v>30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18</v>
      </c>
      <c r="K20">
        <v>63</v>
      </c>
      <c r="L20">
        <v>1</v>
      </c>
    </row>
    <row r="21" spans="1:17" x14ac:dyDescent="0.25">
      <c r="A21" t="s">
        <v>58</v>
      </c>
      <c r="B21" t="s">
        <v>59</v>
      </c>
      <c r="C21" s="1">
        <v>45689</v>
      </c>
      <c r="D21" t="s">
        <v>41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15</v>
      </c>
      <c r="K21">
        <v>0</v>
      </c>
      <c r="L21">
        <v>0</v>
      </c>
    </row>
    <row r="22" spans="1:17" x14ac:dyDescent="0.25">
      <c r="A22" t="s">
        <v>60</v>
      </c>
      <c r="B22" t="s">
        <v>61</v>
      </c>
      <c r="C22" s="1">
        <v>45505</v>
      </c>
      <c r="D22" t="s">
        <v>30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62</v>
      </c>
      <c r="K22">
        <v>15</v>
      </c>
      <c r="L22">
        <v>0</v>
      </c>
    </row>
    <row r="23" spans="1:17" x14ac:dyDescent="0.25">
      <c r="A23" t="s">
        <v>63</v>
      </c>
      <c r="B23" t="s">
        <v>64</v>
      </c>
      <c r="C23" s="1">
        <v>45351</v>
      </c>
      <c r="D23" t="s">
        <v>41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27</v>
      </c>
      <c r="K23">
        <v>0</v>
      </c>
      <c r="L23">
        <v>0</v>
      </c>
    </row>
    <row r="24" spans="1:17" x14ac:dyDescent="0.25">
      <c r="A24" t="s">
        <v>65</v>
      </c>
      <c r="B24" t="s">
        <v>66</v>
      </c>
      <c r="C24" s="1">
        <v>45528</v>
      </c>
      <c r="D24" t="s">
        <v>24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27</v>
      </c>
      <c r="K24">
        <v>0</v>
      </c>
      <c r="L24">
        <v>0</v>
      </c>
    </row>
    <row r="25" spans="1:17" x14ac:dyDescent="0.25">
      <c r="A25" t="s">
        <v>67</v>
      </c>
      <c r="B25" t="s">
        <v>68</v>
      </c>
      <c r="C25" s="1">
        <v>45658</v>
      </c>
      <c r="D25" t="s">
        <v>33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27</v>
      </c>
      <c r="K25">
        <v>0</v>
      </c>
      <c r="L25">
        <v>0</v>
      </c>
      <c r="N25" s="2" t="s">
        <v>18</v>
      </c>
      <c r="O25" t="s">
        <v>1148</v>
      </c>
      <c r="P25" t="s">
        <v>1149</v>
      </c>
      <c r="Q25" t="s">
        <v>1147</v>
      </c>
    </row>
    <row r="26" spans="1:17" x14ac:dyDescent="0.25">
      <c r="A26" t="s">
        <v>69</v>
      </c>
      <c r="B26" t="s">
        <v>70</v>
      </c>
      <c r="C26" s="1">
        <v>45745</v>
      </c>
      <c r="D26" t="s">
        <v>33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62</v>
      </c>
      <c r="K26">
        <v>15</v>
      </c>
      <c r="L26">
        <v>0</v>
      </c>
      <c r="N26" s="3">
        <v>1</v>
      </c>
      <c r="O26" s="5">
        <v>22570.547945205479</v>
      </c>
      <c r="P26" s="5">
        <v>2400</v>
      </c>
      <c r="Q26" s="5">
        <v>49700</v>
      </c>
    </row>
    <row r="27" spans="1:17" x14ac:dyDescent="0.25">
      <c r="A27" t="s">
        <v>71</v>
      </c>
      <c r="B27" t="s">
        <v>72</v>
      </c>
      <c r="C27" s="1">
        <v>45511</v>
      </c>
      <c r="D27" t="s">
        <v>30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18</v>
      </c>
      <c r="K27">
        <v>170</v>
      </c>
      <c r="L27">
        <v>1</v>
      </c>
      <c r="N27" s="3">
        <v>0</v>
      </c>
      <c r="O27" s="5">
        <v>22012.747252747253</v>
      </c>
      <c r="P27" s="5">
        <v>2000</v>
      </c>
      <c r="Q27" s="5">
        <v>49800</v>
      </c>
    </row>
    <row r="28" spans="1:17" x14ac:dyDescent="0.25">
      <c r="A28" t="s">
        <v>73</v>
      </c>
      <c r="B28" t="s">
        <v>72</v>
      </c>
      <c r="C28" s="1">
        <v>45327</v>
      </c>
      <c r="D28" t="s">
        <v>24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27</v>
      </c>
      <c r="K28">
        <v>0</v>
      </c>
      <c r="L28">
        <v>0</v>
      </c>
      <c r="N28" s="3" t="s">
        <v>1136</v>
      </c>
      <c r="O28" s="5">
        <v>22148.252911813644</v>
      </c>
      <c r="P28">
        <v>2000</v>
      </c>
      <c r="Q28">
        <v>49800</v>
      </c>
    </row>
    <row r="29" spans="1:17" x14ac:dyDescent="0.25">
      <c r="A29" t="s">
        <v>74</v>
      </c>
      <c r="B29" t="s">
        <v>75</v>
      </c>
      <c r="C29" s="1">
        <v>45314</v>
      </c>
      <c r="D29" t="s">
        <v>24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62</v>
      </c>
      <c r="K29">
        <v>15</v>
      </c>
      <c r="L29">
        <v>0</v>
      </c>
    </row>
    <row r="30" spans="1:17" x14ac:dyDescent="0.25">
      <c r="A30" t="s">
        <v>76</v>
      </c>
      <c r="B30" t="s">
        <v>75</v>
      </c>
      <c r="C30" s="1">
        <v>45330</v>
      </c>
      <c r="D30" t="s">
        <v>21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27</v>
      </c>
      <c r="K30">
        <v>0</v>
      </c>
      <c r="L30">
        <v>0</v>
      </c>
    </row>
    <row r="31" spans="1:17" x14ac:dyDescent="0.25">
      <c r="A31" t="s">
        <v>77</v>
      </c>
      <c r="B31" t="s">
        <v>78</v>
      </c>
      <c r="C31" s="1">
        <v>45514</v>
      </c>
      <c r="D31" t="s">
        <v>38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15</v>
      </c>
      <c r="K31">
        <v>0</v>
      </c>
      <c r="L31">
        <v>0</v>
      </c>
    </row>
    <row r="32" spans="1:17" x14ac:dyDescent="0.25">
      <c r="A32" t="s">
        <v>79</v>
      </c>
      <c r="B32" t="s">
        <v>78</v>
      </c>
      <c r="C32" s="1">
        <v>45389</v>
      </c>
      <c r="D32" t="s">
        <v>33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15</v>
      </c>
      <c r="K32">
        <v>0</v>
      </c>
      <c r="L32">
        <v>0</v>
      </c>
    </row>
    <row r="33" spans="1:12" x14ac:dyDescent="0.25">
      <c r="A33" t="s">
        <v>80</v>
      </c>
      <c r="B33" t="s">
        <v>81</v>
      </c>
      <c r="C33" s="1">
        <v>45736</v>
      </c>
      <c r="D33" t="s">
        <v>36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62</v>
      </c>
      <c r="K33">
        <v>15</v>
      </c>
      <c r="L33">
        <v>0</v>
      </c>
    </row>
    <row r="34" spans="1:12" x14ac:dyDescent="0.25">
      <c r="A34" t="s">
        <v>82</v>
      </c>
      <c r="B34" t="s">
        <v>83</v>
      </c>
      <c r="C34" s="1">
        <v>45828</v>
      </c>
      <c r="D34" t="s">
        <v>47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18</v>
      </c>
      <c r="K34">
        <v>168</v>
      </c>
      <c r="L34">
        <v>1</v>
      </c>
    </row>
    <row r="35" spans="1:12" x14ac:dyDescent="0.25">
      <c r="A35" t="s">
        <v>84</v>
      </c>
      <c r="B35" t="s">
        <v>85</v>
      </c>
      <c r="C35" s="1">
        <v>45694</v>
      </c>
      <c r="D35" t="s">
        <v>30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27</v>
      </c>
      <c r="K35">
        <v>0</v>
      </c>
      <c r="L35">
        <v>0</v>
      </c>
    </row>
    <row r="36" spans="1:12" x14ac:dyDescent="0.25">
      <c r="A36" t="s">
        <v>86</v>
      </c>
      <c r="B36" t="s">
        <v>87</v>
      </c>
      <c r="C36" s="1">
        <v>45779</v>
      </c>
      <c r="D36" t="s">
        <v>17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27</v>
      </c>
      <c r="K36">
        <v>0</v>
      </c>
      <c r="L36">
        <v>0</v>
      </c>
    </row>
    <row r="37" spans="1:12" x14ac:dyDescent="0.25">
      <c r="A37" t="s">
        <v>88</v>
      </c>
      <c r="B37" t="s">
        <v>89</v>
      </c>
      <c r="C37" s="1">
        <v>45494</v>
      </c>
      <c r="D37" t="s">
        <v>21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27</v>
      </c>
      <c r="K37">
        <v>0</v>
      </c>
      <c r="L37">
        <v>0</v>
      </c>
    </row>
    <row r="38" spans="1:12" x14ac:dyDescent="0.25">
      <c r="A38" t="s">
        <v>90</v>
      </c>
      <c r="B38" t="s">
        <v>91</v>
      </c>
      <c r="C38" s="1">
        <v>45383</v>
      </c>
      <c r="D38" t="s">
        <v>21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18</v>
      </c>
      <c r="K38">
        <v>135</v>
      </c>
      <c r="L38">
        <v>1</v>
      </c>
    </row>
    <row r="39" spans="1:12" x14ac:dyDescent="0.25">
      <c r="A39" t="s">
        <v>92</v>
      </c>
      <c r="B39" t="s">
        <v>93</v>
      </c>
      <c r="C39" s="1">
        <v>45465</v>
      </c>
      <c r="D39" t="s">
        <v>30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15</v>
      </c>
      <c r="K39">
        <v>0</v>
      </c>
      <c r="L39">
        <v>0</v>
      </c>
    </row>
    <row r="40" spans="1:12" x14ac:dyDescent="0.25">
      <c r="A40" t="s">
        <v>94</v>
      </c>
      <c r="B40" t="s">
        <v>95</v>
      </c>
      <c r="C40" s="1">
        <v>45674</v>
      </c>
      <c r="D40" t="s">
        <v>33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27</v>
      </c>
      <c r="K40">
        <v>0</v>
      </c>
      <c r="L40">
        <v>0</v>
      </c>
    </row>
    <row r="41" spans="1:12" x14ac:dyDescent="0.25">
      <c r="A41" t="s">
        <v>96</v>
      </c>
      <c r="B41" t="s">
        <v>97</v>
      </c>
      <c r="C41" s="1">
        <v>45405</v>
      </c>
      <c r="D41" t="s">
        <v>38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27</v>
      </c>
      <c r="K41">
        <v>0</v>
      </c>
      <c r="L41">
        <v>0</v>
      </c>
    </row>
    <row r="42" spans="1:12" x14ac:dyDescent="0.25">
      <c r="A42" t="s">
        <v>98</v>
      </c>
      <c r="B42" t="s">
        <v>99</v>
      </c>
      <c r="C42" s="1">
        <v>45436</v>
      </c>
      <c r="D42" t="s">
        <v>38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27</v>
      </c>
      <c r="K42">
        <v>0</v>
      </c>
      <c r="L42">
        <v>0</v>
      </c>
    </row>
    <row r="43" spans="1:12" x14ac:dyDescent="0.25">
      <c r="A43" t="s">
        <v>100</v>
      </c>
      <c r="B43" t="s">
        <v>101</v>
      </c>
      <c r="C43" s="1">
        <v>45569</v>
      </c>
      <c r="D43" t="s">
        <v>21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18</v>
      </c>
      <c r="K43">
        <v>32</v>
      </c>
      <c r="L43">
        <v>1</v>
      </c>
    </row>
    <row r="44" spans="1:12" x14ac:dyDescent="0.25">
      <c r="A44" t="s">
        <v>102</v>
      </c>
      <c r="B44" t="s">
        <v>101</v>
      </c>
      <c r="C44" s="1">
        <v>45311</v>
      </c>
      <c r="D44" t="s">
        <v>36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62</v>
      </c>
      <c r="K44">
        <v>15</v>
      </c>
      <c r="L44">
        <v>0</v>
      </c>
    </row>
    <row r="45" spans="1:12" x14ac:dyDescent="0.25">
      <c r="A45" t="s">
        <v>103</v>
      </c>
      <c r="B45" t="s">
        <v>104</v>
      </c>
      <c r="C45" s="1">
        <v>45836</v>
      </c>
      <c r="D45" t="s">
        <v>21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18</v>
      </c>
      <c r="K45">
        <v>80</v>
      </c>
      <c r="L45">
        <v>1</v>
      </c>
    </row>
    <row r="46" spans="1:12" x14ac:dyDescent="0.25">
      <c r="A46" t="s">
        <v>105</v>
      </c>
      <c r="B46" t="s">
        <v>104</v>
      </c>
      <c r="C46" s="1">
        <v>45834</v>
      </c>
      <c r="D46" t="s">
        <v>21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18</v>
      </c>
      <c r="K46">
        <v>155</v>
      </c>
      <c r="L46">
        <v>1</v>
      </c>
    </row>
    <row r="47" spans="1:12" x14ac:dyDescent="0.25">
      <c r="A47" t="s">
        <v>106</v>
      </c>
      <c r="B47" t="s">
        <v>107</v>
      </c>
      <c r="C47" s="1">
        <v>45533</v>
      </c>
      <c r="D47" t="s">
        <v>33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62</v>
      </c>
      <c r="K47">
        <v>30</v>
      </c>
      <c r="L47">
        <v>0</v>
      </c>
    </row>
    <row r="48" spans="1:12" x14ac:dyDescent="0.25">
      <c r="A48" t="s">
        <v>108</v>
      </c>
      <c r="B48" t="s">
        <v>109</v>
      </c>
      <c r="C48" s="1">
        <v>45578</v>
      </c>
      <c r="D48" t="s">
        <v>24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18</v>
      </c>
      <c r="K48">
        <v>117</v>
      </c>
      <c r="L48">
        <v>1</v>
      </c>
    </row>
    <row r="49" spans="1:12" x14ac:dyDescent="0.25">
      <c r="A49" t="s">
        <v>110</v>
      </c>
      <c r="B49" t="s">
        <v>111</v>
      </c>
      <c r="C49" s="1">
        <v>45524</v>
      </c>
      <c r="D49" t="s">
        <v>33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27</v>
      </c>
      <c r="K49">
        <v>0</v>
      </c>
      <c r="L49">
        <v>0</v>
      </c>
    </row>
    <row r="50" spans="1:12" x14ac:dyDescent="0.25">
      <c r="A50" t="s">
        <v>112</v>
      </c>
      <c r="B50" t="s">
        <v>111</v>
      </c>
      <c r="C50" s="1">
        <v>45433</v>
      </c>
      <c r="D50" t="s">
        <v>24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27</v>
      </c>
      <c r="K50">
        <v>0</v>
      </c>
      <c r="L50">
        <v>0</v>
      </c>
    </row>
    <row r="51" spans="1:12" x14ac:dyDescent="0.25">
      <c r="A51" t="s">
        <v>113</v>
      </c>
      <c r="B51" t="s">
        <v>114</v>
      </c>
      <c r="C51" s="1">
        <v>45453</v>
      </c>
      <c r="D51" t="s">
        <v>21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15</v>
      </c>
      <c r="K51">
        <v>0</v>
      </c>
      <c r="L51">
        <v>0</v>
      </c>
    </row>
    <row r="52" spans="1:12" x14ac:dyDescent="0.25">
      <c r="A52" t="s">
        <v>115</v>
      </c>
      <c r="B52" t="s">
        <v>116</v>
      </c>
      <c r="C52" s="1">
        <v>45715</v>
      </c>
      <c r="D52" t="s">
        <v>30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15</v>
      </c>
      <c r="K52">
        <v>0</v>
      </c>
      <c r="L52">
        <v>0</v>
      </c>
    </row>
    <row r="53" spans="1:12" x14ac:dyDescent="0.25">
      <c r="A53" t="s">
        <v>117</v>
      </c>
      <c r="B53" t="s">
        <v>118</v>
      </c>
      <c r="C53" s="1">
        <v>45565</v>
      </c>
      <c r="D53" t="s">
        <v>24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27</v>
      </c>
      <c r="K53">
        <v>0</v>
      </c>
      <c r="L53">
        <v>0</v>
      </c>
    </row>
    <row r="54" spans="1:12" x14ac:dyDescent="0.25">
      <c r="A54" t="s">
        <v>119</v>
      </c>
      <c r="B54" t="s">
        <v>118</v>
      </c>
      <c r="C54" s="1">
        <v>45772</v>
      </c>
      <c r="D54" t="s">
        <v>38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15</v>
      </c>
      <c r="K54">
        <v>0</v>
      </c>
      <c r="L54">
        <v>0</v>
      </c>
    </row>
    <row r="55" spans="1:12" x14ac:dyDescent="0.25">
      <c r="A55" t="s">
        <v>120</v>
      </c>
      <c r="B55" t="s">
        <v>121</v>
      </c>
      <c r="C55" s="1">
        <v>45307</v>
      </c>
      <c r="D55" t="s">
        <v>33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62</v>
      </c>
      <c r="K55">
        <v>30</v>
      </c>
      <c r="L55">
        <v>0</v>
      </c>
    </row>
    <row r="56" spans="1:12" x14ac:dyDescent="0.25">
      <c r="A56" t="s">
        <v>122</v>
      </c>
      <c r="B56" t="s">
        <v>123</v>
      </c>
      <c r="C56" s="1">
        <v>45793</v>
      </c>
      <c r="D56" t="s">
        <v>38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62</v>
      </c>
      <c r="K56">
        <v>15</v>
      </c>
      <c r="L56">
        <v>0</v>
      </c>
    </row>
    <row r="57" spans="1:12" x14ac:dyDescent="0.25">
      <c r="A57" t="s">
        <v>124</v>
      </c>
      <c r="B57" t="s">
        <v>125</v>
      </c>
      <c r="C57" s="1">
        <v>45829</v>
      </c>
      <c r="D57" t="s">
        <v>41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27</v>
      </c>
      <c r="K57">
        <v>0</v>
      </c>
      <c r="L57">
        <v>0</v>
      </c>
    </row>
    <row r="58" spans="1:12" x14ac:dyDescent="0.25">
      <c r="A58" t="s">
        <v>126</v>
      </c>
      <c r="B58" t="s">
        <v>127</v>
      </c>
      <c r="C58" s="1">
        <v>45697</v>
      </c>
      <c r="D58" t="s">
        <v>14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27</v>
      </c>
      <c r="K58">
        <v>0</v>
      </c>
      <c r="L58">
        <v>0</v>
      </c>
    </row>
    <row r="59" spans="1:12" x14ac:dyDescent="0.25">
      <c r="A59" t="s">
        <v>128</v>
      </c>
      <c r="B59" t="s">
        <v>129</v>
      </c>
      <c r="C59" s="1">
        <v>45584</v>
      </c>
      <c r="D59" t="s">
        <v>41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62</v>
      </c>
      <c r="K59">
        <v>0</v>
      </c>
      <c r="L59">
        <v>0</v>
      </c>
    </row>
    <row r="60" spans="1:12" x14ac:dyDescent="0.25">
      <c r="A60" t="s">
        <v>130</v>
      </c>
      <c r="B60" t="s">
        <v>131</v>
      </c>
      <c r="C60" s="1">
        <v>45804</v>
      </c>
      <c r="D60" t="s">
        <v>21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15</v>
      </c>
      <c r="K60">
        <v>0</v>
      </c>
      <c r="L60">
        <v>0</v>
      </c>
    </row>
    <row r="61" spans="1:12" x14ac:dyDescent="0.25">
      <c r="A61" t="s">
        <v>132</v>
      </c>
      <c r="B61" t="s">
        <v>133</v>
      </c>
      <c r="C61" s="1">
        <v>45498</v>
      </c>
      <c r="D61" t="s">
        <v>33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27</v>
      </c>
      <c r="K61">
        <v>0</v>
      </c>
      <c r="L61">
        <v>0</v>
      </c>
    </row>
    <row r="62" spans="1:12" x14ac:dyDescent="0.25">
      <c r="A62" t="s">
        <v>134</v>
      </c>
      <c r="B62" t="s">
        <v>135</v>
      </c>
      <c r="C62" s="1">
        <v>45663</v>
      </c>
      <c r="D62" t="s">
        <v>33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18</v>
      </c>
      <c r="K62">
        <v>128</v>
      </c>
      <c r="L62">
        <v>1</v>
      </c>
    </row>
    <row r="63" spans="1:12" x14ac:dyDescent="0.25">
      <c r="A63" t="s">
        <v>136</v>
      </c>
      <c r="B63" t="s">
        <v>137</v>
      </c>
      <c r="C63" s="1">
        <v>45466</v>
      </c>
      <c r="D63" t="s">
        <v>21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62</v>
      </c>
      <c r="K63">
        <v>0</v>
      </c>
      <c r="L63">
        <v>0</v>
      </c>
    </row>
    <row r="64" spans="1:12" x14ac:dyDescent="0.25">
      <c r="A64" t="s">
        <v>138</v>
      </c>
      <c r="B64" t="s">
        <v>139</v>
      </c>
      <c r="C64" s="1">
        <v>45748</v>
      </c>
      <c r="D64" t="s">
        <v>33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15</v>
      </c>
      <c r="K64">
        <v>0</v>
      </c>
      <c r="L64">
        <v>0</v>
      </c>
    </row>
    <row r="65" spans="1:12" x14ac:dyDescent="0.25">
      <c r="A65" t="s">
        <v>140</v>
      </c>
      <c r="B65" t="s">
        <v>141</v>
      </c>
      <c r="C65" s="1">
        <v>45802</v>
      </c>
      <c r="D65" t="s">
        <v>41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15</v>
      </c>
      <c r="K65">
        <v>0</v>
      </c>
      <c r="L65">
        <v>0</v>
      </c>
    </row>
    <row r="66" spans="1:12" x14ac:dyDescent="0.25">
      <c r="A66" t="s">
        <v>142</v>
      </c>
      <c r="B66" t="s">
        <v>141</v>
      </c>
      <c r="C66" s="1">
        <v>45373</v>
      </c>
      <c r="D66" t="s">
        <v>38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15</v>
      </c>
      <c r="K66">
        <v>0</v>
      </c>
      <c r="L66">
        <v>0</v>
      </c>
    </row>
    <row r="67" spans="1:12" x14ac:dyDescent="0.25">
      <c r="A67" t="s">
        <v>143</v>
      </c>
      <c r="B67" t="s">
        <v>144</v>
      </c>
      <c r="C67" s="1">
        <v>45649</v>
      </c>
      <c r="D67" t="s">
        <v>21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18</v>
      </c>
      <c r="K67">
        <v>38</v>
      </c>
      <c r="L67">
        <v>1</v>
      </c>
    </row>
    <row r="68" spans="1:12" x14ac:dyDescent="0.25">
      <c r="A68" t="s">
        <v>145</v>
      </c>
      <c r="B68" t="s">
        <v>146</v>
      </c>
      <c r="C68" s="1">
        <v>45474</v>
      </c>
      <c r="D68" t="s">
        <v>47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18</v>
      </c>
      <c r="K68">
        <v>102</v>
      </c>
      <c r="L68">
        <v>1</v>
      </c>
    </row>
    <row r="69" spans="1:12" x14ac:dyDescent="0.25">
      <c r="A69" t="s">
        <v>147</v>
      </c>
      <c r="B69" t="s">
        <v>148</v>
      </c>
      <c r="C69" s="1">
        <v>45660</v>
      </c>
      <c r="D69" t="s">
        <v>47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27</v>
      </c>
      <c r="K69">
        <v>0</v>
      </c>
      <c r="L69">
        <v>0</v>
      </c>
    </row>
    <row r="70" spans="1:12" x14ac:dyDescent="0.25">
      <c r="A70" t="s">
        <v>149</v>
      </c>
      <c r="B70" t="s">
        <v>150</v>
      </c>
      <c r="C70" s="1">
        <v>45774</v>
      </c>
      <c r="D70" t="s">
        <v>17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18</v>
      </c>
      <c r="K70">
        <v>100</v>
      </c>
      <c r="L70">
        <v>1</v>
      </c>
    </row>
    <row r="71" spans="1:12" x14ac:dyDescent="0.25">
      <c r="A71" t="s">
        <v>151</v>
      </c>
      <c r="B71" t="s">
        <v>152</v>
      </c>
      <c r="C71" s="1">
        <v>45833</v>
      </c>
      <c r="D71" t="s">
        <v>17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62</v>
      </c>
      <c r="K71">
        <v>0</v>
      </c>
      <c r="L71">
        <v>0</v>
      </c>
    </row>
    <row r="72" spans="1:12" x14ac:dyDescent="0.25">
      <c r="A72" t="s">
        <v>153</v>
      </c>
      <c r="B72" t="s">
        <v>154</v>
      </c>
      <c r="C72" s="1">
        <v>45654</v>
      </c>
      <c r="D72" t="s">
        <v>24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27</v>
      </c>
      <c r="K72">
        <v>0</v>
      </c>
      <c r="L72">
        <v>0</v>
      </c>
    </row>
    <row r="73" spans="1:12" x14ac:dyDescent="0.25">
      <c r="A73" t="s">
        <v>155</v>
      </c>
      <c r="B73" t="s">
        <v>154</v>
      </c>
      <c r="C73" s="1">
        <v>45589</v>
      </c>
      <c r="D73" t="s">
        <v>14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27</v>
      </c>
      <c r="K73">
        <v>0</v>
      </c>
      <c r="L73">
        <v>0</v>
      </c>
    </row>
    <row r="74" spans="1:12" x14ac:dyDescent="0.25">
      <c r="A74" t="s">
        <v>156</v>
      </c>
      <c r="B74" t="s">
        <v>157</v>
      </c>
      <c r="C74" s="1">
        <v>45715</v>
      </c>
      <c r="D74" t="s">
        <v>36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18</v>
      </c>
      <c r="K74">
        <v>119</v>
      </c>
      <c r="L74">
        <v>1</v>
      </c>
    </row>
    <row r="75" spans="1:12" x14ac:dyDescent="0.25">
      <c r="A75" t="s">
        <v>158</v>
      </c>
      <c r="B75" t="s">
        <v>159</v>
      </c>
      <c r="C75" s="1">
        <v>45361</v>
      </c>
      <c r="D75" t="s">
        <v>38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27</v>
      </c>
      <c r="K75">
        <v>0</v>
      </c>
      <c r="L75">
        <v>0</v>
      </c>
    </row>
    <row r="76" spans="1:12" x14ac:dyDescent="0.25">
      <c r="A76" t="s">
        <v>160</v>
      </c>
      <c r="B76" t="s">
        <v>161</v>
      </c>
      <c r="C76" s="1">
        <v>45471</v>
      </c>
      <c r="D76" t="s">
        <v>30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18</v>
      </c>
      <c r="K76">
        <v>116</v>
      </c>
      <c r="L76">
        <v>1</v>
      </c>
    </row>
    <row r="77" spans="1:12" x14ac:dyDescent="0.25">
      <c r="A77" t="s">
        <v>162</v>
      </c>
      <c r="B77" t="s">
        <v>163</v>
      </c>
      <c r="C77" s="1">
        <v>45763</v>
      </c>
      <c r="D77" t="s">
        <v>14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27</v>
      </c>
      <c r="K77">
        <v>0</v>
      </c>
      <c r="L77">
        <v>0</v>
      </c>
    </row>
    <row r="78" spans="1:12" x14ac:dyDescent="0.25">
      <c r="A78" t="s">
        <v>164</v>
      </c>
      <c r="B78" t="s">
        <v>163</v>
      </c>
      <c r="C78" s="1">
        <v>45615</v>
      </c>
      <c r="D78" t="s">
        <v>17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27</v>
      </c>
      <c r="K78">
        <v>0</v>
      </c>
      <c r="L78">
        <v>0</v>
      </c>
    </row>
    <row r="79" spans="1:12" x14ac:dyDescent="0.25">
      <c r="A79" t="s">
        <v>165</v>
      </c>
      <c r="B79" t="s">
        <v>166</v>
      </c>
      <c r="C79" s="1">
        <v>45676</v>
      </c>
      <c r="D79" t="s">
        <v>30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27</v>
      </c>
      <c r="K79">
        <v>0</v>
      </c>
      <c r="L79">
        <v>0</v>
      </c>
    </row>
    <row r="80" spans="1:12" x14ac:dyDescent="0.25">
      <c r="A80" t="s">
        <v>167</v>
      </c>
      <c r="B80" t="s">
        <v>168</v>
      </c>
      <c r="C80" s="1">
        <v>45614</v>
      </c>
      <c r="D80" t="s">
        <v>47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27</v>
      </c>
      <c r="K80">
        <v>0</v>
      </c>
      <c r="L80">
        <v>0</v>
      </c>
    </row>
    <row r="81" spans="1:12" x14ac:dyDescent="0.25">
      <c r="A81" t="s">
        <v>169</v>
      </c>
      <c r="B81" t="s">
        <v>170</v>
      </c>
      <c r="C81" s="1">
        <v>45471</v>
      </c>
      <c r="D81" t="s">
        <v>30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18</v>
      </c>
      <c r="K81">
        <v>39</v>
      </c>
      <c r="L81">
        <v>1</v>
      </c>
    </row>
    <row r="82" spans="1:12" x14ac:dyDescent="0.25">
      <c r="A82" t="s">
        <v>171</v>
      </c>
      <c r="B82" t="s">
        <v>170</v>
      </c>
      <c r="C82" s="1">
        <v>45804</v>
      </c>
      <c r="D82" t="s">
        <v>38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18</v>
      </c>
      <c r="K82">
        <v>117</v>
      </c>
      <c r="L82">
        <v>1</v>
      </c>
    </row>
    <row r="83" spans="1:12" x14ac:dyDescent="0.25">
      <c r="A83" t="s">
        <v>172</v>
      </c>
      <c r="B83" t="s">
        <v>173</v>
      </c>
      <c r="C83" s="1">
        <v>45820</v>
      </c>
      <c r="D83" t="s">
        <v>21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15</v>
      </c>
      <c r="K83">
        <v>0</v>
      </c>
      <c r="L83">
        <v>0</v>
      </c>
    </row>
    <row r="84" spans="1:12" x14ac:dyDescent="0.25">
      <c r="A84" t="s">
        <v>174</v>
      </c>
      <c r="B84" t="s">
        <v>173</v>
      </c>
      <c r="C84" s="1">
        <v>45337</v>
      </c>
      <c r="D84" t="s">
        <v>14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27</v>
      </c>
      <c r="K84">
        <v>0</v>
      </c>
      <c r="L84">
        <v>0</v>
      </c>
    </row>
    <row r="85" spans="1:12" x14ac:dyDescent="0.25">
      <c r="A85" t="s">
        <v>175</v>
      </c>
      <c r="B85" t="s">
        <v>176</v>
      </c>
      <c r="C85" s="1">
        <v>45611</v>
      </c>
      <c r="D85" t="s">
        <v>41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27</v>
      </c>
      <c r="K85">
        <v>0</v>
      </c>
      <c r="L85">
        <v>0</v>
      </c>
    </row>
    <row r="86" spans="1:12" x14ac:dyDescent="0.25">
      <c r="A86" t="s">
        <v>177</v>
      </c>
      <c r="B86" t="s">
        <v>178</v>
      </c>
      <c r="C86" s="1">
        <v>45453</v>
      </c>
      <c r="D86" t="s">
        <v>21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62</v>
      </c>
      <c r="K86">
        <v>0</v>
      </c>
      <c r="L86">
        <v>0</v>
      </c>
    </row>
    <row r="87" spans="1:12" x14ac:dyDescent="0.25">
      <c r="A87" t="s">
        <v>179</v>
      </c>
      <c r="B87" t="s">
        <v>180</v>
      </c>
      <c r="C87" s="1">
        <v>45582</v>
      </c>
      <c r="D87" t="s">
        <v>38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27</v>
      </c>
      <c r="K87">
        <v>0</v>
      </c>
      <c r="L87">
        <v>0</v>
      </c>
    </row>
    <row r="88" spans="1:12" x14ac:dyDescent="0.25">
      <c r="A88" t="s">
        <v>181</v>
      </c>
      <c r="B88" t="s">
        <v>182</v>
      </c>
      <c r="C88" s="1">
        <v>45343</v>
      </c>
      <c r="D88" t="s">
        <v>21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27</v>
      </c>
      <c r="K88">
        <v>0</v>
      </c>
      <c r="L88">
        <v>0</v>
      </c>
    </row>
    <row r="89" spans="1:12" x14ac:dyDescent="0.25">
      <c r="A89" t="s">
        <v>183</v>
      </c>
      <c r="B89" t="s">
        <v>182</v>
      </c>
      <c r="C89" s="1">
        <v>45611</v>
      </c>
      <c r="D89" t="s">
        <v>33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15</v>
      </c>
      <c r="K89">
        <v>0</v>
      </c>
      <c r="L89">
        <v>0</v>
      </c>
    </row>
    <row r="90" spans="1:12" x14ac:dyDescent="0.25">
      <c r="A90" t="s">
        <v>184</v>
      </c>
      <c r="B90" t="s">
        <v>185</v>
      </c>
      <c r="C90" s="1">
        <v>45387</v>
      </c>
      <c r="D90" t="s">
        <v>36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62</v>
      </c>
      <c r="K90">
        <v>15</v>
      </c>
      <c r="L90">
        <v>0</v>
      </c>
    </row>
    <row r="91" spans="1:12" x14ac:dyDescent="0.25">
      <c r="A91" t="s">
        <v>186</v>
      </c>
      <c r="B91" t="s">
        <v>185</v>
      </c>
      <c r="C91" s="1">
        <v>45521</v>
      </c>
      <c r="D91" t="s">
        <v>14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62</v>
      </c>
      <c r="K91">
        <v>15</v>
      </c>
      <c r="L91">
        <v>0</v>
      </c>
    </row>
    <row r="92" spans="1:12" x14ac:dyDescent="0.25">
      <c r="A92" t="s">
        <v>187</v>
      </c>
      <c r="B92" t="s">
        <v>188</v>
      </c>
      <c r="C92" s="1">
        <v>45322</v>
      </c>
      <c r="D92" t="s">
        <v>33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18</v>
      </c>
      <c r="K92">
        <v>58</v>
      </c>
      <c r="L92">
        <v>1</v>
      </c>
    </row>
    <row r="93" spans="1:12" x14ac:dyDescent="0.25">
      <c r="A93" t="s">
        <v>189</v>
      </c>
      <c r="B93" t="s">
        <v>190</v>
      </c>
      <c r="C93" s="1">
        <v>45422</v>
      </c>
      <c r="D93" t="s">
        <v>14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15</v>
      </c>
      <c r="K93">
        <v>0</v>
      </c>
      <c r="L93">
        <v>0</v>
      </c>
    </row>
    <row r="94" spans="1:12" x14ac:dyDescent="0.25">
      <c r="A94" t="s">
        <v>191</v>
      </c>
      <c r="B94" t="s">
        <v>192</v>
      </c>
      <c r="C94" s="1">
        <v>45715</v>
      </c>
      <c r="D94" t="s">
        <v>21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18</v>
      </c>
      <c r="K94">
        <v>92</v>
      </c>
      <c r="L94">
        <v>1</v>
      </c>
    </row>
    <row r="95" spans="1:12" x14ac:dyDescent="0.25">
      <c r="A95" t="s">
        <v>193</v>
      </c>
      <c r="B95" t="s">
        <v>194</v>
      </c>
      <c r="C95" s="1">
        <v>45737</v>
      </c>
      <c r="D95" t="s">
        <v>14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62</v>
      </c>
      <c r="K95">
        <v>0</v>
      </c>
      <c r="L95">
        <v>0</v>
      </c>
    </row>
    <row r="96" spans="1:12" x14ac:dyDescent="0.25">
      <c r="A96" t="s">
        <v>195</v>
      </c>
      <c r="B96" t="s">
        <v>196</v>
      </c>
      <c r="C96" s="1">
        <v>45766</v>
      </c>
      <c r="D96" t="s">
        <v>36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27</v>
      </c>
      <c r="K96">
        <v>0</v>
      </c>
      <c r="L96">
        <v>0</v>
      </c>
    </row>
    <row r="97" spans="1:12" x14ac:dyDescent="0.25">
      <c r="A97" t="s">
        <v>197</v>
      </c>
      <c r="B97" t="s">
        <v>198</v>
      </c>
      <c r="C97" s="1">
        <v>45680</v>
      </c>
      <c r="D97" t="s">
        <v>17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27</v>
      </c>
      <c r="K97">
        <v>0</v>
      </c>
      <c r="L97">
        <v>0</v>
      </c>
    </row>
    <row r="98" spans="1:12" x14ac:dyDescent="0.25">
      <c r="A98" t="s">
        <v>199</v>
      </c>
      <c r="B98" t="s">
        <v>200</v>
      </c>
      <c r="C98" s="1">
        <v>45444</v>
      </c>
      <c r="D98" t="s">
        <v>33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62</v>
      </c>
      <c r="K98">
        <v>0</v>
      </c>
      <c r="L98">
        <v>0</v>
      </c>
    </row>
    <row r="99" spans="1:12" x14ac:dyDescent="0.25">
      <c r="A99" t="s">
        <v>201</v>
      </c>
      <c r="B99" t="s">
        <v>202</v>
      </c>
      <c r="C99" s="1">
        <v>45603</v>
      </c>
      <c r="D99" t="s">
        <v>38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62</v>
      </c>
      <c r="K99">
        <v>15</v>
      </c>
      <c r="L99">
        <v>0</v>
      </c>
    </row>
    <row r="100" spans="1:12" x14ac:dyDescent="0.25">
      <c r="A100" t="s">
        <v>203</v>
      </c>
      <c r="B100" t="s">
        <v>204</v>
      </c>
      <c r="C100" s="1">
        <v>45422</v>
      </c>
      <c r="D100" t="s">
        <v>36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15</v>
      </c>
      <c r="K100">
        <v>0</v>
      </c>
      <c r="L100">
        <v>0</v>
      </c>
    </row>
    <row r="101" spans="1:12" x14ac:dyDescent="0.25">
      <c r="A101" t="s">
        <v>205</v>
      </c>
      <c r="B101" t="s">
        <v>204</v>
      </c>
      <c r="C101" s="1">
        <v>45580</v>
      </c>
      <c r="D101" t="s">
        <v>41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15</v>
      </c>
      <c r="K101">
        <v>0</v>
      </c>
      <c r="L101">
        <v>0</v>
      </c>
    </row>
    <row r="102" spans="1:12" x14ac:dyDescent="0.25">
      <c r="A102" t="s">
        <v>206</v>
      </c>
      <c r="B102" t="s">
        <v>207</v>
      </c>
      <c r="C102" s="1">
        <v>45469</v>
      </c>
      <c r="D102" t="s">
        <v>30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18</v>
      </c>
      <c r="K102">
        <v>78</v>
      </c>
      <c r="L102">
        <v>1</v>
      </c>
    </row>
    <row r="103" spans="1:12" x14ac:dyDescent="0.25">
      <c r="A103" t="s">
        <v>208</v>
      </c>
      <c r="B103" t="s">
        <v>209</v>
      </c>
      <c r="C103" s="1">
        <v>45365</v>
      </c>
      <c r="D103" t="s">
        <v>30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15</v>
      </c>
      <c r="K103">
        <v>0</v>
      </c>
      <c r="L103">
        <v>0</v>
      </c>
    </row>
    <row r="104" spans="1:12" x14ac:dyDescent="0.25">
      <c r="A104" t="s">
        <v>210</v>
      </c>
      <c r="B104" t="s">
        <v>211</v>
      </c>
      <c r="C104" s="1">
        <v>45727</v>
      </c>
      <c r="D104" t="s">
        <v>33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27</v>
      </c>
      <c r="K104">
        <v>0</v>
      </c>
      <c r="L104">
        <v>0</v>
      </c>
    </row>
    <row r="105" spans="1:12" x14ac:dyDescent="0.25">
      <c r="A105" t="s">
        <v>212</v>
      </c>
      <c r="B105" t="s">
        <v>213</v>
      </c>
      <c r="C105" s="1">
        <v>45802</v>
      </c>
      <c r="D105" t="s">
        <v>17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27</v>
      </c>
      <c r="K105">
        <v>0</v>
      </c>
      <c r="L105">
        <v>0</v>
      </c>
    </row>
    <row r="106" spans="1:12" x14ac:dyDescent="0.25">
      <c r="A106" t="s">
        <v>214</v>
      </c>
      <c r="B106" t="s">
        <v>213</v>
      </c>
      <c r="C106" s="1">
        <v>45786</v>
      </c>
      <c r="D106" t="s">
        <v>17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27</v>
      </c>
      <c r="K106">
        <v>0</v>
      </c>
      <c r="L106">
        <v>0</v>
      </c>
    </row>
    <row r="107" spans="1:12" x14ac:dyDescent="0.25">
      <c r="A107" t="s">
        <v>215</v>
      </c>
      <c r="B107" t="s">
        <v>216</v>
      </c>
      <c r="C107" s="1">
        <v>45372</v>
      </c>
      <c r="D107" t="s">
        <v>33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27</v>
      </c>
      <c r="K107">
        <v>0</v>
      </c>
      <c r="L107">
        <v>0</v>
      </c>
    </row>
    <row r="108" spans="1:12" x14ac:dyDescent="0.25">
      <c r="A108" t="s">
        <v>217</v>
      </c>
      <c r="B108" t="s">
        <v>218</v>
      </c>
      <c r="C108" s="1">
        <v>45346</v>
      </c>
      <c r="D108" t="s">
        <v>36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27</v>
      </c>
      <c r="K108">
        <v>0</v>
      </c>
      <c r="L108">
        <v>0</v>
      </c>
    </row>
    <row r="109" spans="1:12" x14ac:dyDescent="0.25">
      <c r="A109" t="s">
        <v>219</v>
      </c>
      <c r="B109" t="s">
        <v>220</v>
      </c>
      <c r="C109" s="1">
        <v>45593</v>
      </c>
      <c r="D109" t="s">
        <v>14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18</v>
      </c>
      <c r="K109">
        <v>39</v>
      </c>
      <c r="L109">
        <v>1</v>
      </c>
    </row>
    <row r="110" spans="1:12" x14ac:dyDescent="0.25">
      <c r="A110" t="s">
        <v>221</v>
      </c>
      <c r="B110" t="s">
        <v>222</v>
      </c>
      <c r="C110" s="1">
        <v>45776</v>
      </c>
      <c r="D110" t="s">
        <v>47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62</v>
      </c>
      <c r="K110">
        <v>0</v>
      </c>
      <c r="L110">
        <v>0</v>
      </c>
    </row>
    <row r="111" spans="1:12" x14ac:dyDescent="0.25">
      <c r="A111" t="s">
        <v>223</v>
      </c>
      <c r="B111" t="s">
        <v>224</v>
      </c>
      <c r="C111" s="1">
        <v>45576</v>
      </c>
      <c r="D111" t="s">
        <v>47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18</v>
      </c>
      <c r="K111">
        <v>101</v>
      </c>
      <c r="L111">
        <v>1</v>
      </c>
    </row>
    <row r="112" spans="1:12" x14ac:dyDescent="0.25">
      <c r="A112" t="s">
        <v>225</v>
      </c>
      <c r="B112" t="s">
        <v>226</v>
      </c>
      <c r="C112" s="1">
        <v>45446</v>
      </c>
      <c r="D112" t="s">
        <v>24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27</v>
      </c>
      <c r="K112">
        <v>0</v>
      </c>
      <c r="L112">
        <v>0</v>
      </c>
    </row>
    <row r="113" spans="1:12" x14ac:dyDescent="0.25">
      <c r="A113" t="s">
        <v>227</v>
      </c>
      <c r="B113" t="s">
        <v>228</v>
      </c>
      <c r="C113" s="1">
        <v>45378</v>
      </c>
      <c r="D113" t="s">
        <v>38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15</v>
      </c>
      <c r="K113">
        <v>0</v>
      </c>
      <c r="L113">
        <v>0</v>
      </c>
    </row>
    <row r="114" spans="1:12" x14ac:dyDescent="0.25">
      <c r="A114" t="s">
        <v>229</v>
      </c>
      <c r="B114" t="s">
        <v>230</v>
      </c>
      <c r="C114" s="1">
        <v>45463</v>
      </c>
      <c r="D114" t="s">
        <v>17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18</v>
      </c>
      <c r="K114">
        <v>118</v>
      </c>
      <c r="L114">
        <v>1</v>
      </c>
    </row>
    <row r="115" spans="1:12" x14ac:dyDescent="0.25">
      <c r="A115" t="s">
        <v>231</v>
      </c>
      <c r="B115" t="s">
        <v>230</v>
      </c>
      <c r="C115" s="1">
        <v>45767</v>
      </c>
      <c r="D115" t="s">
        <v>41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18</v>
      </c>
      <c r="K115">
        <v>107</v>
      </c>
      <c r="L115">
        <v>1</v>
      </c>
    </row>
    <row r="116" spans="1:12" x14ac:dyDescent="0.25">
      <c r="A116" t="s">
        <v>232</v>
      </c>
      <c r="B116" t="s">
        <v>233</v>
      </c>
      <c r="C116" s="1">
        <v>45440</v>
      </c>
      <c r="D116" t="s">
        <v>21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27</v>
      </c>
      <c r="K116">
        <v>0</v>
      </c>
      <c r="L116">
        <v>0</v>
      </c>
    </row>
    <row r="117" spans="1:12" x14ac:dyDescent="0.25">
      <c r="A117" t="s">
        <v>234</v>
      </c>
      <c r="B117" t="s">
        <v>235</v>
      </c>
      <c r="C117" s="1">
        <v>45836</v>
      </c>
      <c r="D117" t="s">
        <v>17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62</v>
      </c>
      <c r="K117">
        <v>30</v>
      </c>
      <c r="L117">
        <v>0</v>
      </c>
    </row>
    <row r="118" spans="1:12" x14ac:dyDescent="0.25">
      <c r="A118" t="s">
        <v>236</v>
      </c>
      <c r="B118" t="s">
        <v>237</v>
      </c>
      <c r="C118" s="1">
        <v>45692</v>
      </c>
      <c r="D118" t="s">
        <v>24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27</v>
      </c>
      <c r="K118">
        <v>0</v>
      </c>
      <c r="L118">
        <v>0</v>
      </c>
    </row>
    <row r="119" spans="1:12" x14ac:dyDescent="0.25">
      <c r="A119" t="s">
        <v>238</v>
      </c>
      <c r="B119" t="s">
        <v>237</v>
      </c>
      <c r="C119" s="1">
        <v>45302</v>
      </c>
      <c r="D119" t="s">
        <v>47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27</v>
      </c>
      <c r="K119">
        <v>0</v>
      </c>
      <c r="L119">
        <v>0</v>
      </c>
    </row>
    <row r="120" spans="1:12" x14ac:dyDescent="0.25">
      <c r="A120" t="s">
        <v>239</v>
      </c>
      <c r="B120" t="s">
        <v>240</v>
      </c>
      <c r="C120" s="1">
        <v>45326</v>
      </c>
      <c r="D120" t="s">
        <v>36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18</v>
      </c>
      <c r="K120">
        <v>53</v>
      </c>
      <c r="L120">
        <v>1</v>
      </c>
    </row>
    <row r="121" spans="1:12" x14ac:dyDescent="0.25">
      <c r="A121" t="s">
        <v>241</v>
      </c>
      <c r="B121" t="s">
        <v>242</v>
      </c>
      <c r="C121" s="1">
        <v>45414</v>
      </c>
      <c r="D121" t="s">
        <v>47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18</v>
      </c>
      <c r="K121">
        <v>63</v>
      </c>
      <c r="L121">
        <v>1</v>
      </c>
    </row>
    <row r="122" spans="1:12" x14ac:dyDescent="0.25">
      <c r="A122" t="s">
        <v>243</v>
      </c>
      <c r="B122" t="s">
        <v>244</v>
      </c>
      <c r="C122" s="1">
        <v>45551</v>
      </c>
      <c r="D122" t="s">
        <v>47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27</v>
      </c>
      <c r="K122">
        <v>0</v>
      </c>
      <c r="L122">
        <v>0</v>
      </c>
    </row>
    <row r="123" spans="1:12" x14ac:dyDescent="0.25">
      <c r="A123" t="s">
        <v>245</v>
      </c>
      <c r="B123" t="s">
        <v>246</v>
      </c>
      <c r="C123" s="1">
        <v>45367</v>
      </c>
      <c r="D123" t="s">
        <v>24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18</v>
      </c>
      <c r="K123">
        <v>45</v>
      </c>
      <c r="L123">
        <v>1</v>
      </c>
    </row>
    <row r="124" spans="1:12" x14ac:dyDescent="0.25">
      <c r="A124" t="s">
        <v>247</v>
      </c>
      <c r="B124" t="s">
        <v>248</v>
      </c>
      <c r="C124" s="1">
        <v>45363</v>
      </c>
      <c r="D124" t="s">
        <v>30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62</v>
      </c>
      <c r="K124">
        <v>15</v>
      </c>
      <c r="L124">
        <v>0</v>
      </c>
    </row>
    <row r="125" spans="1:12" x14ac:dyDescent="0.25">
      <c r="A125" t="s">
        <v>249</v>
      </c>
      <c r="B125" t="s">
        <v>250</v>
      </c>
      <c r="C125" s="1">
        <v>45400</v>
      </c>
      <c r="D125" t="s">
        <v>14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27</v>
      </c>
      <c r="K125">
        <v>0</v>
      </c>
      <c r="L125">
        <v>0</v>
      </c>
    </row>
    <row r="126" spans="1:12" x14ac:dyDescent="0.25">
      <c r="A126" t="s">
        <v>251</v>
      </c>
      <c r="B126" t="s">
        <v>252</v>
      </c>
      <c r="C126" s="1">
        <v>45444</v>
      </c>
      <c r="D126" t="s">
        <v>47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27</v>
      </c>
      <c r="K126">
        <v>0</v>
      </c>
      <c r="L126">
        <v>0</v>
      </c>
    </row>
    <row r="127" spans="1:12" x14ac:dyDescent="0.25">
      <c r="A127" t="s">
        <v>253</v>
      </c>
      <c r="B127" t="s">
        <v>254</v>
      </c>
      <c r="C127" s="1">
        <v>45794</v>
      </c>
      <c r="D127" t="s">
        <v>33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15</v>
      </c>
      <c r="K127">
        <v>0</v>
      </c>
      <c r="L127">
        <v>0</v>
      </c>
    </row>
    <row r="128" spans="1:12" x14ac:dyDescent="0.25">
      <c r="A128" t="s">
        <v>255</v>
      </c>
      <c r="B128" t="s">
        <v>256</v>
      </c>
      <c r="C128" s="1">
        <v>45659</v>
      </c>
      <c r="D128" t="s">
        <v>36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27</v>
      </c>
      <c r="K128">
        <v>0</v>
      </c>
      <c r="L128">
        <v>0</v>
      </c>
    </row>
    <row r="129" spans="1:12" x14ac:dyDescent="0.25">
      <c r="A129" t="s">
        <v>257</v>
      </c>
      <c r="B129" t="s">
        <v>256</v>
      </c>
      <c r="C129" s="1">
        <v>45762</v>
      </c>
      <c r="D129" t="s">
        <v>36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27</v>
      </c>
      <c r="K129">
        <v>0</v>
      </c>
      <c r="L129">
        <v>0</v>
      </c>
    </row>
    <row r="130" spans="1:12" x14ac:dyDescent="0.25">
      <c r="A130" t="s">
        <v>258</v>
      </c>
      <c r="B130" t="s">
        <v>259</v>
      </c>
      <c r="C130" s="1">
        <v>45659</v>
      </c>
      <c r="D130" t="s">
        <v>17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62</v>
      </c>
      <c r="K130">
        <v>15</v>
      </c>
      <c r="L130">
        <v>0</v>
      </c>
    </row>
    <row r="131" spans="1:12" x14ac:dyDescent="0.25">
      <c r="A131" t="s">
        <v>260</v>
      </c>
      <c r="B131" t="s">
        <v>261</v>
      </c>
      <c r="C131" s="1">
        <v>45690</v>
      </c>
      <c r="D131" t="s">
        <v>41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18</v>
      </c>
      <c r="K131">
        <v>168</v>
      </c>
      <c r="L131">
        <v>1</v>
      </c>
    </row>
    <row r="132" spans="1:12" x14ac:dyDescent="0.25">
      <c r="A132" t="s">
        <v>262</v>
      </c>
      <c r="B132" t="s">
        <v>263</v>
      </c>
      <c r="C132" s="1">
        <v>45308</v>
      </c>
      <c r="D132" t="s">
        <v>14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18</v>
      </c>
      <c r="K132">
        <v>44</v>
      </c>
      <c r="L132">
        <v>1</v>
      </c>
    </row>
    <row r="133" spans="1:12" x14ac:dyDescent="0.25">
      <c r="A133" t="s">
        <v>264</v>
      </c>
      <c r="B133" t="s">
        <v>265</v>
      </c>
      <c r="C133" s="1">
        <v>45444</v>
      </c>
      <c r="D133" t="s">
        <v>41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27</v>
      </c>
      <c r="K133">
        <v>0</v>
      </c>
      <c r="L133">
        <v>0</v>
      </c>
    </row>
    <row r="134" spans="1:12" x14ac:dyDescent="0.25">
      <c r="A134" t="s">
        <v>266</v>
      </c>
      <c r="B134" t="s">
        <v>267</v>
      </c>
      <c r="C134" s="1">
        <v>45425</v>
      </c>
      <c r="D134" t="s">
        <v>14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18</v>
      </c>
      <c r="K134">
        <v>42</v>
      </c>
      <c r="L134">
        <v>1</v>
      </c>
    </row>
    <row r="135" spans="1:12" x14ac:dyDescent="0.25">
      <c r="A135" t="s">
        <v>268</v>
      </c>
      <c r="B135" t="s">
        <v>269</v>
      </c>
      <c r="C135" s="1">
        <v>45400</v>
      </c>
      <c r="D135" t="s">
        <v>36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18</v>
      </c>
      <c r="K135">
        <v>86</v>
      </c>
      <c r="L135">
        <v>1</v>
      </c>
    </row>
    <row r="136" spans="1:12" x14ac:dyDescent="0.25">
      <c r="A136" t="s">
        <v>270</v>
      </c>
      <c r="B136" t="s">
        <v>269</v>
      </c>
      <c r="C136" s="1">
        <v>45432</v>
      </c>
      <c r="D136" t="s">
        <v>36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62</v>
      </c>
      <c r="K136">
        <v>30</v>
      </c>
      <c r="L136">
        <v>0</v>
      </c>
    </row>
    <row r="137" spans="1:12" x14ac:dyDescent="0.25">
      <c r="A137" t="s">
        <v>271</v>
      </c>
      <c r="B137" t="s">
        <v>272</v>
      </c>
      <c r="C137" s="1">
        <v>45464</v>
      </c>
      <c r="D137" t="s">
        <v>33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27</v>
      </c>
      <c r="K137">
        <v>0</v>
      </c>
      <c r="L137">
        <v>0</v>
      </c>
    </row>
    <row r="138" spans="1:12" x14ac:dyDescent="0.25">
      <c r="A138" t="s">
        <v>273</v>
      </c>
      <c r="B138" t="s">
        <v>274</v>
      </c>
      <c r="C138" s="1">
        <v>45453</v>
      </c>
      <c r="D138" t="s">
        <v>41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18</v>
      </c>
      <c r="K138">
        <v>154</v>
      </c>
      <c r="L138">
        <v>1</v>
      </c>
    </row>
    <row r="139" spans="1:12" x14ac:dyDescent="0.25">
      <c r="A139" t="s">
        <v>275</v>
      </c>
      <c r="B139" t="s">
        <v>274</v>
      </c>
      <c r="C139" s="1">
        <v>45582</v>
      </c>
      <c r="D139" t="s">
        <v>36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18</v>
      </c>
      <c r="K139">
        <v>151</v>
      </c>
      <c r="L139">
        <v>1</v>
      </c>
    </row>
    <row r="140" spans="1:12" x14ac:dyDescent="0.25">
      <c r="A140" t="s">
        <v>276</v>
      </c>
      <c r="B140" t="s">
        <v>277</v>
      </c>
      <c r="C140" s="1">
        <v>45470</v>
      </c>
      <c r="D140" t="s">
        <v>38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27</v>
      </c>
      <c r="K140">
        <v>0</v>
      </c>
      <c r="L140">
        <v>0</v>
      </c>
    </row>
    <row r="141" spans="1:12" x14ac:dyDescent="0.25">
      <c r="A141" t="s">
        <v>278</v>
      </c>
      <c r="B141" t="s">
        <v>279</v>
      </c>
      <c r="C141" s="1">
        <v>45533</v>
      </c>
      <c r="D141" t="s">
        <v>36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18</v>
      </c>
      <c r="K141">
        <v>165</v>
      </c>
      <c r="L141">
        <v>1</v>
      </c>
    </row>
    <row r="142" spans="1:12" x14ac:dyDescent="0.25">
      <c r="A142" t="s">
        <v>280</v>
      </c>
      <c r="B142" t="s">
        <v>281</v>
      </c>
      <c r="C142" s="1">
        <v>45767</v>
      </c>
      <c r="D142" t="s">
        <v>47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27</v>
      </c>
      <c r="K142">
        <v>0</v>
      </c>
      <c r="L142">
        <v>0</v>
      </c>
    </row>
    <row r="143" spans="1:12" x14ac:dyDescent="0.25">
      <c r="A143" t="s">
        <v>282</v>
      </c>
      <c r="B143" t="s">
        <v>281</v>
      </c>
      <c r="C143" s="1">
        <v>45455</v>
      </c>
      <c r="D143" t="s">
        <v>38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62</v>
      </c>
      <c r="K143">
        <v>0</v>
      </c>
      <c r="L143">
        <v>0</v>
      </c>
    </row>
    <row r="144" spans="1:12" x14ac:dyDescent="0.25">
      <c r="A144" t="s">
        <v>283</v>
      </c>
      <c r="B144" t="s">
        <v>284</v>
      </c>
      <c r="C144" s="1">
        <v>45345</v>
      </c>
      <c r="D144" t="s">
        <v>17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15</v>
      </c>
      <c r="K144">
        <v>0</v>
      </c>
      <c r="L144">
        <v>0</v>
      </c>
    </row>
    <row r="145" spans="1:12" x14ac:dyDescent="0.25">
      <c r="A145" t="s">
        <v>285</v>
      </c>
      <c r="B145" t="s">
        <v>286</v>
      </c>
      <c r="C145" s="1">
        <v>45625</v>
      </c>
      <c r="D145" t="s">
        <v>36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15</v>
      </c>
      <c r="K145">
        <v>0</v>
      </c>
      <c r="L145">
        <v>0</v>
      </c>
    </row>
    <row r="146" spans="1:12" x14ac:dyDescent="0.25">
      <c r="A146" t="s">
        <v>287</v>
      </c>
      <c r="B146" t="s">
        <v>288</v>
      </c>
      <c r="C146" s="1">
        <v>45676</v>
      </c>
      <c r="D146" t="s">
        <v>36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27</v>
      </c>
      <c r="K146">
        <v>0</v>
      </c>
      <c r="L146">
        <v>0</v>
      </c>
    </row>
    <row r="147" spans="1:12" x14ac:dyDescent="0.25">
      <c r="A147" t="s">
        <v>289</v>
      </c>
      <c r="B147" t="s">
        <v>290</v>
      </c>
      <c r="C147" s="1">
        <v>45674</v>
      </c>
      <c r="D147" t="s">
        <v>17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18</v>
      </c>
      <c r="K147">
        <v>79</v>
      </c>
      <c r="L147">
        <v>1</v>
      </c>
    </row>
    <row r="148" spans="1:12" x14ac:dyDescent="0.25">
      <c r="A148" t="s">
        <v>291</v>
      </c>
      <c r="B148" t="s">
        <v>292</v>
      </c>
      <c r="C148" s="1">
        <v>45431</v>
      </c>
      <c r="D148" t="s">
        <v>24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18</v>
      </c>
      <c r="K148">
        <v>149</v>
      </c>
      <c r="L148">
        <v>1</v>
      </c>
    </row>
    <row r="149" spans="1:12" x14ac:dyDescent="0.25">
      <c r="A149" t="s">
        <v>293</v>
      </c>
      <c r="B149" t="s">
        <v>294</v>
      </c>
      <c r="C149" s="1">
        <v>45466</v>
      </c>
      <c r="D149" t="s">
        <v>33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27</v>
      </c>
      <c r="K149">
        <v>0</v>
      </c>
      <c r="L149">
        <v>0</v>
      </c>
    </row>
    <row r="150" spans="1:12" x14ac:dyDescent="0.25">
      <c r="A150" t="s">
        <v>295</v>
      </c>
      <c r="B150" t="s">
        <v>296</v>
      </c>
      <c r="C150" s="1">
        <v>45765</v>
      </c>
      <c r="D150" t="s">
        <v>21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15</v>
      </c>
      <c r="K150">
        <v>0</v>
      </c>
      <c r="L150">
        <v>0</v>
      </c>
    </row>
    <row r="151" spans="1:12" x14ac:dyDescent="0.25">
      <c r="A151" t="s">
        <v>297</v>
      </c>
      <c r="B151" t="s">
        <v>298</v>
      </c>
      <c r="C151" s="1">
        <v>45297</v>
      </c>
      <c r="D151" t="s">
        <v>30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15</v>
      </c>
      <c r="K151">
        <v>0</v>
      </c>
      <c r="L151">
        <v>0</v>
      </c>
    </row>
    <row r="152" spans="1:12" x14ac:dyDescent="0.25">
      <c r="A152" t="s">
        <v>299</v>
      </c>
      <c r="B152" t="s">
        <v>300</v>
      </c>
      <c r="C152" s="1">
        <v>45392</v>
      </c>
      <c r="D152" t="s">
        <v>21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27</v>
      </c>
      <c r="K152">
        <v>0</v>
      </c>
      <c r="L152">
        <v>0</v>
      </c>
    </row>
    <row r="153" spans="1:12" x14ac:dyDescent="0.25">
      <c r="A153" t="s">
        <v>301</v>
      </c>
      <c r="B153" t="s">
        <v>302</v>
      </c>
      <c r="C153" s="1">
        <v>45384</v>
      </c>
      <c r="D153" t="s">
        <v>17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18</v>
      </c>
      <c r="K153">
        <v>108</v>
      </c>
      <c r="L153">
        <v>1</v>
      </c>
    </row>
    <row r="154" spans="1:12" x14ac:dyDescent="0.25">
      <c r="A154" t="s">
        <v>303</v>
      </c>
      <c r="B154" t="s">
        <v>304</v>
      </c>
      <c r="C154" s="1">
        <v>45766</v>
      </c>
      <c r="D154" t="s">
        <v>14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62</v>
      </c>
      <c r="K154">
        <v>15</v>
      </c>
      <c r="L154">
        <v>0</v>
      </c>
    </row>
    <row r="155" spans="1:12" x14ac:dyDescent="0.25">
      <c r="A155" t="s">
        <v>305</v>
      </c>
      <c r="B155" t="s">
        <v>306</v>
      </c>
      <c r="C155" s="1">
        <v>45364</v>
      </c>
      <c r="D155" t="s">
        <v>30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18</v>
      </c>
      <c r="K155">
        <v>115</v>
      </c>
      <c r="L155">
        <v>1</v>
      </c>
    </row>
    <row r="156" spans="1:12" x14ac:dyDescent="0.25">
      <c r="A156" t="s">
        <v>307</v>
      </c>
      <c r="B156" t="s">
        <v>308</v>
      </c>
      <c r="C156" s="1">
        <v>45504</v>
      </c>
      <c r="D156" t="s">
        <v>24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15</v>
      </c>
      <c r="K156">
        <v>0</v>
      </c>
      <c r="L156">
        <v>0</v>
      </c>
    </row>
    <row r="157" spans="1:12" x14ac:dyDescent="0.25">
      <c r="A157" t="s">
        <v>309</v>
      </c>
      <c r="B157" t="s">
        <v>310</v>
      </c>
      <c r="C157" s="1">
        <v>45405</v>
      </c>
      <c r="D157" t="s">
        <v>41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27</v>
      </c>
      <c r="K157">
        <v>0</v>
      </c>
      <c r="L157">
        <v>0</v>
      </c>
    </row>
    <row r="158" spans="1:12" x14ac:dyDescent="0.25">
      <c r="A158" t="s">
        <v>311</v>
      </c>
      <c r="B158" t="s">
        <v>312</v>
      </c>
      <c r="C158" s="1">
        <v>45634</v>
      </c>
      <c r="D158" t="s">
        <v>21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27</v>
      </c>
      <c r="K158">
        <v>0</v>
      </c>
      <c r="L158">
        <v>0</v>
      </c>
    </row>
    <row r="159" spans="1:12" x14ac:dyDescent="0.25">
      <c r="A159" t="s">
        <v>313</v>
      </c>
      <c r="B159" t="s">
        <v>314</v>
      </c>
      <c r="C159" s="1">
        <v>45565</v>
      </c>
      <c r="D159" t="s">
        <v>47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27</v>
      </c>
      <c r="K159">
        <v>0</v>
      </c>
      <c r="L159">
        <v>0</v>
      </c>
    </row>
    <row r="160" spans="1:12" x14ac:dyDescent="0.25">
      <c r="A160" t="s">
        <v>315</v>
      </c>
      <c r="B160" t="s">
        <v>314</v>
      </c>
      <c r="C160" s="1">
        <v>45773</v>
      </c>
      <c r="D160" t="s">
        <v>30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27</v>
      </c>
      <c r="K160">
        <v>0</v>
      </c>
      <c r="L160">
        <v>0</v>
      </c>
    </row>
    <row r="161" spans="1:12" x14ac:dyDescent="0.25">
      <c r="A161" t="s">
        <v>316</v>
      </c>
      <c r="B161" t="s">
        <v>317</v>
      </c>
      <c r="C161" s="1">
        <v>45760</v>
      </c>
      <c r="D161" t="s">
        <v>47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18</v>
      </c>
      <c r="K161">
        <v>130</v>
      </c>
      <c r="L161">
        <v>1</v>
      </c>
    </row>
    <row r="162" spans="1:12" x14ac:dyDescent="0.25">
      <c r="A162" t="s">
        <v>318</v>
      </c>
      <c r="B162" t="s">
        <v>319</v>
      </c>
      <c r="C162" s="1">
        <v>45443</v>
      </c>
      <c r="D162" t="s">
        <v>24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62</v>
      </c>
      <c r="K162">
        <v>15</v>
      </c>
      <c r="L162">
        <v>0</v>
      </c>
    </row>
    <row r="163" spans="1:12" x14ac:dyDescent="0.25">
      <c r="A163" t="s">
        <v>320</v>
      </c>
      <c r="B163" t="s">
        <v>319</v>
      </c>
      <c r="C163" s="1">
        <v>45777</v>
      </c>
      <c r="D163" t="s">
        <v>41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62</v>
      </c>
      <c r="K163">
        <v>0</v>
      </c>
      <c r="L163">
        <v>0</v>
      </c>
    </row>
    <row r="164" spans="1:12" x14ac:dyDescent="0.25">
      <c r="A164" t="s">
        <v>321</v>
      </c>
      <c r="B164" t="s">
        <v>322</v>
      </c>
      <c r="C164" s="1">
        <v>45713</v>
      </c>
      <c r="D164" t="s">
        <v>36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15</v>
      </c>
      <c r="K164">
        <v>0</v>
      </c>
      <c r="L164">
        <v>0</v>
      </c>
    </row>
    <row r="165" spans="1:12" x14ac:dyDescent="0.25">
      <c r="A165" t="s">
        <v>323</v>
      </c>
      <c r="B165" t="s">
        <v>324</v>
      </c>
      <c r="C165" s="1">
        <v>45605</v>
      </c>
      <c r="D165" t="s">
        <v>21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27</v>
      </c>
      <c r="K165">
        <v>0</v>
      </c>
      <c r="L165">
        <v>0</v>
      </c>
    </row>
    <row r="166" spans="1:12" x14ac:dyDescent="0.25">
      <c r="A166" t="s">
        <v>325</v>
      </c>
      <c r="B166" t="s">
        <v>326</v>
      </c>
      <c r="C166" s="1">
        <v>45456</v>
      </c>
      <c r="D166" t="s">
        <v>41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15</v>
      </c>
      <c r="K166">
        <v>0</v>
      </c>
      <c r="L166">
        <v>0</v>
      </c>
    </row>
    <row r="167" spans="1:12" x14ac:dyDescent="0.25">
      <c r="A167" t="s">
        <v>327</v>
      </c>
      <c r="B167" t="s">
        <v>326</v>
      </c>
      <c r="C167" s="1">
        <v>45743</v>
      </c>
      <c r="D167" t="s">
        <v>33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27</v>
      </c>
      <c r="K167">
        <v>0</v>
      </c>
      <c r="L167">
        <v>0</v>
      </c>
    </row>
    <row r="168" spans="1:12" x14ac:dyDescent="0.25">
      <c r="A168" t="s">
        <v>328</v>
      </c>
      <c r="B168" t="s">
        <v>329</v>
      </c>
      <c r="C168" s="1">
        <v>45458</v>
      </c>
      <c r="D168" t="s">
        <v>30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27</v>
      </c>
      <c r="K168">
        <v>0</v>
      </c>
      <c r="L168">
        <v>0</v>
      </c>
    </row>
    <row r="169" spans="1:12" x14ac:dyDescent="0.25">
      <c r="A169" t="s">
        <v>330</v>
      </c>
      <c r="B169" t="s">
        <v>331</v>
      </c>
      <c r="C169" s="1">
        <v>45811</v>
      </c>
      <c r="D169" t="s">
        <v>33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18</v>
      </c>
      <c r="K169">
        <v>105</v>
      </c>
      <c r="L169">
        <v>1</v>
      </c>
    </row>
    <row r="170" spans="1:12" x14ac:dyDescent="0.25">
      <c r="A170" t="s">
        <v>332</v>
      </c>
      <c r="B170" t="s">
        <v>331</v>
      </c>
      <c r="C170" s="1">
        <v>45744</v>
      </c>
      <c r="D170" t="s">
        <v>14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18</v>
      </c>
      <c r="K170">
        <v>58</v>
      </c>
      <c r="L170">
        <v>1</v>
      </c>
    </row>
    <row r="171" spans="1:12" x14ac:dyDescent="0.25">
      <c r="A171" t="s">
        <v>333</v>
      </c>
      <c r="B171" t="s">
        <v>334</v>
      </c>
      <c r="C171" s="1">
        <v>45517</v>
      </c>
      <c r="D171" t="s">
        <v>41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27</v>
      </c>
      <c r="K171">
        <v>0</v>
      </c>
      <c r="L171">
        <v>0</v>
      </c>
    </row>
    <row r="172" spans="1:12" x14ac:dyDescent="0.25">
      <c r="A172" t="s">
        <v>335</v>
      </c>
      <c r="B172" t="s">
        <v>336</v>
      </c>
      <c r="C172" s="1">
        <v>45377</v>
      </c>
      <c r="D172" t="s">
        <v>47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62</v>
      </c>
      <c r="K172">
        <v>0</v>
      </c>
      <c r="L172">
        <v>0</v>
      </c>
    </row>
    <row r="173" spans="1:12" x14ac:dyDescent="0.25">
      <c r="A173" t="s">
        <v>337</v>
      </c>
      <c r="B173" t="s">
        <v>338</v>
      </c>
      <c r="C173" s="1">
        <v>45349</v>
      </c>
      <c r="D173" t="s">
        <v>21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27</v>
      </c>
      <c r="K173">
        <v>0</v>
      </c>
      <c r="L173">
        <v>0</v>
      </c>
    </row>
    <row r="174" spans="1:12" x14ac:dyDescent="0.25">
      <c r="A174" t="s">
        <v>339</v>
      </c>
      <c r="B174" t="s">
        <v>340</v>
      </c>
      <c r="C174" s="1">
        <v>45748</v>
      </c>
      <c r="D174" t="s">
        <v>30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15</v>
      </c>
      <c r="K174">
        <v>0</v>
      </c>
      <c r="L174">
        <v>0</v>
      </c>
    </row>
    <row r="175" spans="1:12" x14ac:dyDescent="0.25">
      <c r="A175" t="s">
        <v>341</v>
      </c>
      <c r="B175" t="s">
        <v>340</v>
      </c>
      <c r="C175" s="1">
        <v>45726</v>
      </c>
      <c r="D175" t="s">
        <v>14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15</v>
      </c>
      <c r="K175">
        <v>0</v>
      </c>
      <c r="L175">
        <v>0</v>
      </c>
    </row>
    <row r="176" spans="1:12" x14ac:dyDescent="0.25">
      <c r="A176" t="s">
        <v>342</v>
      </c>
      <c r="B176" t="s">
        <v>343</v>
      </c>
      <c r="C176" s="1">
        <v>45359</v>
      </c>
      <c r="D176" t="s">
        <v>33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27</v>
      </c>
      <c r="K176">
        <v>0</v>
      </c>
      <c r="L176">
        <v>0</v>
      </c>
    </row>
    <row r="177" spans="1:12" x14ac:dyDescent="0.25">
      <c r="A177" t="s">
        <v>344</v>
      </c>
      <c r="B177" t="s">
        <v>345</v>
      </c>
      <c r="C177" s="1">
        <v>45432</v>
      </c>
      <c r="D177" t="s">
        <v>24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18</v>
      </c>
      <c r="K177">
        <v>127</v>
      </c>
      <c r="L177">
        <v>1</v>
      </c>
    </row>
    <row r="178" spans="1:12" x14ac:dyDescent="0.25">
      <c r="A178" t="s">
        <v>346</v>
      </c>
      <c r="B178" t="s">
        <v>347</v>
      </c>
      <c r="C178" s="1">
        <v>45766</v>
      </c>
      <c r="D178" t="s">
        <v>14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27</v>
      </c>
      <c r="K178">
        <v>0</v>
      </c>
      <c r="L178">
        <v>0</v>
      </c>
    </row>
    <row r="179" spans="1:12" x14ac:dyDescent="0.25">
      <c r="A179" t="s">
        <v>348</v>
      </c>
      <c r="B179" t="s">
        <v>349</v>
      </c>
      <c r="C179" s="1">
        <v>45795</v>
      </c>
      <c r="D179" t="s">
        <v>14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27</v>
      </c>
      <c r="K179">
        <v>0</v>
      </c>
      <c r="L179">
        <v>0</v>
      </c>
    </row>
    <row r="180" spans="1:12" x14ac:dyDescent="0.25">
      <c r="A180" t="s">
        <v>350</v>
      </c>
      <c r="B180" t="s">
        <v>351</v>
      </c>
      <c r="C180" s="1">
        <v>45738</v>
      </c>
      <c r="D180" t="s">
        <v>14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27</v>
      </c>
      <c r="K180">
        <v>0</v>
      </c>
      <c r="L180">
        <v>0</v>
      </c>
    </row>
    <row r="181" spans="1:12" x14ac:dyDescent="0.25">
      <c r="A181" t="s">
        <v>352</v>
      </c>
      <c r="B181" t="s">
        <v>353</v>
      </c>
      <c r="C181" s="1">
        <v>45458</v>
      </c>
      <c r="D181" t="s">
        <v>36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27</v>
      </c>
      <c r="K181">
        <v>0</v>
      </c>
      <c r="L181">
        <v>0</v>
      </c>
    </row>
    <row r="182" spans="1:12" x14ac:dyDescent="0.25">
      <c r="A182" t="s">
        <v>354</v>
      </c>
      <c r="B182" t="s">
        <v>355</v>
      </c>
      <c r="C182" s="1">
        <v>45656</v>
      </c>
      <c r="D182" t="s">
        <v>30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18</v>
      </c>
      <c r="K182">
        <v>104</v>
      </c>
      <c r="L182">
        <v>1</v>
      </c>
    </row>
    <row r="183" spans="1:12" x14ac:dyDescent="0.25">
      <c r="A183" t="s">
        <v>356</v>
      </c>
      <c r="B183" t="s">
        <v>357</v>
      </c>
      <c r="C183" s="1">
        <v>45463</v>
      </c>
      <c r="D183" t="s">
        <v>36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62</v>
      </c>
      <c r="K183">
        <v>15</v>
      </c>
      <c r="L183">
        <v>0</v>
      </c>
    </row>
    <row r="184" spans="1:12" x14ac:dyDescent="0.25">
      <c r="A184" t="s">
        <v>358</v>
      </c>
      <c r="B184" t="s">
        <v>359</v>
      </c>
      <c r="C184" s="1">
        <v>45652</v>
      </c>
      <c r="D184" t="s">
        <v>24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27</v>
      </c>
      <c r="K184">
        <v>0</v>
      </c>
      <c r="L184">
        <v>0</v>
      </c>
    </row>
    <row r="185" spans="1:12" x14ac:dyDescent="0.25">
      <c r="A185" t="s">
        <v>360</v>
      </c>
      <c r="B185" t="s">
        <v>361</v>
      </c>
      <c r="C185" s="1">
        <v>45450</v>
      </c>
      <c r="D185" t="s">
        <v>14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15</v>
      </c>
      <c r="K185">
        <v>0</v>
      </c>
      <c r="L185">
        <v>0</v>
      </c>
    </row>
    <row r="186" spans="1:12" x14ac:dyDescent="0.25">
      <c r="A186" t="s">
        <v>362</v>
      </c>
      <c r="B186" t="s">
        <v>363</v>
      </c>
      <c r="C186" s="1">
        <v>45370</v>
      </c>
      <c r="D186" t="s">
        <v>21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18</v>
      </c>
      <c r="K186">
        <v>63</v>
      </c>
      <c r="L186">
        <v>1</v>
      </c>
    </row>
    <row r="187" spans="1:12" x14ac:dyDescent="0.25">
      <c r="A187" t="s">
        <v>364</v>
      </c>
      <c r="B187" t="s">
        <v>365</v>
      </c>
      <c r="C187" s="1">
        <v>45827</v>
      </c>
      <c r="D187" t="s">
        <v>14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15</v>
      </c>
      <c r="K187">
        <v>0</v>
      </c>
      <c r="L187">
        <v>0</v>
      </c>
    </row>
    <row r="188" spans="1:12" x14ac:dyDescent="0.25">
      <c r="A188" t="s">
        <v>366</v>
      </c>
      <c r="B188" t="s">
        <v>365</v>
      </c>
      <c r="C188" s="1">
        <v>45437</v>
      </c>
      <c r="D188" t="s">
        <v>41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27</v>
      </c>
      <c r="K188">
        <v>0</v>
      </c>
      <c r="L188">
        <v>0</v>
      </c>
    </row>
    <row r="189" spans="1:12" x14ac:dyDescent="0.25">
      <c r="A189" t="s">
        <v>367</v>
      </c>
      <c r="B189" t="s">
        <v>368</v>
      </c>
      <c r="C189" s="1">
        <v>45787</v>
      </c>
      <c r="D189" t="s">
        <v>17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27</v>
      </c>
      <c r="K189">
        <v>0</v>
      </c>
      <c r="L189">
        <v>0</v>
      </c>
    </row>
    <row r="190" spans="1:12" x14ac:dyDescent="0.25">
      <c r="A190" t="s">
        <v>369</v>
      </c>
      <c r="B190" t="s">
        <v>368</v>
      </c>
      <c r="C190" s="1">
        <v>45600</v>
      </c>
      <c r="D190" t="s">
        <v>21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15</v>
      </c>
      <c r="K190">
        <v>0</v>
      </c>
      <c r="L190">
        <v>0</v>
      </c>
    </row>
    <row r="191" spans="1:12" x14ac:dyDescent="0.25">
      <c r="A191" t="s">
        <v>370</v>
      </c>
      <c r="B191" t="s">
        <v>371</v>
      </c>
      <c r="C191" s="1">
        <v>45441</v>
      </c>
      <c r="D191" t="s">
        <v>38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62</v>
      </c>
      <c r="K191">
        <v>15</v>
      </c>
      <c r="L191">
        <v>0</v>
      </c>
    </row>
    <row r="192" spans="1:12" x14ac:dyDescent="0.25">
      <c r="A192" t="s">
        <v>372</v>
      </c>
      <c r="B192" t="s">
        <v>371</v>
      </c>
      <c r="C192" s="1">
        <v>45361</v>
      </c>
      <c r="D192" t="s">
        <v>30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18</v>
      </c>
      <c r="K192">
        <v>178</v>
      </c>
      <c r="L192">
        <v>1</v>
      </c>
    </row>
    <row r="193" spans="1:12" x14ac:dyDescent="0.25">
      <c r="A193" t="s">
        <v>373</v>
      </c>
      <c r="B193" t="s">
        <v>374</v>
      </c>
      <c r="C193" s="1">
        <v>45296</v>
      </c>
      <c r="D193" t="s">
        <v>21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27</v>
      </c>
      <c r="K193">
        <v>0</v>
      </c>
      <c r="L193">
        <v>0</v>
      </c>
    </row>
    <row r="194" spans="1:12" x14ac:dyDescent="0.25">
      <c r="A194" t="s">
        <v>375</v>
      </c>
      <c r="B194" t="s">
        <v>376</v>
      </c>
      <c r="C194" s="1">
        <v>45401</v>
      </c>
      <c r="D194" t="s">
        <v>14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18</v>
      </c>
      <c r="K194">
        <v>120</v>
      </c>
      <c r="L194">
        <v>1</v>
      </c>
    </row>
    <row r="195" spans="1:12" x14ac:dyDescent="0.25">
      <c r="A195" t="s">
        <v>377</v>
      </c>
      <c r="B195" t="s">
        <v>378</v>
      </c>
      <c r="C195" s="1">
        <v>45613</v>
      </c>
      <c r="D195" t="s">
        <v>17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18</v>
      </c>
      <c r="K195">
        <v>58</v>
      </c>
      <c r="L195">
        <v>1</v>
      </c>
    </row>
    <row r="196" spans="1:12" x14ac:dyDescent="0.25">
      <c r="A196" t="s">
        <v>379</v>
      </c>
      <c r="B196" t="s">
        <v>378</v>
      </c>
      <c r="C196" s="1">
        <v>45333</v>
      </c>
      <c r="D196" t="s">
        <v>21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18</v>
      </c>
      <c r="K196">
        <v>156</v>
      </c>
      <c r="L196">
        <v>1</v>
      </c>
    </row>
    <row r="197" spans="1:12" x14ac:dyDescent="0.25">
      <c r="A197" t="s">
        <v>380</v>
      </c>
      <c r="B197" t="s">
        <v>381</v>
      </c>
      <c r="C197" s="1">
        <v>45709</v>
      </c>
      <c r="D197" t="s">
        <v>24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18</v>
      </c>
      <c r="K197">
        <v>139</v>
      </c>
      <c r="L197">
        <v>1</v>
      </c>
    </row>
    <row r="198" spans="1:12" x14ac:dyDescent="0.25">
      <c r="A198" t="s">
        <v>382</v>
      </c>
      <c r="B198" t="s">
        <v>383</v>
      </c>
      <c r="C198" s="1">
        <v>45795</v>
      </c>
      <c r="D198" t="s">
        <v>36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27</v>
      </c>
      <c r="K198">
        <v>0</v>
      </c>
      <c r="L198">
        <v>0</v>
      </c>
    </row>
    <row r="199" spans="1:12" x14ac:dyDescent="0.25">
      <c r="A199" t="s">
        <v>384</v>
      </c>
      <c r="B199" t="s">
        <v>385</v>
      </c>
      <c r="C199" s="1">
        <v>45464</v>
      </c>
      <c r="D199" t="s">
        <v>36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18</v>
      </c>
      <c r="K199">
        <v>80</v>
      </c>
      <c r="L199">
        <v>1</v>
      </c>
    </row>
    <row r="200" spans="1:12" x14ac:dyDescent="0.25">
      <c r="A200" t="s">
        <v>386</v>
      </c>
      <c r="B200" t="s">
        <v>387</v>
      </c>
      <c r="C200" s="1">
        <v>45803</v>
      </c>
      <c r="D200" t="s">
        <v>47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18</v>
      </c>
      <c r="K200">
        <v>178</v>
      </c>
      <c r="L200">
        <v>1</v>
      </c>
    </row>
    <row r="201" spans="1:12" x14ac:dyDescent="0.25">
      <c r="A201" t="s">
        <v>388</v>
      </c>
      <c r="B201" t="s">
        <v>389</v>
      </c>
      <c r="C201" s="1">
        <v>45815</v>
      </c>
      <c r="D201" t="s">
        <v>17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27</v>
      </c>
      <c r="K201">
        <v>0</v>
      </c>
      <c r="L201">
        <v>0</v>
      </c>
    </row>
    <row r="202" spans="1:12" x14ac:dyDescent="0.25">
      <c r="A202" t="s">
        <v>390</v>
      </c>
      <c r="B202" t="s">
        <v>391</v>
      </c>
      <c r="C202" s="1">
        <v>45346</v>
      </c>
      <c r="D202" t="s">
        <v>14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27</v>
      </c>
      <c r="K202">
        <v>0</v>
      </c>
      <c r="L202">
        <v>0</v>
      </c>
    </row>
    <row r="203" spans="1:12" x14ac:dyDescent="0.25">
      <c r="A203" t="s">
        <v>392</v>
      </c>
      <c r="B203" t="s">
        <v>393</v>
      </c>
      <c r="C203" s="1">
        <v>45370</v>
      </c>
      <c r="D203" t="s">
        <v>47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27</v>
      </c>
      <c r="K203">
        <v>0</v>
      </c>
      <c r="L203">
        <v>0</v>
      </c>
    </row>
    <row r="204" spans="1:12" x14ac:dyDescent="0.25">
      <c r="A204" t="s">
        <v>394</v>
      </c>
      <c r="B204" t="s">
        <v>395</v>
      </c>
      <c r="C204" s="1">
        <v>45310</v>
      </c>
      <c r="D204" t="s">
        <v>24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27</v>
      </c>
      <c r="K204">
        <v>0</v>
      </c>
      <c r="L204">
        <v>0</v>
      </c>
    </row>
    <row r="205" spans="1:12" x14ac:dyDescent="0.25">
      <c r="A205" t="s">
        <v>396</v>
      </c>
      <c r="B205" t="s">
        <v>397</v>
      </c>
      <c r="C205" s="1">
        <v>45325</v>
      </c>
      <c r="D205" t="s">
        <v>17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15</v>
      </c>
      <c r="K205">
        <v>0</v>
      </c>
      <c r="L205">
        <v>0</v>
      </c>
    </row>
    <row r="206" spans="1:12" x14ac:dyDescent="0.25">
      <c r="A206" t="s">
        <v>398</v>
      </c>
      <c r="B206" t="s">
        <v>397</v>
      </c>
      <c r="C206" s="1">
        <v>45404</v>
      </c>
      <c r="D206" t="s">
        <v>33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27</v>
      </c>
      <c r="K206">
        <v>0</v>
      </c>
      <c r="L206">
        <v>0</v>
      </c>
    </row>
    <row r="207" spans="1:12" x14ac:dyDescent="0.25">
      <c r="A207" t="s">
        <v>399</v>
      </c>
      <c r="B207" t="s">
        <v>400</v>
      </c>
      <c r="C207" s="1">
        <v>45561</v>
      </c>
      <c r="D207" t="s">
        <v>14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62</v>
      </c>
      <c r="K207">
        <v>30</v>
      </c>
      <c r="L207">
        <v>0</v>
      </c>
    </row>
    <row r="208" spans="1:12" x14ac:dyDescent="0.25">
      <c r="A208" t="s">
        <v>401</v>
      </c>
      <c r="B208" t="s">
        <v>402</v>
      </c>
      <c r="C208" s="1">
        <v>45667</v>
      </c>
      <c r="D208" t="s">
        <v>24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27</v>
      </c>
      <c r="K208">
        <v>0</v>
      </c>
      <c r="L208">
        <v>0</v>
      </c>
    </row>
    <row r="209" spans="1:12" x14ac:dyDescent="0.25">
      <c r="A209" t="s">
        <v>403</v>
      </c>
      <c r="B209" t="s">
        <v>404</v>
      </c>
      <c r="C209" s="1">
        <v>45349</v>
      </c>
      <c r="D209" t="s">
        <v>30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62</v>
      </c>
      <c r="K209">
        <v>0</v>
      </c>
      <c r="L209">
        <v>0</v>
      </c>
    </row>
    <row r="210" spans="1:12" x14ac:dyDescent="0.25">
      <c r="A210" t="s">
        <v>405</v>
      </c>
      <c r="B210" t="s">
        <v>404</v>
      </c>
      <c r="C210" s="1">
        <v>45465</v>
      </c>
      <c r="D210" t="s">
        <v>47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18</v>
      </c>
      <c r="K210">
        <v>113</v>
      </c>
      <c r="L210">
        <v>1</v>
      </c>
    </row>
    <row r="211" spans="1:12" x14ac:dyDescent="0.25">
      <c r="A211" t="s">
        <v>406</v>
      </c>
      <c r="B211" t="s">
        <v>407</v>
      </c>
      <c r="C211" s="1">
        <v>45772</v>
      </c>
      <c r="D211" t="s">
        <v>17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62</v>
      </c>
      <c r="K211">
        <v>30</v>
      </c>
      <c r="L211">
        <v>0</v>
      </c>
    </row>
    <row r="212" spans="1:12" x14ac:dyDescent="0.25">
      <c r="A212" t="s">
        <v>408</v>
      </c>
      <c r="B212" t="s">
        <v>409</v>
      </c>
      <c r="C212" s="1">
        <v>45806</v>
      </c>
      <c r="D212" t="s">
        <v>47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27</v>
      </c>
      <c r="K212">
        <v>0</v>
      </c>
      <c r="L212">
        <v>0</v>
      </c>
    </row>
    <row r="213" spans="1:12" x14ac:dyDescent="0.25">
      <c r="A213" t="s">
        <v>410</v>
      </c>
      <c r="B213" t="s">
        <v>411</v>
      </c>
      <c r="C213" s="1">
        <v>45511</v>
      </c>
      <c r="D213" t="s">
        <v>17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18</v>
      </c>
      <c r="K213">
        <v>42</v>
      </c>
      <c r="L213">
        <v>1</v>
      </c>
    </row>
    <row r="214" spans="1:12" x14ac:dyDescent="0.25">
      <c r="A214" t="s">
        <v>412</v>
      </c>
      <c r="B214" t="s">
        <v>413</v>
      </c>
      <c r="C214" s="1">
        <v>45389</v>
      </c>
      <c r="D214" t="s">
        <v>47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27</v>
      </c>
      <c r="K214">
        <v>0</v>
      </c>
      <c r="L214">
        <v>0</v>
      </c>
    </row>
    <row r="215" spans="1:12" x14ac:dyDescent="0.25">
      <c r="A215" t="s">
        <v>414</v>
      </c>
      <c r="B215" t="s">
        <v>415</v>
      </c>
      <c r="C215" s="1">
        <v>45599</v>
      </c>
      <c r="D215" t="s">
        <v>17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18</v>
      </c>
      <c r="K215">
        <v>168</v>
      </c>
      <c r="L215">
        <v>1</v>
      </c>
    </row>
    <row r="216" spans="1:12" x14ac:dyDescent="0.25">
      <c r="A216" t="s">
        <v>416</v>
      </c>
      <c r="B216" t="s">
        <v>417</v>
      </c>
      <c r="C216" s="1">
        <v>45476</v>
      </c>
      <c r="D216" t="s">
        <v>17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27</v>
      </c>
      <c r="K216">
        <v>0</v>
      </c>
      <c r="L216">
        <v>0</v>
      </c>
    </row>
    <row r="217" spans="1:12" x14ac:dyDescent="0.25">
      <c r="A217" t="s">
        <v>418</v>
      </c>
      <c r="B217" t="s">
        <v>419</v>
      </c>
      <c r="C217" s="1">
        <v>45837</v>
      </c>
      <c r="D217" t="s">
        <v>14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62</v>
      </c>
      <c r="K217">
        <v>15</v>
      </c>
      <c r="L217">
        <v>0</v>
      </c>
    </row>
    <row r="218" spans="1:12" x14ac:dyDescent="0.25">
      <c r="A218" t="s">
        <v>420</v>
      </c>
      <c r="B218" t="s">
        <v>421</v>
      </c>
      <c r="C218" s="1">
        <v>45599</v>
      </c>
      <c r="D218" t="s">
        <v>41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15</v>
      </c>
      <c r="K218">
        <v>0</v>
      </c>
      <c r="L218">
        <v>0</v>
      </c>
    </row>
    <row r="219" spans="1:12" x14ac:dyDescent="0.25">
      <c r="A219" t="s">
        <v>422</v>
      </c>
      <c r="B219" t="s">
        <v>421</v>
      </c>
      <c r="C219" s="1">
        <v>45456</v>
      </c>
      <c r="D219" t="s">
        <v>36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27</v>
      </c>
      <c r="K219">
        <v>0</v>
      </c>
      <c r="L219">
        <v>0</v>
      </c>
    </row>
    <row r="220" spans="1:12" x14ac:dyDescent="0.25">
      <c r="A220" t="s">
        <v>423</v>
      </c>
      <c r="B220" t="s">
        <v>424</v>
      </c>
      <c r="C220" s="1">
        <v>45738</v>
      </c>
      <c r="D220" t="s">
        <v>38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62</v>
      </c>
      <c r="K220">
        <v>15</v>
      </c>
      <c r="L220">
        <v>0</v>
      </c>
    </row>
    <row r="221" spans="1:12" x14ac:dyDescent="0.25">
      <c r="A221" t="s">
        <v>425</v>
      </c>
      <c r="B221" t="s">
        <v>426</v>
      </c>
      <c r="C221" s="1">
        <v>45335</v>
      </c>
      <c r="D221" t="s">
        <v>41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27</v>
      </c>
      <c r="K221">
        <v>0</v>
      </c>
      <c r="L221">
        <v>0</v>
      </c>
    </row>
    <row r="222" spans="1:12" x14ac:dyDescent="0.25">
      <c r="A222" t="s">
        <v>427</v>
      </c>
      <c r="B222" t="s">
        <v>428</v>
      </c>
      <c r="C222" s="1">
        <v>45708</v>
      </c>
      <c r="D222" t="s">
        <v>36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15</v>
      </c>
      <c r="K222">
        <v>0</v>
      </c>
      <c r="L222">
        <v>0</v>
      </c>
    </row>
    <row r="223" spans="1:12" x14ac:dyDescent="0.25">
      <c r="A223" t="s">
        <v>429</v>
      </c>
      <c r="B223" t="s">
        <v>428</v>
      </c>
      <c r="C223" s="1">
        <v>45804</v>
      </c>
      <c r="D223" t="s">
        <v>17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15</v>
      </c>
      <c r="K223">
        <v>0</v>
      </c>
      <c r="L223">
        <v>0</v>
      </c>
    </row>
    <row r="224" spans="1:12" x14ac:dyDescent="0.25">
      <c r="A224" t="s">
        <v>430</v>
      </c>
      <c r="B224" t="s">
        <v>431</v>
      </c>
      <c r="C224" s="1">
        <v>45612</v>
      </c>
      <c r="D224" t="s">
        <v>21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27</v>
      </c>
      <c r="K224">
        <v>0</v>
      </c>
      <c r="L224">
        <v>0</v>
      </c>
    </row>
    <row r="225" spans="1:12" x14ac:dyDescent="0.25">
      <c r="A225" t="s">
        <v>432</v>
      </c>
      <c r="B225" t="s">
        <v>431</v>
      </c>
      <c r="C225" s="1">
        <v>45573</v>
      </c>
      <c r="D225" t="s">
        <v>38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27</v>
      </c>
      <c r="K225">
        <v>0</v>
      </c>
      <c r="L225">
        <v>0</v>
      </c>
    </row>
    <row r="226" spans="1:12" x14ac:dyDescent="0.25">
      <c r="A226" t="s">
        <v>433</v>
      </c>
      <c r="B226" t="s">
        <v>434</v>
      </c>
      <c r="C226" s="1">
        <v>45544</v>
      </c>
      <c r="D226" t="s">
        <v>30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62</v>
      </c>
      <c r="K226">
        <v>15</v>
      </c>
      <c r="L226">
        <v>0</v>
      </c>
    </row>
    <row r="227" spans="1:12" x14ac:dyDescent="0.25">
      <c r="A227" t="s">
        <v>435</v>
      </c>
      <c r="B227" t="s">
        <v>436</v>
      </c>
      <c r="C227" s="1">
        <v>45347</v>
      </c>
      <c r="D227" t="s">
        <v>30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27</v>
      </c>
      <c r="K227">
        <v>0</v>
      </c>
      <c r="L227">
        <v>0</v>
      </c>
    </row>
    <row r="228" spans="1:12" x14ac:dyDescent="0.25">
      <c r="A228" t="s">
        <v>437</v>
      </c>
      <c r="B228" t="s">
        <v>438</v>
      </c>
      <c r="C228" s="1">
        <v>45534</v>
      </c>
      <c r="D228" t="s">
        <v>24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15</v>
      </c>
      <c r="K228">
        <v>0</v>
      </c>
      <c r="L228">
        <v>0</v>
      </c>
    </row>
    <row r="229" spans="1:12" x14ac:dyDescent="0.25">
      <c r="A229" t="s">
        <v>439</v>
      </c>
      <c r="B229" t="s">
        <v>440</v>
      </c>
      <c r="C229" s="1">
        <v>45456</v>
      </c>
      <c r="D229" t="s">
        <v>24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15</v>
      </c>
      <c r="K229">
        <v>0</v>
      </c>
      <c r="L229">
        <v>0</v>
      </c>
    </row>
    <row r="230" spans="1:12" x14ac:dyDescent="0.25">
      <c r="A230" t="s">
        <v>441</v>
      </c>
      <c r="B230" t="s">
        <v>442</v>
      </c>
      <c r="C230" s="1">
        <v>45795</v>
      </c>
      <c r="D230" t="s">
        <v>17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15</v>
      </c>
      <c r="K230">
        <v>0</v>
      </c>
      <c r="L230">
        <v>0</v>
      </c>
    </row>
    <row r="231" spans="1:12" x14ac:dyDescent="0.25">
      <c r="A231" t="s">
        <v>443</v>
      </c>
      <c r="B231" t="s">
        <v>444</v>
      </c>
      <c r="C231" s="1">
        <v>45722</v>
      </c>
      <c r="D231" t="s">
        <v>36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15</v>
      </c>
      <c r="K231">
        <v>0</v>
      </c>
      <c r="L231">
        <v>0</v>
      </c>
    </row>
    <row r="232" spans="1:12" x14ac:dyDescent="0.25">
      <c r="A232" t="s">
        <v>445</v>
      </c>
      <c r="B232" t="s">
        <v>446</v>
      </c>
      <c r="C232" s="1">
        <v>45431</v>
      </c>
      <c r="D232" t="s">
        <v>41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18</v>
      </c>
      <c r="K232">
        <v>81</v>
      </c>
      <c r="L232">
        <v>1</v>
      </c>
    </row>
    <row r="233" spans="1:12" x14ac:dyDescent="0.25">
      <c r="A233" t="s">
        <v>447</v>
      </c>
      <c r="B233" t="s">
        <v>448</v>
      </c>
      <c r="C233" s="1">
        <v>45425</v>
      </c>
      <c r="D233" t="s">
        <v>30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15</v>
      </c>
      <c r="K233">
        <v>0</v>
      </c>
      <c r="L233">
        <v>0</v>
      </c>
    </row>
    <row r="234" spans="1:12" x14ac:dyDescent="0.25">
      <c r="A234" t="s">
        <v>449</v>
      </c>
      <c r="B234" t="s">
        <v>450</v>
      </c>
      <c r="C234" s="1">
        <v>45627</v>
      </c>
      <c r="D234" t="s">
        <v>14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27</v>
      </c>
      <c r="K234">
        <v>0</v>
      </c>
      <c r="L234">
        <v>0</v>
      </c>
    </row>
    <row r="235" spans="1:12" x14ac:dyDescent="0.25">
      <c r="A235" t="s">
        <v>451</v>
      </c>
      <c r="B235" t="s">
        <v>452</v>
      </c>
      <c r="C235" s="1">
        <v>45315</v>
      </c>
      <c r="D235" t="s">
        <v>17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62</v>
      </c>
      <c r="K235">
        <v>0</v>
      </c>
      <c r="L235">
        <v>0</v>
      </c>
    </row>
    <row r="236" spans="1:12" x14ac:dyDescent="0.25">
      <c r="A236" t="s">
        <v>453</v>
      </c>
      <c r="B236" t="s">
        <v>454</v>
      </c>
      <c r="C236" s="1">
        <v>45731</v>
      </c>
      <c r="D236" t="s">
        <v>14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15</v>
      </c>
      <c r="K236">
        <v>0</v>
      </c>
      <c r="L236">
        <v>0</v>
      </c>
    </row>
    <row r="237" spans="1:12" x14ac:dyDescent="0.25">
      <c r="A237" t="s">
        <v>455</v>
      </c>
      <c r="B237" t="s">
        <v>454</v>
      </c>
      <c r="C237" s="1">
        <v>45756</v>
      </c>
      <c r="D237" t="s">
        <v>33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27</v>
      </c>
      <c r="K237">
        <v>0</v>
      </c>
      <c r="L237">
        <v>0</v>
      </c>
    </row>
    <row r="238" spans="1:12" x14ac:dyDescent="0.25">
      <c r="A238" t="s">
        <v>456</v>
      </c>
      <c r="B238" t="s">
        <v>457</v>
      </c>
      <c r="C238" s="1">
        <v>45503</v>
      </c>
      <c r="D238" t="s">
        <v>24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62</v>
      </c>
      <c r="K238">
        <v>30</v>
      </c>
      <c r="L238">
        <v>0</v>
      </c>
    </row>
    <row r="239" spans="1:12" x14ac:dyDescent="0.25">
      <c r="A239" t="s">
        <v>458</v>
      </c>
      <c r="B239" t="s">
        <v>459</v>
      </c>
      <c r="C239" s="1">
        <v>45560</v>
      </c>
      <c r="D239" t="s">
        <v>17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27</v>
      </c>
      <c r="K239">
        <v>0</v>
      </c>
      <c r="L239">
        <v>0</v>
      </c>
    </row>
    <row r="240" spans="1:12" x14ac:dyDescent="0.25">
      <c r="A240" t="s">
        <v>460</v>
      </c>
      <c r="B240" t="s">
        <v>461</v>
      </c>
      <c r="C240" s="1">
        <v>45699</v>
      </c>
      <c r="D240" t="s">
        <v>14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15</v>
      </c>
      <c r="K240">
        <v>0</v>
      </c>
      <c r="L240">
        <v>0</v>
      </c>
    </row>
    <row r="241" spans="1:12" x14ac:dyDescent="0.25">
      <c r="A241" t="s">
        <v>462</v>
      </c>
      <c r="B241" t="s">
        <v>463</v>
      </c>
      <c r="C241" s="1">
        <v>45532</v>
      </c>
      <c r="D241" t="s">
        <v>24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62</v>
      </c>
      <c r="K241">
        <v>0</v>
      </c>
      <c r="L241">
        <v>0</v>
      </c>
    </row>
    <row r="242" spans="1:12" x14ac:dyDescent="0.25">
      <c r="A242" t="s">
        <v>464</v>
      </c>
      <c r="B242" t="s">
        <v>465</v>
      </c>
      <c r="C242" s="1">
        <v>45682</v>
      </c>
      <c r="D242" t="s">
        <v>47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18</v>
      </c>
      <c r="K242">
        <v>131</v>
      </c>
      <c r="L242">
        <v>1</v>
      </c>
    </row>
    <row r="243" spans="1:12" x14ac:dyDescent="0.25">
      <c r="A243" t="s">
        <v>466</v>
      </c>
      <c r="B243" t="s">
        <v>467</v>
      </c>
      <c r="C243" s="1">
        <v>45465</v>
      </c>
      <c r="D243" t="s">
        <v>33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18</v>
      </c>
      <c r="K243">
        <v>116</v>
      </c>
      <c r="L243">
        <v>1</v>
      </c>
    </row>
    <row r="244" spans="1:12" x14ac:dyDescent="0.25">
      <c r="A244" t="s">
        <v>468</v>
      </c>
      <c r="B244" t="s">
        <v>469</v>
      </c>
      <c r="C244" s="1">
        <v>45411</v>
      </c>
      <c r="D244" t="s">
        <v>33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62</v>
      </c>
      <c r="K244">
        <v>30</v>
      </c>
      <c r="L244">
        <v>0</v>
      </c>
    </row>
    <row r="245" spans="1:12" x14ac:dyDescent="0.25">
      <c r="A245" t="s">
        <v>470</v>
      </c>
      <c r="B245" t="s">
        <v>469</v>
      </c>
      <c r="C245" s="1">
        <v>45561</v>
      </c>
      <c r="D245" t="s">
        <v>24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27</v>
      </c>
      <c r="K245">
        <v>0</v>
      </c>
      <c r="L245">
        <v>0</v>
      </c>
    </row>
    <row r="246" spans="1:12" x14ac:dyDescent="0.25">
      <c r="A246" t="s">
        <v>471</v>
      </c>
      <c r="B246" t="s">
        <v>472</v>
      </c>
      <c r="C246" s="1">
        <v>45742</v>
      </c>
      <c r="D246" t="s">
        <v>33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18</v>
      </c>
      <c r="K246">
        <v>68</v>
      </c>
      <c r="L246">
        <v>1</v>
      </c>
    </row>
    <row r="247" spans="1:12" x14ac:dyDescent="0.25">
      <c r="A247" t="s">
        <v>473</v>
      </c>
      <c r="B247" t="s">
        <v>474</v>
      </c>
      <c r="C247" s="1">
        <v>45798</v>
      </c>
      <c r="D247" t="s">
        <v>33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18</v>
      </c>
      <c r="K247">
        <v>121</v>
      </c>
      <c r="L247">
        <v>1</v>
      </c>
    </row>
    <row r="248" spans="1:12" x14ac:dyDescent="0.25">
      <c r="A248" t="s">
        <v>475</v>
      </c>
      <c r="B248" t="s">
        <v>476</v>
      </c>
      <c r="C248" s="1">
        <v>45387</v>
      </c>
      <c r="D248" t="s">
        <v>21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15</v>
      </c>
      <c r="K248">
        <v>0</v>
      </c>
      <c r="L248">
        <v>0</v>
      </c>
    </row>
    <row r="249" spans="1:12" x14ac:dyDescent="0.25">
      <c r="A249" t="s">
        <v>477</v>
      </c>
      <c r="B249" t="s">
        <v>476</v>
      </c>
      <c r="C249" s="1">
        <v>45296</v>
      </c>
      <c r="D249" t="s">
        <v>21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27</v>
      </c>
      <c r="K249">
        <v>0</v>
      </c>
      <c r="L249">
        <v>0</v>
      </c>
    </row>
    <row r="250" spans="1:12" x14ac:dyDescent="0.25">
      <c r="A250" t="s">
        <v>478</v>
      </c>
      <c r="B250" t="s">
        <v>479</v>
      </c>
      <c r="C250" s="1">
        <v>45416</v>
      </c>
      <c r="D250" t="s">
        <v>14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15</v>
      </c>
      <c r="K250">
        <v>0</v>
      </c>
      <c r="L250">
        <v>0</v>
      </c>
    </row>
    <row r="251" spans="1:12" x14ac:dyDescent="0.25">
      <c r="A251" t="s">
        <v>480</v>
      </c>
      <c r="B251" t="s">
        <v>481</v>
      </c>
      <c r="C251" s="1">
        <v>45567</v>
      </c>
      <c r="D251" t="s">
        <v>33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15</v>
      </c>
      <c r="K251">
        <v>0</v>
      </c>
      <c r="L251">
        <v>0</v>
      </c>
    </row>
    <row r="252" spans="1:12" x14ac:dyDescent="0.25">
      <c r="A252" t="s">
        <v>482</v>
      </c>
      <c r="B252" t="s">
        <v>481</v>
      </c>
      <c r="C252" s="1">
        <v>45341</v>
      </c>
      <c r="D252" t="s">
        <v>47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15</v>
      </c>
      <c r="K252">
        <v>0</v>
      </c>
      <c r="L252">
        <v>0</v>
      </c>
    </row>
    <row r="253" spans="1:12" x14ac:dyDescent="0.25">
      <c r="A253" t="s">
        <v>483</v>
      </c>
      <c r="B253" t="s">
        <v>484</v>
      </c>
      <c r="C253" s="1">
        <v>45537</v>
      </c>
      <c r="D253" t="s">
        <v>21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62</v>
      </c>
      <c r="K253">
        <v>15</v>
      </c>
      <c r="L253">
        <v>0</v>
      </c>
    </row>
    <row r="254" spans="1:12" x14ac:dyDescent="0.25">
      <c r="A254" t="s">
        <v>485</v>
      </c>
      <c r="B254" t="s">
        <v>486</v>
      </c>
      <c r="C254" s="1">
        <v>45794</v>
      </c>
      <c r="D254" t="s">
        <v>33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15</v>
      </c>
      <c r="K254">
        <v>0</v>
      </c>
      <c r="L254">
        <v>0</v>
      </c>
    </row>
    <row r="255" spans="1:12" x14ac:dyDescent="0.25">
      <c r="A255" t="s">
        <v>487</v>
      </c>
      <c r="B255" t="s">
        <v>486</v>
      </c>
      <c r="C255" s="1">
        <v>45793</v>
      </c>
      <c r="D255" t="s">
        <v>47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27</v>
      </c>
      <c r="K255">
        <v>0</v>
      </c>
      <c r="L255">
        <v>0</v>
      </c>
    </row>
    <row r="256" spans="1:12" x14ac:dyDescent="0.25">
      <c r="A256" t="s">
        <v>488</v>
      </c>
      <c r="B256" t="s">
        <v>489</v>
      </c>
      <c r="C256" s="1">
        <v>45728</v>
      </c>
      <c r="D256" t="s">
        <v>36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18</v>
      </c>
      <c r="K256">
        <v>161</v>
      </c>
      <c r="L256">
        <v>1</v>
      </c>
    </row>
    <row r="257" spans="1:12" x14ac:dyDescent="0.25">
      <c r="A257" t="s">
        <v>490</v>
      </c>
      <c r="B257" t="s">
        <v>491</v>
      </c>
      <c r="C257" s="1">
        <v>45831</v>
      </c>
      <c r="D257" t="s">
        <v>14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27</v>
      </c>
      <c r="K257">
        <v>0</v>
      </c>
      <c r="L257">
        <v>0</v>
      </c>
    </row>
    <row r="258" spans="1:12" x14ac:dyDescent="0.25">
      <c r="A258" t="s">
        <v>492</v>
      </c>
      <c r="B258" t="s">
        <v>493</v>
      </c>
      <c r="C258" s="1">
        <v>45827</v>
      </c>
      <c r="D258" t="s">
        <v>14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27</v>
      </c>
      <c r="K258">
        <v>0</v>
      </c>
      <c r="L258">
        <v>0</v>
      </c>
    </row>
    <row r="259" spans="1:12" x14ac:dyDescent="0.25">
      <c r="A259" t="s">
        <v>494</v>
      </c>
      <c r="B259" t="s">
        <v>495</v>
      </c>
      <c r="C259" s="1">
        <v>45551</v>
      </c>
      <c r="D259" t="s">
        <v>21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18</v>
      </c>
      <c r="K259">
        <v>179</v>
      </c>
      <c r="L259">
        <v>1</v>
      </c>
    </row>
    <row r="260" spans="1:12" x14ac:dyDescent="0.25">
      <c r="A260" t="s">
        <v>496</v>
      </c>
      <c r="B260" t="s">
        <v>495</v>
      </c>
      <c r="C260" s="1">
        <v>45478</v>
      </c>
      <c r="D260" t="s">
        <v>36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27</v>
      </c>
      <c r="K260">
        <v>0</v>
      </c>
      <c r="L260">
        <v>0</v>
      </c>
    </row>
    <row r="261" spans="1:12" x14ac:dyDescent="0.25">
      <c r="A261" t="s">
        <v>497</v>
      </c>
      <c r="B261" t="s">
        <v>498</v>
      </c>
      <c r="C261" s="1">
        <v>45563</v>
      </c>
      <c r="D261" t="s">
        <v>30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62</v>
      </c>
      <c r="K261">
        <v>15</v>
      </c>
      <c r="L261">
        <v>0</v>
      </c>
    </row>
    <row r="262" spans="1:12" x14ac:dyDescent="0.25">
      <c r="A262" t="s">
        <v>499</v>
      </c>
      <c r="B262" t="s">
        <v>500</v>
      </c>
      <c r="C262" s="1">
        <v>45310</v>
      </c>
      <c r="D262" t="s">
        <v>36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18</v>
      </c>
      <c r="K262">
        <v>59</v>
      </c>
      <c r="L262">
        <v>1</v>
      </c>
    </row>
    <row r="263" spans="1:12" x14ac:dyDescent="0.25">
      <c r="A263" t="s">
        <v>501</v>
      </c>
      <c r="B263" t="s">
        <v>502</v>
      </c>
      <c r="C263" s="1">
        <v>45602</v>
      </c>
      <c r="D263" t="s">
        <v>14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62</v>
      </c>
      <c r="K263">
        <v>30</v>
      </c>
      <c r="L263">
        <v>0</v>
      </c>
    </row>
    <row r="264" spans="1:12" x14ac:dyDescent="0.25">
      <c r="A264" t="s">
        <v>503</v>
      </c>
      <c r="B264" t="s">
        <v>504</v>
      </c>
      <c r="C264" s="1">
        <v>45406</v>
      </c>
      <c r="D264" t="s">
        <v>17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27</v>
      </c>
      <c r="K264">
        <v>0</v>
      </c>
      <c r="L264">
        <v>0</v>
      </c>
    </row>
    <row r="265" spans="1:12" x14ac:dyDescent="0.25">
      <c r="A265" t="s">
        <v>505</v>
      </c>
      <c r="B265" t="s">
        <v>506</v>
      </c>
      <c r="C265" s="1">
        <v>45487</v>
      </c>
      <c r="D265" t="s">
        <v>14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27</v>
      </c>
      <c r="K265">
        <v>0</v>
      </c>
      <c r="L265">
        <v>0</v>
      </c>
    </row>
    <row r="266" spans="1:12" x14ac:dyDescent="0.25">
      <c r="A266" t="s">
        <v>507</v>
      </c>
      <c r="B266" t="s">
        <v>508</v>
      </c>
      <c r="C266" s="1">
        <v>45774</v>
      </c>
      <c r="D266" t="s">
        <v>36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18</v>
      </c>
      <c r="K266">
        <v>145</v>
      </c>
      <c r="L266">
        <v>1</v>
      </c>
    </row>
    <row r="267" spans="1:12" x14ac:dyDescent="0.25">
      <c r="A267" t="s">
        <v>509</v>
      </c>
      <c r="B267" t="s">
        <v>510</v>
      </c>
      <c r="C267" s="1">
        <v>45300</v>
      </c>
      <c r="D267" t="s">
        <v>38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18</v>
      </c>
      <c r="K267">
        <v>140</v>
      </c>
      <c r="L267">
        <v>1</v>
      </c>
    </row>
    <row r="268" spans="1:12" x14ac:dyDescent="0.25">
      <c r="A268" t="s">
        <v>511</v>
      </c>
      <c r="B268" t="s">
        <v>512</v>
      </c>
      <c r="C268" s="1">
        <v>45329</v>
      </c>
      <c r="D268" t="s">
        <v>14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27</v>
      </c>
      <c r="K268">
        <v>0</v>
      </c>
      <c r="L268">
        <v>0</v>
      </c>
    </row>
    <row r="269" spans="1:12" x14ac:dyDescent="0.25">
      <c r="A269" t="s">
        <v>513</v>
      </c>
      <c r="B269" t="s">
        <v>512</v>
      </c>
      <c r="C269" s="1">
        <v>45354</v>
      </c>
      <c r="D269" t="s">
        <v>47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27</v>
      </c>
      <c r="K269">
        <v>0</v>
      </c>
      <c r="L269">
        <v>0</v>
      </c>
    </row>
    <row r="270" spans="1:12" x14ac:dyDescent="0.25">
      <c r="A270" t="s">
        <v>514</v>
      </c>
      <c r="B270" t="s">
        <v>515</v>
      </c>
      <c r="C270" s="1">
        <v>45647</v>
      </c>
      <c r="D270" t="s">
        <v>17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27</v>
      </c>
      <c r="K270">
        <v>0</v>
      </c>
      <c r="L270">
        <v>0</v>
      </c>
    </row>
    <row r="271" spans="1:12" x14ac:dyDescent="0.25">
      <c r="A271" t="s">
        <v>516</v>
      </c>
      <c r="B271" t="s">
        <v>517</v>
      </c>
      <c r="C271" s="1">
        <v>45639</v>
      </c>
      <c r="D271" t="s">
        <v>14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62</v>
      </c>
      <c r="K271">
        <v>15</v>
      </c>
      <c r="L271">
        <v>0</v>
      </c>
    </row>
    <row r="272" spans="1:12" x14ac:dyDescent="0.25">
      <c r="A272" t="s">
        <v>518</v>
      </c>
      <c r="B272" t="s">
        <v>519</v>
      </c>
      <c r="C272" s="1">
        <v>45660</v>
      </c>
      <c r="D272" t="s">
        <v>24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15</v>
      </c>
      <c r="K272">
        <v>0</v>
      </c>
      <c r="L272">
        <v>0</v>
      </c>
    </row>
    <row r="273" spans="1:12" x14ac:dyDescent="0.25">
      <c r="A273" t="s">
        <v>520</v>
      </c>
      <c r="B273" t="s">
        <v>521</v>
      </c>
      <c r="C273" s="1">
        <v>45496</v>
      </c>
      <c r="D273" t="s">
        <v>24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18</v>
      </c>
      <c r="K273">
        <v>155</v>
      </c>
      <c r="L273">
        <v>1</v>
      </c>
    </row>
    <row r="274" spans="1:12" x14ac:dyDescent="0.25">
      <c r="A274" t="s">
        <v>522</v>
      </c>
      <c r="B274" t="s">
        <v>523</v>
      </c>
      <c r="C274" s="1">
        <v>45340</v>
      </c>
      <c r="D274" t="s">
        <v>17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27</v>
      </c>
      <c r="K274">
        <v>0</v>
      </c>
      <c r="L274">
        <v>0</v>
      </c>
    </row>
    <row r="275" spans="1:12" x14ac:dyDescent="0.25">
      <c r="A275" t="s">
        <v>524</v>
      </c>
      <c r="B275" t="s">
        <v>525</v>
      </c>
      <c r="C275" s="1">
        <v>45637</v>
      </c>
      <c r="D275" t="s">
        <v>33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18</v>
      </c>
      <c r="K275">
        <v>88</v>
      </c>
      <c r="L275">
        <v>1</v>
      </c>
    </row>
    <row r="276" spans="1:12" x14ac:dyDescent="0.25">
      <c r="A276" t="s">
        <v>526</v>
      </c>
      <c r="B276" t="s">
        <v>527</v>
      </c>
      <c r="C276" s="1">
        <v>45565</v>
      </c>
      <c r="D276" t="s">
        <v>38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62</v>
      </c>
      <c r="K276">
        <v>15</v>
      </c>
      <c r="L276">
        <v>0</v>
      </c>
    </row>
    <row r="277" spans="1:12" x14ac:dyDescent="0.25">
      <c r="A277" t="s">
        <v>528</v>
      </c>
      <c r="B277" t="s">
        <v>529</v>
      </c>
      <c r="C277" s="1">
        <v>45405</v>
      </c>
      <c r="D277" t="s">
        <v>36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62</v>
      </c>
      <c r="K277">
        <v>0</v>
      </c>
      <c r="L277">
        <v>0</v>
      </c>
    </row>
    <row r="278" spans="1:12" x14ac:dyDescent="0.25">
      <c r="A278" t="s">
        <v>530</v>
      </c>
      <c r="B278" t="s">
        <v>531</v>
      </c>
      <c r="C278" s="1">
        <v>45412</v>
      </c>
      <c r="D278" t="s">
        <v>36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62</v>
      </c>
      <c r="K278">
        <v>15</v>
      </c>
      <c r="L278">
        <v>0</v>
      </c>
    </row>
    <row r="279" spans="1:12" x14ac:dyDescent="0.25">
      <c r="A279" t="s">
        <v>532</v>
      </c>
      <c r="B279" t="s">
        <v>531</v>
      </c>
      <c r="C279" s="1">
        <v>45393</v>
      </c>
      <c r="D279" t="s">
        <v>24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18</v>
      </c>
      <c r="K279">
        <v>123</v>
      </c>
      <c r="L279">
        <v>1</v>
      </c>
    </row>
    <row r="280" spans="1:12" x14ac:dyDescent="0.25">
      <c r="A280" t="s">
        <v>533</v>
      </c>
      <c r="B280" t="s">
        <v>534</v>
      </c>
      <c r="C280" s="1">
        <v>45298</v>
      </c>
      <c r="D280" t="s">
        <v>33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27</v>
      </c>
      <c r="K280">
        <v>0</v>
      </c>
      <c r="L280">
        <v>0</v>
      </c>
    </row>
    <row r="281" spans="1:12" x14ac:dyDescent="0.25">
      <c r="A281" t="s">
        <v>535</v>
      </c>
      <c r="B281" t="s">
        <v>536</v>
      </c>
      <c r="C281" s="1">
        <v>45543</v>
      </c>
      <c r="D281" t="s">
        <v>36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27</v>
      </c>
      <c r="K281">
        <v>0</v>
      </c>
      <c r="L281">
        <v>0</v>
      </c>
    </row>
    <row r="282" spans="1:12" x14ac:dyDescent="0.25">
      <c r="A282" t="s">
        <v>537</v>
      </c>
      <c r="B282" t="s">
        <v>538</v>
      </c>
      <c r="C282" s="1">
        <v>45820</v>
      </c>
      <c r="D282" t="s">
        <v>17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27</v>
      </c>
      <c r="K282">
        <v>0</v>
      </c>
      <c r="L282">
        <v>0</v>
      </c>
    </row>
    <row r="283" spans="1:12" x14ac:dyDescent="0.25">
      <c r="A283" t="s">
        <v>539</v>
      </c>
      <c r="B283" t="s">
        <v>540</v>
      </c>
      <c r="C283" s="1">
        <v>45614</v>
      </c>
      <c r="D283" t="s">
        <v>41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27</v>
      </c>
      <c r="K283">
        <v>0</v>
      </c>
      <c r="L283">
        <v>0</v>
      </c>
    </row>
    <row r="284" spans="1:12" x14ac:dyDescent="0.25">
      <c r="A284" t="s">
        <v>541</v>
      </c>
      <c r="B284" t="s">
        <v>542</v>
      </c>
      <c r="C284" s="1">
        <v>45824</v>
      </c>
      <c r="D284" t="s">
        <v>41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15</v>
      </c>
      <c r="K284">
        <v>0</v>
      </c>
      <c r="L284">
        <v>0</v>
      </c>
    </row>
    <row r="285" spans="1:12" x14ac:dyDescent="0.25">
      <c r="A285" t="s">
        <v>543</v>
      </c>
      <c r="B285" t="s">
        <v>544</v>
      </c>
      <c r="C285" s="1">
        <v>45578</v>
      </c>
      <c r="D285" t="s">
        <v>24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27</v>
      </c>
      <c r="K285">
        <v>0</v>
      </c>
      <c r="L285">
        <v>0</v>
      </c>
    </row>
    <row r="286" spans="1:12" x14ac:dyDescent="0.25">
      <c r="A286" t="s">
        <v>545</v>
      </c>
      <c r="B286" t="s">
        <v>546</v>
      </c>
      <c r="C286" s="1">
        <v>45645</v>
      </c>
      <c r="D286" t="s">
        <v>38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27</v>
      </c>
      <c r="K286">
        <v>0</v>
      </c>
      <c r="L286">
        <v>0</v>
      </c>
    </row>
    <row r="287" spans="1:12" x14ac:dyDescent="0.25">
      <c r="A287" t="s">
        <v>547</v>
      </c>
      <c r="B287" t="s">
        <v>548</v>
      </c>
      <c r="C287" s="1">
        <v>45421</v>
      </c>
      <c r="D287" t="s">
        <v>24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27</v>
      </c>
      <c r="K287">
        <v>0</v>
      </c>
      <c r="L287">
        <v>0</v>
      </c>
    </row>
    <row r="288" spans="1:12" x14ac:dyDescent="0.25">
      <c r="A288" t="s">
        <v>549</v>
      </c>
      <c r="B288" t="s">
        <v>550</v>
      </c>
      <c r="C288" s="1">
        <v>45556</v>
      </c>
      <c r="D288" t="s">
        <v>24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15</v>
      </c>
      <c r="K288">
        <v>0</v>
      </c>
      <c r="L288">
        <v>0</v>
      </c>
    </row>
    <row r="289" spans="1:12" x14ac:dyDescent="0.25">
      <c r="A289" t="s">
        <v>551</v>
      </c>
      <c r="B289" t="s">
        <v>552</v>
      </c>
      <c r="C289" s="1">
        <v>45654</v>
      </c>
      <c r="D289" t="s">
        <v>36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18</v>
      </c>
      <c r="K289">
        <v>61</v>
      </c>
      <c r="L289">
        <v>1</v>
      </c>
    </row>
    <row r="290" spans="1:12" x14ac:dyDescent="0.25">
      <c r="A290" t="s">
        <v>553</v>
      </c>
      <c r="B290" t="s">
        <v>552</v>
      </c>
      <c r="C290" s="1">
        <v>45533</v>
      </c>
      <c r="D290" t="s">
        <v>14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62</v>
      </c>
      <c r="K290">
        <v>30</v>
      </c>
      <c r="L290">
        <v>0</v>
      </c>
    </row>
    <row r="291" spans="1:12" x14ac:dyDescent="0.25">
      <c r="A291" t="s">
        <v>554</v>
      </c>
      <c r="B291" t="s">
        <v>555</v>
      </c>
      <c r="C291" s="1">
        <v>45435</v>
      </c>
      <c r="D291" t="s">
        <v>21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27</v>
      </c>
      <c r="K291">
        <v>0</v>
      </c>
      <c r="L291">
        <v>0</v>
      </c>
    </row>
    <row r="292" spans="1:12" x14ac:dyDescent="0.25">
      <c r="A292" t="s">
        <v>556</v>
      </c>
      <c r="B292" t="s">
        <v>555</v>
      </c>
      <c r="C292" s="1">
        <v>45442</v>
      </c>
      <c r="D292" t="s">
        <v>30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27</v>
      </c>
      <c r="K292">
        <v>0</v>
      </c>
      <c r="L292">
        <v>0</v>
      </c>
    </row>
    <row r="293" spans="1:12" x14ac:dyDescent="0.25">
      <c r="A293" t="s">
        <v>557</v>
      </c>
      <c r="B293" t="s">
        <v>558</v>
      </c>
      <c r="C293" s="1">
        <v>45704</v>
      </c>
      <c r="D293" t="s">
        <v>33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27</v>
      </c>
      <c r="K293">
        <v>0</v>
      </c>
      <c r="L293">
        <v>0</v>
      </c>
    </row>
    <row r="294" spans="1:12" x14ac:dyDescent="0.25">
      <c r="A294" t="s">
        <v>559</v>
      </c>
      <c r="B294" t="s">
        <v>560</v>
      </c>
      <c r="C294" s="1">
        <v>45718</v>
      </c>
      <c r="D294" t="s">
        <v>14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27</v>
      </c>
      <c r="K294">
        <v>0</v>
      </c>
      <c r="L294">
        <v>0</v>
      </c>
    </row>
    <row r="295" spans="1:12" x14ac:dyDescent="0.25">
      <c r="A295" t="s">
        <v>561</v>
      </c>
      <c r="B295" t="s">
        <v>562</v>
      </c>
      <c r="C295" s="1">
        <v>45509</v>
      </c>
      <c r="D295" t="s">
        <v>33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27</v>
      </c>
      <c r="K295">
        <v>0</v>
      </c>
      <c r="L295">
        <v>0</v>
      </c>
    </row>
    <row r="296" spans="1:12" x14ac:dyDescent="0.25">
      <c r="A296" t="s">
        <v>563</v>
      </c>
      <c r="B296" t="s">
        <v>564</v>
      </c>
      <c r="C296" s="1">
        <v>45588</v>
      </c>
      <c r="D296" t="s">
        <v>36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18</v>
      </c>
      <c r="K296">
        <v>69</v>
      </c>
      <c r="L296">
        <v>1</v>
      </c>
    </row>
    <row r="297" spans="1:12" x14ac:dyDescent="0.25">
      <c r="A297" t="s">
        <v>565</v>
      </c>
      <c r="B297" t="s">
        <v>566</v>
      </c>
      <c r="C297" s="1">
        <v>45438</v>
      </c>
      <c r="D297" t="s">
        <v>24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27</v>
      </c>
      <c r="K297">
        <v>0</v>
      </c>
      <c r="L297">
        <v>0</v>
      </c>
    </row>
    <row r="298" spans="1:12" x14ac:dyDescent="0.25">
      <c r="A298" t="s">
        <v>567</v>
      </c>
      <c r="B298" t="s">
        <v>568</v>
      </c>
      <c r="C298" s="1">
        <v>45649</v>
      </c>
      <c r="D298" t="s">
        <v>24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18</v>
      </c>
      <c r="K298">
        <v>41</v>
      </c>
      <c r="L298">
        <v>1</v>
      </c>
    </row>
    <row r="299" spans="1:12" x14ac:dyDescent="0.25">
      <c r="A299" t="s">
        <v>569</v>
      </c>
      <c r="B299" t="s">
        <v>568</v>
      </c>
      <c r="C299" s="1">
        <v>45678</v>
      </c>
      <c r="D299" t="s">
        <v>17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62</v>
      </c>
      <c r="K299">
        <v>0</v>
      </c>
      <c r="L299">
        <v>0</v>
      </c>
    </row>
    <row r="300" spans="1:12" x14ac:dyDescent="0.25">
      <c r="A300" t="s">
        <v>570</v>
      </c>
      <c r="B300" t="s">
        <v>571</v>
      </c>
      <c r="C300" s="1">
        <v>45625</v>
      </c>
      <c r="D300" t="s">
        <v>21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18</v>
      </c>
      <c r="K300">
        <v>134</v>
      </c>
      <c r="L300">
        <v>1</v>
      </c>
    </row>
    <row r="301" spans="1:12" x14ac:dyDescent="0.25">
      <c r="A301" t="s">
        <v>572</v>
      </c>
      <c r="B301" t="s">
        <v>573</v>
      </c>
      <c r="C301" s="1">
        <v>45382</v>
      </c>
      <c r="D301" t="s">
        <v>17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27</v>
      </c>
      <c r="K301">
        <v>0</v>
      </c>
      <c r="L301">
        <v>0</v>
      </c>
    </row>
    <row r="302" spans="1:12" x14ac:dyDescent="0.25">
      <c r="A302" t="s">
        <v>574</v>
      </c>
      <c r="B302" t="s">
        <v>575</v>
      </c>
      <c r="C302" s="1">
        <v>45346</v>
      </c>
      <c r="D302" t="s">
        <v>24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15</v>
      </c>
      <c r="K302">
        <v>0</v>
      </c>
      <c r="L302">
        <v>0</v>
      </c>
    </row>
    <row r="303" spans="1:12" x14ac:dyDescent="0.25">
      <c r="A303" t="s">
        <v>576</v>
      </c>
      <c r="B303" t="s">
        <v>577</v>
      </c>
      <c r="C303" s="1">
        <v>45573</v>
      </c>
      <c r="D303" t="s">
        <v>41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15</v>
      </c>
      <c r="K303">
        <v>0</v>
      </c>
      <c r="L303">
        <v>0</v>
      </c>
    </row>
    <row r="304" spans="1:12" x14ac:dyDescent="0.25">
      <c r="A304" t="s">
        <v>578</v>
      </c>
      <c r="B304" t="s">
        <v>579</v>
      </c>
      <c r="C304" s="1">
        <v>45338</v>
      </c>
      <c r="D304" t="s">
        <v>14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62</v>
      </c>
      <c r="K304">
        <v>15</v>
      </c>
      <c r="L304">
        <v>0</v>
      </c>
    </row>
    <row r="305" spans="1:12" x14ac:dyDescent="0.25">
      <c r="A305" t="s">
        <v>580</v>
      </c>
      <c r="B305" t="s">
        <v>579</v>
      </c>
      <c r="C305" s="1">
        <v>45385</v>
      </c>
      <c r="D305" t="s">
        <v>33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18</v>
      </c>
      <c r="K305">
        <v>55</v>
      </c>
      <c r="L305">
        <v>1</v>
      </c>
    </row>
    <row r="306" spans="1:12" x14ac:dyDescent="0.25">
      <c r="A306" t="s">
        <v>581</v>
      </c>
      <c r="B306" t="s">
        <v>582</v>
      </c>
      <c r="C306" s="1">
        <v>45709</v>
      </c>
      <c r="D306" t="s">
        <v>24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15</v>
      </c>
      <c r="K306">
        <v>0</v>
      </c>
      <c r="L306">
        <v>0</v>
      </c>
    </row>
    <row r="307" spans="1:12" x14ac:dyDescent="0.25">
      <c r="A307" t="s">
        <v>583</v>
      </c>
      <c r="B307" t="s">
        <v>584</v>
      </c>
      <c r="C307" s="1">
        <v>45623</v>
      </c>
      <c r="D307" t="s">
        <v>41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62</v>
      </c>
      <c r="K307">
        <v>15</v>
      </c>
      <c r="L307">
        <v>0</v>
      </c>
    </row>
    <row r="308" spans="1:12" x14ac:dyDescent="0.25">
      <c r="A308" t="s">
        <v>585</v>
      </c>
      <c r="B308" t="s">
        <v>586</v>
      </c>
      <c r="C308" s="1">
        <v>45808</v>
      </c>
      <c r="D308" t="s">
        <v>38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27</v>
      </c>
      <c r="K308">
        <v>0</v>
      </c>
      <c r="L308">
        <v>0</v>
      </c>
    </row>
    <row r="309" spans="1:12" x14ac:dyDescent="0.25">
      <c r="A309" t="s">
        <v>587</v>
      </c>
      <c r="B309" t="s">
        <v>588</v>
      </c>
      <c r="C309" s="1">
        <v>45311</v>
      </c>
      <c r="D309" t="s">
        <v>17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18</v>
      </c>
      <c r="K309">
        <v>180</v>
      </c>
      <c r="L309">
        <v>1</v>
      </c>
    </row>
    <row r="310" spans="1:12" x14ac:dyDescent="0.25">
      <c r="A310" t="s">
        <v>589</v>
      </c>
      <c r="B310" t="s">
        <v>590</v>
      </c>
      <c r="C310" s="1">
        <v>45708</v>
      </c>
      <c r="D310" t="s">
        <v>38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27</v>
      </c>
      <c r="K310">
        <v>0</v>
      </c>
      <c r="L310">
        <v>0</v>
      </c>
    </row>
    <row r="311" spans="1:12" x14ac:dyDescent="0.25">
      <c r="A311" t="s">
        <v>591</v>
      </c>
      <c r="B311" t="s">
        <v>592</v>
      </c>
      <c r="C311" s="1">
        <v>45725</v>
      </c>
      <c r="D311" t="s">
        <v>33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27</v>
      </c>
      <c r="K311">
        <v>0</v>
      </c>
      <c r="L311">
        <v>0</v>
      </c>
    </row>
    <row r="312" spans="1:12" x14ac:dyDescent="0.25">
      <c r="A312" t="s">
        <v>593</v>
      </c>
      <c r="B312" t="s">
        <v>594</v>
      </c>
      <c r="C312" s="1">
        <v>45785</v>
      </c>
      <c r="D312" t="s">
        <v>47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62</v>
      </c>
      <c r="K312">
        <v>0</v>
      </c>
      <c r="L312">
        <v>0</v>
      </c>
    </row>
    <row r="313" spans="1:12" x14ac:dyDescent="0.25">
      <c r="A313" t="s">
        <v>595</v>
      </c>
      <c r="B313" t="s">
        <v>594</v>
      </c>
      <c r="C313" s="1">
        <v>45457</v>
      </c>
      <c r="D313" t="s">
        <v>30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27</v>
      </c>
      <c r="K313">
        <v>0</v>
      </c>
      <c r="L313">
        <v>0</v>
      </c>
    </row>
    <row r="314" spans="1:12" x14ac:dyDescent="0.25">
      <c r="A314" t="s">
        <v>596</v>
      </c>
      <c r="B314" t="s">
        <v>597</v>
      </c>
      <c r="C314" s="1">
        <v>45507</v>
      </c>
      <c r="D314" t="s">
        <v>36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62</v>
      </c>
      <c r="K314">
        <v>30</v>
      </c>
      <c r="L314">
        <v>0</v>
      </c>
    </row>
    <row r="315" spans="1:12" x14ac:dyDescent="0.25">
      <c r="A315" t="s">
        <v>598</v>
      </c>
      <c r="B315" t="s">
        <v>599</v>
      </c>
      <c r="C315" s="1">
        <v>45621</v>
      </c>
      <c r="D315" t="s">
        <v>30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27</v>
      </c>
      <c r="K315">
        <v>0</v>
      </c>
      <c r="L315">
        <v>0</v>
      </c>
    </row>
    <row r="316" spans="1:12" x14ac:dyDescent="0.25">
      <c r="A316" t="s">
        <v>600</v>
      </c>
      <c r="B316" t="s">
        <v>601</v>
      </c>
      <c r="C316" s="1">
        <v>45301</v>
      </c>
      <c r="D316" t="s">
        <v>33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15</v>
      </c>
      <c r="K316">
        <v>0</v>
      </c>
      <c r="L316">
        <v>0</v>
      </c>
    </row>
    <row r="317" spans="1:12" x14ac:dyDescent="0.25">
      <c r="A317" t="s">
        <v>602</v>
      </c>
      <c r="B317" t="s">
        <v>603</v>
      </c>
      <c r="C317" s="1">
        <v>45747</v>
      </c>
      <c r="D317" t="s">
        <v>17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15</v>
      </c>
      <c r="K317">
        <v>0</v>
      </c>
      <c r="L317">
        <v>0</v>
      </c>
    </row>
    <row r="318" spans="1:12" x14ac:dyDescent="0.25">
      <c r="A318" t="s">
        <v>604</v>
      </c>
      <c r="B318" t="s">
        <v>605</v>
      </c>
      <c r="C318" s="1">
        <v>45671</v>
      </c>
      <c r="D318" t="s">
        <v>30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27</v>
      </c>
      <c r="K318">
        <v>0</v>
      </c>
      <c r="L318">
        <v>0</v>
      </c>
    </row>
    <row r="319" spans="1:12" x14ac:dyDescent="0.25">
      <c r="A319" t="s">
        <v>606</v>
      </c>
      <c r="B319" t="s">
        <v>605</v>
      </c>
      <c r="C319" s="1">
        <v>45602</v>
      </c>
      <c r="D319" t="s">
        <v>41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15</v>
      </c>
      <c r="K319">
        <v>0</v>
      </c>
      <c r="L319">
        <v>0</v>
      </c>
    </row>
    <row r="320" spans="1:12" x14ac:dyDescent="0.25">
      <c r="A320" t="s">
        <v>607</v>
      </c>
      <c r="B320" t="s">
        <v>608</v>
      </c>
      <c r="C320" s="1">
        <v>45492</v>
      </c>
      <c r="D320" t="s">
        <v>41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27</v>
      </c>
      <c r="K320">
        <v>0</v>
      </c>
      <c r="L320">
        <v>0</v>
      </c>
    </row>
    <row r="321" spans="1:12" x14ac:dyDescent="0.25">
      <c r="A321" t="s">
        <v>609</v>
      </c>
      <c r="B321" t="s">
        <v>608</v>
      </c>
      <c r="C321" s="1">
        <v>45471</v>
      </c>
      <c r="D321" t="s">
        <v>24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18</v>
      </c>
      <c r="K321">
        <v>62</v>
      </c>
      <c r="L321">
        <v>1</v>
      </c>
    </row>
    <row r="322" spans="1:12" x14ac:dyDescent="0.25">
      <c r="A322" t="s">
        <v>610</v>
      </c>
      <c r="B322" t="s">
        <v>611</v>
      </c>
      <c r="C322" s="1">
        <v>45572</v>
      </c>
      <c r="D322" t="s">
        <v>33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15</v>
      </c>
      <c r="K322">
        <v>0</v>
      </c>
      <c r="L322">
        <v>0</v>
      </c>
    </row>
    <row r="323" spans="1:12" x14ac:dyDescent="0.25">
      <c r="A323" t="s">
        <v>612</v>
      </c>
      <c r="B323" t="s">
        <v>613</v>
      </c>
      <c r="C323" s="1">
        <v>45729</v>
      </c>
      <c r="D323" t="s">
        <v>21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62</v>
      </c>
      <c r="K323">
        <v>15</v>
      </c>
      <c r="L323">
        <v>0</v>
      </c>
    </row>
    <row r="324" spans="1:12" x14ac:dyDescent="0.25">
      <c r="A324" t="s">
        <v>614</v>
      </c>
      <c r="B324" t="s">
        <v>615</v>
      </c>
      <c r="C324" s="1">
        <v>45769</v>
      </c>
      <c r="D324" t="s">
        <v>17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27</v>
      </c>
      <c r="K324">
        <v>0</v>
      </c>
      <c r="L324">
        <v>0</v>
      </c>
    </row>
    <row r="325" spans="1:12" x14ac:dyDescent="0.25">
      <c r="A325" t="s">
        <v>616</v>
      </c>
      <c r="B325" t="s">
        <v>615</v>
      </c>
      <c r="C325" s="1">
        <v>45297</v>
      </c>
      <c r="D325" t="s">
        <v>38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15</v>
      </c>
      <c r="K325">
        <v>0</v>
      </c>
      <c r="L325">
        <v>0</v>
      </c>
    </row>
    <row r="326" spans="1:12" x14ac:dyDescent="0.25">
      <c r="A326" t="s">
        <v>617</v>
      </c>
      <c r="B326" t="s">
        <v>618</v>
      </c>
      <c r="C326" s="1">
        <v>45493</v>
      </c>
      <c r="D326" t="s">
        <v>38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18</v>
      </c>
      <c r="K326">
        <v>109</v>
      </c>
      <c r="L326">
        <v>1</v>
      </c>
    </row>
    <row r="327" spans="1:12" x14ac:dyDescent="0.25">
      <c r="A327" t="s">
        <v>619</v>
      </c>
      <c r="B327" t="s">
        <v>618</v>
      </c>
      <c r="C327" s="1">
        <v>45316</v>
      </c>
      <c r="D327" t="s">
        <v>36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27</v>
      </c>
      <c r="K327">
        <v>0</v>
      </c>
      <c r="L327">
        <v>0</v>
      </c>
    </row>
    <row r="328" spans="1:12" x14ac:dyDescent="0.25">
      <c r="A328" t="s">
        <v>620</v>
      </c>
      <c r="B328" t="s">
        <v>621</v>
      </c>
      <c r="C328" s="1">
        <v>45824</v>
      </c>
      <c r="D328" t="s">
        <v>36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62</v>
      </c>
      <c r="K328">
        <v>15</v>
      </c>
      <c r="L328">
        <v>0</v>
      </c>
    </row>
    <row r="329" spans="1:12" x14ac:dyDescent="0.25">
      <c r="A329" t="s">
        <v>622</v>
      </c>
      <c r="B329" t="s">
        <v>623</v>
      </c>
      <c r="C329" s="1">
        <v>45326</v>
      </c>
      <c r="D329" t="s">
        <v>36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18</v>
      </c>
      <c r="K329">
        <v>46</v>
      </c>
      <c r="L329">
        <v>1</v>
      </c>
    </row>
    <row r="330" spans="1:12" x14ac:dyDescent="0.25">
      <c r="A330" t="s">
        <v>624</v>
      </c>
      <c r="B330" t="s">
        <v>625</v>
      </c>
      <c r="C330" s="1">
        <v>45734</v>
      </c>
      <c r="D330" t="s">
        <v>41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18</v>
      </c>
      <c r="K330">
        <v>44</v>
      </c>
      <c r="L330">
        <v>1</v>
      </c>
    </row>
    <row r="331" spans="1:12" x14ac:dyDescent="0.25">
      <c r="A331" t="s">
        <v>626</v>
      </c>
      <c r="B331" t="s">
        <v>627</v>
      </c>
      <c r="C331" s="1">
        <v>45530</v>
      </c>
      <c r="D331" t="s">
        <v>24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62</v>
      </c>
      <c r="K331">
        <v>0</v>
      </c>
      <c r="L331">
        <v>0</v>
      </c>
    </row>
    <row r="332" spans="1:12" x14ac:dyDescent="0.25">
      <c r="A332" t="s">
        <v>628</v>
      </c>
      <c r="B332" t="s">
        <v>629</v>
      </c>
      <c r="C332" s="1">
        <v>45318</v>
      </c>
      <c r="D332" t="s">
        <v>14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27</v>
      </c>
      <c r="K332">
        <v>0</v>
      </c>
      <c r="L332">
        <v>0</v>
      </c>
    </row>
    <row r="333" spans="1:12" x14ac:dyDescent="0.25">
      <c r="A333" t="s">
        <v>630</v>
      </c>
      <c r="B333" t="s">
        <v>631</v>
      </c>
      <c r="C333" s="1">
        <v>45421</v>
      </c>
      <c r="D333" t="s">
        <v>47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27</v>
      </c>
      <c r="K333">
        <v>0</v>
      </c>
      <c r="L333">
        <v>0</v>
      </c>
    </row>
    <row r="334" spans="1:12" x14ac:dyDescent="0.25">
      <c r="A334" t="s">
        <v>632</v>
      </c>
      <c r="B334" t="s">
        <v>633</v>
      </c>
      <c r="C334" s="1">
        <v>45611</v>
      </c>
      <c r="D334" t="s">
        <v>14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62</v>
      </c>
      <c r="K334">
        <v>0</v>
      </c>
      <c r="L334">
        <v>0</v>
      </c>
    </row>
    <row r="335" spans="1:12" x14ac:dyDescent="0.25">
      <c r="A335" t="s">
        <v>634</v>
      </c>
      <c r="B335" t="s">
        <v>635</v>
      </c>
      <c r="C335" s="1">
        <v>45643</v>
      </c>
      <c r="D335" t="s">
        <v>47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62</v>
      </c>
      <c r="K335">
        <v>30</v>
      </c>
      <c r="L335">
        <v>0</v>
      </c>
    </row>
    <row r="336" spans="1:12" x14ac:dyDescent="0.25">
      <c r="A336" t="s">
        <v>636</v>
      </c>
      <c r="B336" t="s">
        <v>637</v>
      </c>
      <c r="C336" s="1">
        <v>45724</v>
      </c>
      <c r="D336" t="s">
        <v>33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62</v>
      </c>
      <c r="K336">
        <v>30</v>
      </c>
      <c r="L336">
        <v>0</v>
      </c>
    </row>
    <row r="337" spans="1:12" x14ac:dyDescent="0.25">
      <c r="A337" t="s">
        <v>638</v>
      </c>
      <c r="B337" t="s">
        <v>639</v>
      </c>
      <c r="C337" s="1">
        <v>45631</v>
      </c>
      <c r="D337" t="s">
        <v>36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27</v>
      </c>
      <c r="K337">
        <v>0</v>
      </c>
      <c r="L337">
        <v>0</v>
      </c>
    </row>
    <row r="338" spans="1:12" x14ac:dyDescent="0.25">
      <c r="A338" t="s">
        <v>640</v>
      </c>
      <c r="B338" t="s">
        <v>641</v>
      </c>
      <c r="C338" s="1">
        <v>45295</v>
      </c>
      <c r="D338" t="s">
        <v>30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27</v>
      </c>
      <c r="K338">
        <v>0</v>
      </c>
      <c r="L338">
        <v>0</v>
      </c>
    </row>
    <row r="339" spans="1:12" x14ac:dyDescent="0.25">
      <c r="A339" t="s">
        <v>642</v>
      </c>
      <c r="B339" t="s">
        <v>643</v>
      </c>
      <c r="C339" s="1">
        <v>45676</v>
      </c>
      <c r="D339" t="s">
        <v>14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15</v>
      </c>
      <c r="K339">
        <v>0</v>
      </c>
      <c r="L339">
        <v>0</v>
      </c>
    </row>
    <row r="340" spans="1:12" x14ac:dyDescent="0.25">
      <c r="A340" t="s">
        <v>644</v>
      </c>
      <c r="B340" t="s">
        <v>645</v>
      </c>
      <c r="C340" s="1">
        <v>45491</v>
      </c>
      <c r="D340" t="s">
        <v>36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62</v>
      </c>
      <c r="K340">
        <v>15</v>
      </c>
      <c r="L340">
        <v>0</v>
      </c>
    </row>
    <row r="341" spans="1:12" x14ac:dyDescent="0.25">
      <c r="A341" t="s">
        <v>646</v>
      </c>
      <c r="B341" t="s">
        <v>647</v>
      </c>
      <c r="C341" s="1">
        <v>45639</v>
      </c>
      <c r="D341" t="s">
        <v>38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27</v>
      </c>
      <c r="K341">
        <v>0</v>
      </c>
      <c r="L341">
        <v>0</v>
      </c>
    </row>
    <row r="342" spans="1:12" x14ac:dyDescent="0.25">
      <c r="A342" t="s">
        <v>648</v>
      </c>
      <c r="B342" t="s">
        <v>647</v>
      </c>
      <c r="C342" s="1">
        <v>45432</v>
      </c>
      <c r="D342" t="s">
        <v>33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27</v>
      </c>
      <c r="K342">
        <v>0</v>
      </c>
      <c r="L342">
        <v>0</v>
      </c>
    </row>
    <row r="343" spans="1:12" x14ac:dyDescent="0.25">
      <c r="A343" t="s">
        <v>649</v>
      </c>
      <c r="B343" t="s">
        <v>650</v>
      </c>
      <c r="C343" s="1">
        <v>45831</v>
      </c>
      <c r="D343" t="s">
        <v>24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62</v>
      </c>
      <c r="K343">
        <v>30</v>
      </c>
      <c r="L343">
        <v>0</v>
      </c>
    </row>
    <row r="344" spans="1:12" x14ac:dyDescent="0.25">
      <c r="A344" t="s">
        <v>651</v>
      </c>
      <c r="B344" t="s">
        <v>650</v>
      </c>
      <c r="C344" s="1">
        <v>45488</v>
      </c>
      <c r="D344" t="s">
        <v>36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27</v>
      </c>
      <c r="K344">
        <v>0</v>
      </c>
      <c r="L344">
        <v>0</v>
      </c>
    </row>
    <row r="345" spans="1:12" x14ac:dyDescent="0.25">
      <c r="A345" t="s">
        <v>652</v>
      </c>
      <c r="B345" t="s">
        <v>653</v>
      </c>
      <c r="C345" s="1">
        <v>45593</v>
      </c>
      <c r="D345" t="s">
        <v>38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27</v>
      </c>
      <c r="K345">
        <v>0</v>
      </c>
      <c r="L345">
        <v>0</v>
      </c>
    </row>
    <row r="346" spans="1:12" x14ac:dyDescent="0.25">
      <c r="A346" t="s">
        <v>654</v>
      </c>
      <c r="B346" t="s">
        <v>655</v>
      </c>
      <c r="C346" s="1">
        <v>45375</v>
      </c>
      <c r="D346" t="s">
        <v>33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62</v>
      </c>
      <c r="K346">
        <v>0</v>
      </c>
      <c r="L346">
        <v>0</v>
      </c>
    </row>
    <row r="347" spans="1:12" x14ac:dyDescent="0.25">
      <c r="A347" t="s">
        <v>656</v>
      </c>
      <c r="B347" t="s">
        <v>657</v>
      </c>
      <c r="C347" s="1">
        <v>45823</v>
      </c>
      <c r="D347" t="s">
        <v>17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27</v>
      </c>
      <c r="K347">
        <v>0</v>
      </c>
      <c r="L347">
        <v>0</v>
      </c>
    </row>
    <row r="348" spans="1:12" x14ac:dyDescent="0.25">
      <c r="A348" t="s">
        <v>658</v>
      </c>
      <c r="B348" t="s">
        <v>659</v>
      </c>
      <c r="C348" s="1">
        <v>45504</v>
      </c>
      <c r="D348" t="s">
        <v>14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15</v>
      </c>
      <c r="K348">
        <v>0</v>
      </c>
      <c r="L348">
        <v>0</v>
      </c>
    </row>
    <row r="349" spans="1:12" x14ac:dyDescent="0.25">
      <c r="A349" t="s">
        <v>660</v>
      </c>
      <c r="B349" t="s">
        <v>661</v>
      </c>
      <c r="C349" s="1">
        <v>45675</v>
      </c>
      <c r="D349" t="s">
        <v>24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18</v>
      </c>
      <c r="K349">
        <v>51</v>
      </c>
      <c r="L349">
        <v>1</v>
      </c>
    </row>
    <row r="350" spans="1:12" x14ac:dyDescent="0.25">
      <c r="A350" t="s">
        <v>662</v>
      </c>
      <c r="B350" t="s">
        <v>663</v>
      </c>
      <c r="C350" s="1">
        <v>45768</v>
      </c>
      <c r="D350" t="s">
        <v>36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27</v>
      </c>
      <c r="K350">
        <v>0</v>
      </c>
      <c r="L350">
        <v>0</v>
      </c>
    </row>
    <row r="351" spans="1:12" x14ac:dyDescent="0.25">
      <c r="A351" t="s">
        <v>664</v>
      </c>
      <c r="B351" t="s">
        <v>665</v>
      </c>
      <c r="C351" s="1">
        <v>45744</v>
      </c>
      <c r="D351" t="s">
        <v>30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18</v>
      </c>
      <c r="K351">
        <v>49</v>
      </c>
      <c r="L351">
        <v>1</v>
      </c>
    </row>
    <row r="352" spans="1:12" x14ac:dyDescent="0.25">
      <c r="A352" t="s">
        <v>666</v>
      </c>
      <c r="B352" t="s">
        <v>667</v>
      </c>
      <c r="C352" s="1">
        <v>45575</v>
      </c>
      <c r="D352" t="s">
        <v>36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27</v>
      </c>
      <c r="K352">
        <v>0</v>
      </c>
      <c r="L352">
        <v>0</v>
      </c>
    </row>
    <row r="353" spans="1:12" x14ac:dyDescent="0.25">
      <c r="A353" t="s">
        <v>668</v>
      </c>
      <c r="B353" t="s">
        <v>669</v>
      </c>
      <c r="C353" s="1">
        <v>45573</v>
      </c>
      <c r="D353" t="s">
        <v>38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18</v>
      </c>
      <c r="K353">
        <v>65</v>
      </c>
      <c r="L353">
        <v>1</v>
      </c>
    </row>
    <row r="354" spans="1:12" x14ac:dyDescent="0.25">
      <c r="A354" t="s">
        <v>670</v>
      </c>
      <c r="B354" t="s">
        <v>671</v>
      </c>
      <c r="C354" s="1">
        <v>45646</v>
      </c>
      <c r="D354" t="s">
        <v>21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27</v>
      </c>
      <c r="K354">
        <v>0</v>
      </c>
      <c r="L354">
        <v>0</v>
      </c>
    </row>
    <row r="355" spans="1:12" x14ac:dyDescent="0.25">
      <c r="A355" t="s">
        <v>672</v>
      </c>
      <c r="B355" t="s">
        <v>671</v>
      </c>
      <c r="C355" s="1">
        <v>45444</v>
      </c>
      <c r="D355" t="s">
        <v>47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15</v>
      </c>
      <c r="K355">
        <v>0</v>
      </c>
      <c r="L355">
        <v>0</v>
      </c>
    </row>
    <row r="356" spans="1:12" x14ac:dyDescent="0.25">
      <c r="A356" t="s">
        <v>673</v>
      </c>
      <c r="B356" t="s">
        <v>674</v>
      </c>
      <c r="C356" s="1">
        <v>45764</v>
      </c>
      <c r="D356" t="s">
        <v>38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15</v>
      </c>
      <c r="K356">
        <v>0</v>
      </c>
      <c r="L356">
        <v>0</v>
      </c>
    </row>
    <row r="357" spans="1:12" x14ac:dyDescent="0.25">
      <c r="A357" t="s">
        <v>675</v>
      </c>
      <c r="B357" t="s">
        <v>676</v>
      </c>
      <c r="C357" s="1">
        <v>45434</v>
      </c>
      <c r="D357" t="s">
        <v>17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15</v>
      </c>
      <c r="K357">
        <v>0</v>
      </c>
      <c r="L357">
        <v>0</v>
      </c>
    </row>
    <row r="358" spans="1:12" x14ac:dyDescent="0.25">
      <c r="A358" t="s">
        <v>677</v>
      </c>
      <c r="B358" t="s">
        <v>678</v>
      </c>
      <c r="C358" s="1">
        <v>45598</v>
      </c>
      <c r="D358" t="s">
        <v>30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15</v>
      </c>
      <c r="K358">
        <v>0</v>
      </c>
      <c r="L358">
        <v>0</v>
      </c>
    </row>
    <row r="359" spans="1:12" x14ac:dyDescent="0.25">
      <c r="A359" t="s">
        <v>679</v>
      </c>
      <c r="B359" t="s">
        <v>680</v>
      </c>
      <c r="C359" s="1">
        <v>45692</v>
      </c>
      <c r="D359" t="s">
        <v>33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27</v>
      </c>
      <c r="K359">
        <v>0</v>
      </c>
      <c r="L359">
        <v>0</v>
      </c>
    </row>
    <row r="360" spans="1:12" x14ac:dyDescent="0.25">
      <c r="A360" t="s">
        <v>681</v>
      </c>
      <c r="B360" t="s">
        <v>680</v>
      </c>
      <c r="C360" s="1">
        <v>45754</v>
      </c>
      <c r="D360" t="s">
        <v>21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27</v>
      </c>
      <c r="K360">
        <v>0</v>
      </c>
      <c r="L360">
        <v>0</v>
      </c>
    </row>
    <row r="361" spans="1:12" x14ac:dyDescent="0.25">
      <c r="A361" t="s">
        <v>682</v>
      </c>
      <c r="B361" t="s">
        <v>683</v>
      </c>
      <c r="C361" s="1">
        <v>45495</v>
      </c>
      <c r="D361" t="s">
        <v>33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18</v>
      </c>
      <c r="K361">
        <v>128</v>
      </c>
      <c r="L361">
        <v>1</v>
      </c>
    </row>
    <row r="362" spans="1:12" x14ac:dyDescent="0.25">
      <c r="A362" t="s">
        <v>684</v>
      </c>
      <c r="B362" t="s">
        <v>685</v>
      </c>
      <c r="C362" s="1">
        <v>45822</v>
      </c>
      <c r="D362" t="s">
        <v>38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18</v>
      </c>
      <c r="K362">
        <v>113</v>
      </c>
      <c r="L362">
        <v>1</v>
      </c>
    </row>
    <row r="363" spans="1:12" x14ac:dyDescent="0.25">
      <c r="A363" t="s">
        <v>686</v>
      </c>
      <c r="B363" t="s">
        <v>687</v>
      </c>
      <c r="C363" s="1">
        <v>45781</v>
      </c>
      <c r="D363" t="s">
        <v>17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15</v>
      </c>
      <c r="K363">
        <v>0</v>
      </c>
      <c r="L363">
        <v>0</v>
      </c>
    </row>
    <row r="364" spans="1:12" x14ac:dyDescent="0.25">
      <c r="A364" t="s">
        <v>688</v>
      </c>
      <c r="B364" t="s">
        <v>687</v>
      </c>
      <c r="C364" s="1">
        <v>45778</v>
      </c>
      <c r="D364" t="s">
        <v>38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18</v>
      </c>
      <c r="K364">
        <v>177</v>
      </c>
      <c r="L364">
        <v>1</v>
      </c>
    </row>
    <row r="365" spans="1:12" x14ac:dyDescent="0.25">
      <c r="A365" t="s">
        <v>689</v>
      </c>
      <c r="B365" t="s">
        <v>690</v>
      </c>
      <c r="C365" s="1">
        <v>45299</v>
      </c>
      <c r="D365" t="s">
        <v>47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15</v>
      </c>
      <c r="K365">
        <v>0</v>
      </c>
      <c r="L365">
        <v>0</v>
      </c>
    </row>
    <row r="366" spans="1:12" x14ac:dyDescent="0.25">
      <c r="A366" t="s">
        <v>691</v>
      </c>
      <c r="B366" t="s">
        <v>690</v>
      </c>
      <c r="C366" s="1">
        <v>45763</v>
      </c>
      <c r="D366" t="s">
        <v>47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27</v>
      </c>
      <c r="K366">
        <v>0</v>
      </c>
      <c r="L366">
        <v>0</v>
      </c>
    </row>
    <row r="367" spans="1:12" x14ac:dyDescent="0.25">
      <c r="A367" t="s">
        <v>692</v>
      </c>
      <c r="B367" t="s">
        <v>693</v>
      </c>
      <c r="C367" s="1">
        <v>45471</v>
      </c>
      <c r="D367" t="s">
        <v>14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18</v>
      </c>
      <c r="K367">
        <v>75</v>
      </c>
      <c r="L367">
        <v>1</v>
      </c>
    </row>
    <row r="368" spans="1:12" x14ac:dyDescent="0.25">
      <c r="A368" t="s">
        <v>694</v>
      </c>
      <c r="B368" t="s">
        <v>695</v>
      </c>
      <c r="C368" s="1">
        <v>45389</v>
      </c>
      <c r="D368" t="s">
        <v>17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62</v>
      </c>
      <c r="K368">
        <v>15</v>
      </c>
      <c r="L368">
        <v>0</v>
      </c>
    </row>
    <row r="369" spans="1:12" x14ac:dyDescent="0.25">
      <c r="A369" t="s">
        <v>696</v>
      </c>
      <c r="B369" t="s">
        <v>695</v>
      </c>
      <c r="C369" s="1">
        <v>45360</v>
      </c>
      <c r="D369" t="s">
        <v>33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27</v>
      </c>
      <c r="K369">
        <v>0</v>
      </c>
      <c r="L369">
        <v>0</v>
      </c>
    </row>
    <row r="370" spans="1:12" x14ac:dyDescent="0.25">
      <c r="A370" t="s">
        <v>697</v>
      </c>
      <c r="B370" t="s">
        <v>698</v>
      </c>
      <c r="C370" s="1">
        <v>45625</v>
      </c>
      <c r="D370" t="s">
        <v>21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27</v>
      </c>
      <c r="K370">
        <v>0</v>
      </c>
      <c r="L370">
        <v>0</v>
      </c>
    </row>
    <row r="371" spans="1:12" x14ac:dyDescent="0.25">
      <c r="A371" t="s">
        <v>699</v>
      </c>
      <c r="B371" t="s">
        <v>700</v>
      </c>
      <c r="C371" s="1">
        <v>45700</v>
      </c>
      <c r="D371" t="s">
        <v>41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27</v>
      </c>
      <c r="K371">
        <v>0</v>
      </c>
      <c r="L371">
        <v>0</v>
      </c>
    </row>
    <row r="372" spans="1:12" x14ac:dyDescent="0.25">
      <c r="A372" t="s">
        <v>701</v>
      </c>
      <c r="B372" t="s">
        <v>702</v>
      </c>
      <c r="C372" s="1">
        <v>45376</v>
      </c>
      <c r="D372" t="s">
        <v>33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15</v>
      </c>
      <c r="K372">
        <v>0</v>
      </c>
      <c r="L372">
        <v>0</v>
      </c>
    </row>
    <row r="373" spans="1:12" x14ac:dyDescent="0.25">
      <c r="A373" t="s">
        <v>703</v>
      </c>
      <c r="B373" t="s">
        <v>704</v>
      </c>
      <c r="C373" s="1">
        <v>45473</v>
      </c>
      <c r="D373" t="s">
        <v>24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18</v>
      </c>
      <c r="K373">
        <v>166</v>
      </c>
      <c r="L373">
        <v>1</v>
      </c>
    </row>
    <row r="374" spans="1:12" x14ac:dyDescent="0.25">
      <c r="A374" t="s">
        <v>705</v>
      </c>
      <c r="B374" t="s">
        <v>706</v>
      </c>
      <c r="C374" s="1">
        <v>45658</v>
      </c>
      <c r="D374" t="s">
        <v>33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15</v>
      </c>
      <c r="K374">
        <v>0</v>
      </c>
      <c r="L374">
        <v>0</v>
      </c>
    </row>
    <row r="375" spans="1:12" x14ac:dyDescent="0.25">
      <c r="A375" t="s">
        <v>707</v>
      </c>
      <c r="B375" t="s">
        <v>708</v>
      </c>
      <c r="C375" s="1">
        <v>45397</v>
      </c>
      <c r="D375" t="s">
        <v>14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18</v>
      </c>
      <c r="K375">
        <v>108</v>
      </c>
      <c r="L375">
        <v>1</v>
      </c>
    </row>
    <row r="376" spans="1:12" x14ac:dyDescent="0.25">
      <c r="A376" t="s">
        <v>709</v>
      </c>
      <c r="B376" t="s">
        <v>710</v>
      </c>
      <c r="C376" s="1">
        <v>45675</v>
      </c>
      <c r="D376" t="s">
        <v>47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27</v>
      </c>
      <c r="K376">
        <v>0</v>
      </c>
      <c r="L376">
        <v>0</v>
      </c>
    </row>
    <row r="377" spans="1:12" x14ac:dyDescent="0.25">
      <c r="A377" t="s">
        <v>711</v>
      </c>
      <c r="B377" t="s">
        <v>712</v>
      </c>
      <c r="C377" s="1">
        <v>45390</v>
      </c>
      <c r="D377" t="s">
        <v>41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27</v>
      </c>
      <c r="K377">
        <v>0</v>
      </c>
      <c r="L377">
        <v>0</v>
      </c>
    </row>
    <row r="378" spans="1:12" x14ac:dyDescent="0.25">
      <c r="A378" t="s">
        <v>713</v>
      </c>
      <c r="B378" t="s">
        <v>714</v>
      </c>
      <c r="C378" s="1">
        <v>45486</v>
      </c>
      <c r="D378" t="s">
        <v>17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62</v>
      </c>
      <c r="K378">
        <v>15</v>
      </c>
      <c r="L378">
        <v>0</v>
      </c>
    </row>
    <row r="379" spans="1:12" x14ac:dyDescent="0.25">
      <c r="A379" t="s">
        <v>715</v>
      </c>
      <c r="B379" t="s">
        <v>716</v>
      </c>
      <c r="C379" s="1">
        <v>45615</v>
      </c>
      <c r="D379" t="s">
        <v>38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18</v>
      </c>
      <c r="K379">
        <v>84</v>
      </c>
      <c r="L379">
        <v>1</v>
      </c>
    </row>
    <row r="380" spans="1:12" x14ac:dyDescent="0.25">
      <c r="A380" t="s">
        <v>717</v>
      </c>
      <c r="B380" t="s">
        <v>718</v>
      </c>
      <c r="C380" s="1">
        <v>45360</v>
      </c>
      <c r="D380" t="s">
        <v>36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15</v>
      </c>
      <c r="K380">
        <v>0</v>
      </c>
      <c r="L380">
        <v>0</v>
      </c>
    </row>
    <row r="381" spans="1:12" x14ac:dyDescent="0.25">
      <c r="A381" t="s">
        <v>719</v>
      </c>
      <c r="B381" t="s">
        <v>720</v>
      </c>
      <c r="C381" s="1">
        <v>45389</v>
      </c>
      <c r="D381" t="s">
        <v>36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62</v>
      </c>
      <c r="K381">
        <v>30</v>
      </c>
      <c r="L381">
        <v>0</v>
      </c>
    </row>
    <row r="382" spans="1:12" x14ac:dyDescent="0.25">
      <c r="A382" t="s">
        <v>721</v>
      </c>
      <c r="B382" t="s">
        <v>722</v>
      </c>
      <c r="C382" s="1">
        <v>45785</v>
      </c>
      <c r="D382" t="s">
        <v>33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18</v>
      </c>
      <c r="K382">
        <v>34</v>
      </c>
      <c r="L382">
        <v>1</v>
      </c>
    </row>
    <row r="383" spans="1:12" x14ac:dyDescent="0.25">
      <c r="A383" t="s">
        <v>723</v>
      </c>
      <c r="B383" t="s">
        <v>724</v>
      </c>
      <c r="C383" s="1">
        <v>45305</v>
      </c>
      <c r="D383" t="s">
        <v>47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18</v>
      </c>
      <c r="K383">
        <v>61</v>
      </c>
      <c r="L383">
        <v>1</v>
      </c>
    </row>
    <row r="384" spans="1:12" x14ac:dyDescent="0.25">
      <c r="A384" t="s">
        <v>725</v>
      </c>
      <c r="B384" t="s">
        <v>726</v>
      </c>
      <c r="C384" s="1">
        <v>45802</v>
      </c>
      <c r="D384" t="s">
        <v>17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27</v>
      </c>
      <c r="K384">
        <v>0</v>
      </c>
      <c r="L384">
        <v>0</v>
      </c>
    </row>
    <row r="385" spans="1:12" x14ac:dyDescent="0.25">
      <c r="A385" t="s">
        <v>727</v>
      </c>
      <c r="B385" t="s">
        <v>728</v>
      </c>
      <c r="C385" s="1">
        <v>45617</v>
      </c>
      <c r="D385" t="s">
        <v>47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27</v>
      </c>
      <c r="K385">
        <v>0</v>
      </c>
      <c r="L385">
        <v>0</v>
      </c>
    </row>
    <row r="386" spans="1:12" x14ac:dyDescent="0.25">
      <c r="A386" t="s">
        <v>729</v>
      </c>
      <c r="B386" t="s">
        <v>730</v>
      </c>
      <c r="C386" s="1">
        <v>45502</v>
      </c>
      <c r="D386" t="s">
        <v>24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62</v>
      </c>
      <c r="K386">
        <v>15</v>
      </c>
      <c r="L386">
        <v>0</v>
      </c>
    </row>
    <row r="387" spans="1:12" x14ac:dyDescent="0.25">
      <c r="A387" t="s">
        <v>731</v>
      </c>
      <c r="B387" t="s">
        <v>730</v>
      </c>
      <c r="C387" s="1">
        <v>45682</v>
      </c>
      <c r="D387" t="s">
        <v>38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62</v>
      </c>
      <c r="K387">
        <v>0</v>
      </c>
      <c r="L387">
        <v>0</v>
      </c>
    </row>
    <row r="388" spans="1:12" x14ac:dyDescent="0.25">
      <c r="A388" t="s">
        <v>732</v>
      </c>
      <c r="B388" t="s">
        <v>733</v>
      </c>
      <c r="C388" s="1">
        <v>45420</v>
      </c>
      <c r="D388" t="s">
        <v>14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18</v>
      </c>
      <c r="K388">
        <v>170</v>
      </c>
      <c r="L388">
        <v>1</v>
      </c>
    </row>
    <row r="389" spans="1:12" x14ac:dyDescent="0.25">
      <c r="A389" t="s">
        <v>734</v>
      </c>
      <c r="B389" t="s">
        <v>735</v>
      </c>
      <c r="C389" s="1">
        <v>45494</v>
      </c>
      <c r="D389" t="s">
        <v>38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18</v>
      </c>
      <c r="K389">
        <v>75</v>
      </c>
      <c r="L389">
        <v>1</v>
      </c>
    </row>
    <row r="390" spans="1:12" x14ac:dyDescent="0.25">
      <c r="A390" t="s">
        <v>736</v>
      </c>
      <c r="B390" t="s">
        <v>735</v>
      </c>
      <c r="C390" s="1">
        <v>45498</v>
      </c>
      <c r="D390" t="s">
        <v>47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18</v>
      </c>
      <c r="K390">
        <v>153</v>
      </c>
      <c r="L390">
        <v>1</v>
      </c>
    </row>
    <row r="391" spans="1:12" x14ac:dyDescent="0.25">
      <c r="A391" t="s">
        <v>737</v>
      </c>
      <c r="B391" t="s">
        <v>738</v>
      </c>
      <c r="C391" s="1">
        <v>45735</v>
      </c>
      <c r="D391" t="s">
        <v>30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15</v>
      </c>
      <c r="K391">
        <v>0</v>
      </c>
      <c r="L391">
        <v>0</v>
      </c>
    </row>
    <row r="392" spans="1:12" x14ac:dyDescent="0.25">
      <c r="A392" t="s">
        <v>739</v>
      </c>
      <c r="B392" t="s">
        <v>740</v>
      </c>
      <c r="C392" s="1">
        <v>45448</v>
      </c>
      <c r="D392" t="s">
        <v>17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27</v>
      </c>
      <c r="K392">
        <v>0</v>
      </c>
      <c r="L392">
        <v>0</v>
      </c>
    </row>
    <row r="393" spans="1:12" x14ac:dyDescent="0.25">
      <c r="A393" t="s">
        <v>741</v>
      </c>
      <c r="B393" t="s">
        <v>742</v>
      </c>
      <c r="C393" s="1">
        <v>45772</v>
      </c>
      <c r="D393" t="s">
        <v>24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18</v>
      </c>
      <c r="K393">
        <v>78</v>
      </c>
      <c r="L393">
        <v>1</v>
      </c>
    </row>
    <row r="394" spans="1:12" x14ac:dyDescent="0.25">
      <c r="A394" t="s">
        <v>743</v>
      </c>
      <c r="B394" t="s">
        <v>744</v>
      </c>
      <c r="C394" s="1">
        <v>45696</v>
      </c>
      <c r="D394" t="s">
        <v>21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27</v>
      </c>
      <c r="K394">
        <v>0</v>
      </c>
      <c r="L394">
        <v>0</v>
      </c>
    </row>
    <row r="395" spans="1:12" x14ac:dyDescent="0.25">
      <c r="A395" t="s">
        <v>745</v>
      </c>
      <c r="B395" t="s">
        <v>746</v>
      </c>
      <c r="C395" s="1">
        <v>45458</v>
      </c>
      <c r="D395" t="s">
        <v>47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18</v>
      </c>
      <c r="K395">
        <v>141</v>
      </c>
      <c r="L395">
        <v>1</v>
      </c>
    </row>
    <row r="396" spans="1:12" x14ac:dyDescent="0.25">
      <c r="A396" t="s">
        <v>747</v>
      </c>
      <c r="B396" t="s">
        <v>748</v>
      </c>
      <c r="C396" s="1">
        <v>45686</v>
      </c>
      <c r="D396" t="s">
        <v>30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27</v>
      </c>
      <c r="K396">
        <v>0</v>
      </c>
      <c r="L396">
        <v>0</v>
      </c>
    </row>
    <row r="397" spans="1:12" x14ac:dyDescent="0.25">
      <c r="A397" t="s">
        <v>749</v>
      </c>
      <c r="B397" t="s">
        <v>748</v>
      </c>
      <c r="C397" s="1">
        <v>45443</v>
      </c>
      <c r="D397" t="s">
        <v>41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62</v>
      </c>
      <c r="K397">
        <v>0</v>
      </c>
      <c r="L397">
        <v>0</v>
      </c>
    </row>
    <row r="398" spans="1:12" x14ac:dyDescent="0.25">
      <c r="A398" t="s">
        <v>750</v>
      </c>
      <c r="B398" t="s">
        <v>751</v>
      </c>
      <c r="C398" s="1">
        <v>45386</v>
      </c>
      <c r="D398" t="s">
        <v>47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62</v>
      </c>
      <c r="K398">
        <v>15</v>
      </c>
      <c r="L398">
        <v>0</v>
      </c>
    </row>
    <row r="399" spans="1:12" x14ac:dyDescent="0.25">
      <c r="A399" t="s">
        <v>752</v>
      </c>
      <c r="B399" t="s">
        <v>753</v>
      </c>
      <c r="C399" s="1">
        <v>45729</v>
      </c>
      <c r="D399" t="s">
        <v>36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18</v>
      </c>
      <c r="K399">
        <v>107</v>
      </c>
      <c r="L399">
        <v>1</v>
      </c>
    </row>
    <row r="400" spans="1:12" x14ac:dyDescent="0.25">
      <c r="A400" t="s">
        <v>754</v>
      </c>
      <c r="B400" t="s">
        <v>755</v>
      </c>
      <c r="C400" s="1">
        <v>45383</v>
      </c>
      <c r="D400" t="s">
        <v>21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18</v>
      </c>
      <c r="K400">
        <v>176</v>
      </c>
      <c r="L400">
        <v>1</v>
      </c>
    </row>
    <row r="401" spans="1:12" x14ac:dyDescent="0.25">
      <c r="A401" t="s">
        <v>756</v>
      </c>
      <c r="B401" t="s">
        <v>757</v>
      </c>
      <c r="C401" s="1">
        <v>45699</v>
      </c>
      <c r="D401" t="s">
        <v>30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27</v>
      </c>
      <c r="K401">
        <v>0</v>
      </c>
      <c r="L401">
        <v>0</v>
      </c>
    </row>
    <row r="402" spans="1:12" x14ac:dyDescent="0.25">
      <c r="A402" t="s">
        <v>758</v>
      </c>
      <c r="B402" t="s">
        <v>759</v>
      </c>
      <c r="C402" s="1">
        <v>45587</v>
      </c>
      <c r="D402" t="s">
        <v>36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27</v>
      </c>
      <c r="K402">
        <v>0</v>
      </c>
      <c r="L402">
        <v>0</v>
      </c>
    </row>
    <row r="403" spans="1:12" x14ac:dyDescent="0.25">
      <c r="A403" t="s">
        <v>760</v>
      </c>
      <c r="B403" t="s">
        <v>761</v>
      </c>
      <c r="C403" s="1">
        <v>45509</v>
      </c>
      <c r="D403" t="s">
        <v>38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18</v>
      </c>
      <c r="K403">
        <v>45</v>
      </c>
      <c r="L403">
        <v>1</v>
      </c>
    </row>
    <row r="404" spans="1:12" x14ac:dyDescent="0.25">
      <c r="A404" t="s">
        <v>762</v>
      </c>
      <c r="B404" t="s">
        <v>763</v>
      </c>
      <c r="C404" s="1">
        <v>45403</v>
      </c>
      <c r="D404" t="s">
        <v>38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27</v>
      </c>
      <c r="K404">
        <v>0</v>
      </c>
      <c r="L404">
        <v>0</v>
      </c>
    </row>
    <row r="405" spans="1:12" x14ac:dyDescent="0.25">
      <c r="A405" t="s">
        <v>764</v>
      </c>
      <c r="B405" t="s">
        <v>765</v>
      </c>
      <c r="C405" s="1">
        <v>45395</v>
      </c>
      <c r="D405" t="s">
        <v>24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18</v>
      </c>
      <c r="K405">
        <v>98</v>
      </c>
      <c r="L405">
        <v>1</v>
      </c>
    </row>
    <row r="406" spans="1:12" x14ac:dyDescent="0.25">
      <c r="A406" t="s">
        <v>766</v>
      </c>
      <c r="B406" t="s">
        <v>767</v>
      </c>
      <c r="C406" s="1">
        <v>45826</v>
      </c>
      <c r="D406" t="s">
        <v>41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27</v>
      </c>
      <c r="K406">
        <v>0</v>
      </c>
      <c r="L406">
        <v>0</v>
      </c>
    </row>
    <row r="407" spans="1:12" x14ac:dyDescent="0.25">
      <c r="A407" t="s">
        <v>768</v>
      </c>
      <c r="B407" t="s">
        <v>769</v>
      </c>
      <c r="C407" s="1">
        <v>45636</v>
      </c>
      <c r="D407" t="s">
        <v>24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62</v>
      </c>
      <c r="K407">
        <v>15</v>
      </c>
      <c r="L407">
        <v>0</v>
      </c>
    </row>
    <row r="408" spans="1:12" x14ac:dyDescent="0.25">
      <c r="A408" t="s">
        <v>770</v>
      </c>
      <c r="B408" t="s">
        <v>769</v>
      </c>
      <c r="C408" s="1">
        <v>45656</v>
      </c>
      <c r="D408" t="s">
        <v>38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27</v>
      </c>
      <c r="K408">
        <v>0</v>
      </c>
      <c r="L408">
        <v>0</v>
      </c>
    </row>
    <row r="409" spans="1:12" x14ac:dyDescent="0.25">
      <c r="A409" t="s">
        <v>771</v>
      </c>
      <c r="B409" t="s">
        <v>772</v>
      </c>
      <c r="C409" s="1">
        <v>45417</v>
      </c>
      <c r="D409" t="s">
        <v>17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62</v>
      </c>
      <c r="K409">
        <v>0</v>
      </c>
      <c r="L409">
        <v>0</v>
      </c>
    </row>
    <row r="410" spans="1:12" x14ac:dyDescent="0.25">
      <c r="A410" t="s">
        <v>773</v>
      </c>
      <c r="B410" t="s">
        <v>772</v>
      </c>
      <c r="C410" s="1">
        <v>45484</v>
      </c>
      <c r="D410" t="s">
        <v>38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18</v>
      </c>
      <c r="K410">
        <v>112</v>
      </c>
      <c r="L410">
        <v>1</v>
      </c>
    </row>
    <row r="411" spans="1:12" x14ac:dyDescent="0.25">
      <c r="A411" t="s">
        <v>774</v>
      </c>
      <c r="B411" t="s">
        <v>775</v>
      </c>
      <c r="C411" s="1">
        <v>45531</v>
      </c>
      <c r="D411" t="s">
        <v>30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62</v>
      </c>
      <c r="K411">
        <v>0</v>
      </c>
      <c r="L411">
        <v>0</v>
      </c>
    </row>
    <row r="412" spans="1:12" x14ac:dyDescent="0.25">
      <c r="A412" t="s">
        <v>776</v>
      </c>
      <c r="B412" t="s">
        <v>777</v>
      </c>
      <c r="C412" s="1">
        <v>45394</v>
      </c>
      <c r="D412" t="s">
        <v>17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27</v>
      </c>
      <c r="K412">
        <v>0</v>
      </c>
      <c r="L412">
        <v>0</v>
      </c>
    </row>
    <row r="413" spans="1:12" x14ac:dyDescent="0.25">
      <c r="A413" t="s">
        <v>778</v>
      </c>
      <c r="B413" t="s">
        <v>779</v>
      </c>
      <c r="C413" s="1">
        <v>45801</v>
      </c>
      <c r="D413" t="s">
        <v>21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62</v>
      </c>
      <c r="K413">
        <v>0</v>
      </c>
      <c r="L413">
        <v>0</v>
      </c>
    </row>
    <row r="414" spans="1:12" x14ac:dyDescent="0.25">
      <c r="A414" t="s">
        <v>780</v>
      </c>
      <c r="B414" t="s">
        <v>781</v>
      </c>
      <c r="C414" s="1">
        <v>45538</v>
      </c>
      <c r="D414" t="s">
        <v>14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15</v>
      </c>
      <c r="K414">
        <v>0</v>
      </c>
      <c r="L414">
        <v>0</v>
      </c>
    </row>
    <row r="415" spans="1:12" x14ac:dyDescent="0.25">
      <c r="A415" t="s">
        <v>782</v>
      </c>
      <c r="B415" t="s">
        <v>783</v>
      </c>
      <c r="C415" s="1">
        <v>45626</v>
      </c>
      <c r="D415" t="s">
        <v>36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27</v>
      </c>
      <c r="K415">
        <v>0</v>
      </c>
      <c r="L415">
        <v>0</v>
      </c>
    </row>
    <row r="416" spans="1:12" x14ac:dyDescent="0.25">
      <c r="A416" t="s">
        <v>784</v>
      </c>
      <c r="B416" t="s">
        <v>785</v>
      </c>
      <c r="C416" s="1">
        <v>45795</v>
      </c>
      <c r="D416" t="s">
        <v>14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18</v>
      </c>
      <c r="K416">
        <v>115</v>
      </c>
      <c r="L416">
        <v>1</v>
      </c>
    </row>
    <row r="417" spans="1:12" x14ac:dyDescent="0.25">
      <c r="A417" t="s">
        <v>786</v>
      </c>
      <c r="B417" t="s">
        <v>787</v>
      </c>
      <c r="C417" s="1">
        <v>45682</v>
      </c>
      <c r="D417" t="s">
        <v>47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15</v>
      </c>
      <c r="K417">
        <v>0</v>
      </c>
      <c r="L417">
        <v>0</v>
      </c>
    </row>
    <row r="418" spans="1:12" x14ac:dyDescent="0.25">
      <c r="A418" t="s">
        <v>788</v>
      </c>
      <c r="B418" t="s">
        <v>787</v>
      </c>
      <c r="C418" s="1">
        <v>45406</v>
      </c>
      <c r="D418" t="s">
        <v>17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18</v>
      </c>
      <c r="K418">
        <v>78</v>
      </c>
      <c r="L418">
        <v>1</v>
      </c>
    </row>
    <row r="419" spans="1:12" x14ac:dyDescent="0.25">
      <c r="A419" t="s">
        <v>789</v>
      </c>
      <c r="B419" t="s">
        <v>790</v>
      </c>
      <c r="C419" s="1">
        <v>45293</v>
      </c>
      <c r="D419" t="s">
        <v>36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27</v>
      </c>
      <c r="K419">
        <v>0</v>
      </c>
      <c r="L419">
        <v>0</v>
      </c>
    </row>
    <row r="420" spans="1:12" x14ac:dyDescent="0.25">
      <c r="A420" t="s">
        <v>791</v>
      </c>
      <c r="B420" t="s">
        <v>792</v>
      </c>
      <c r="C420" s="1">
        <v>45519</v>
      </c>
      <c r="D420" t="s">
        <v>17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18</v>
      </c>
      <c r="K420">
        <v>32</v>
      </c>
      <c r="L420">
        <v>1</v>
      </c>
    </row>
    <row r="421" spans="1:12" x14ac:dyDescent="0.25">
      <c r="A421" t="s">
        <v>793</v>
      </c>
      <c r="B421" t="s">
        <v>794</v>
      </c>
      <c r="C421" s="1">
        <v>45803</v>
      </c>
      <c r="D421" t="s">
        <v>14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27</v>
      </c>
      <c r="K421">
        <v>0</v>
      </c>
      <c r="L421">
        <v>0</v>
      </c>
    </row>
    <row r="422" spans="1:12" x14ac:dyDescent="0.25">
      <c r="A422" t="s">
        <v>795</v>
      </c>
      <c r="B422" t="s">
        <v>796</v>
      </c>
      <c r="C422" s="1">
        <v>45781</v>
      </c>
      <c r="D422" t="s">
        <v>41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27</v>
      </c>
      <c r="K422">
        <v>0</v>
      </c>
      <c r="L422">
        <v>0</v>
      </c>
    </row>
    <row r="423" spans="1:12" x14ac:dyDescent="0.25">
      <c r="A423" t="s">
        <v>797</v>
      </c>
      <c r="B423" t="s">
        <v>798</v>
      </c>
      <c r="C423" s="1">
        <v>45522</v>
      </c>
      <c r="D423" t="s">
        <v>41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15</v>
      </c>
      <c r="K423">
        <v>0</v>
      </c>
      <c r="L423">
        <v>0</v>
      </c>
    </row>
    <row r="424" spans="1:12" x14ac:dyDescent="0.25">
      <c r="A424" t="s">
        <v>799</v>
      </c>
      <c r="B424" t="s">
        <v>798</v>
      </c>
      <c r="C424" s="1">
        <v>45455</v>
      </c>
      <c r="D424" t="s">
        <v>33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27</v>
      </c>
      <c r="K424">
        <v>0</v>
      </c>
      <c r="L424">
        <v>0</v>
      </c>
    </row>
    <row r="425" spans="1:12" x14ac:dyDescent="0.25">
      <c r="A425" t="s">
        <v>800</v>
      </c>
      <c r="B425" t="s">
        <v>801</v>
      </c>
      <c r="C425" s="1">
        <v>45581</v>
      </c>
      <c r="D425" t="s">
        <v>30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15</v>
      </c>
      <c r="K425">
        <v>0</v>
      </c>
      <c r="L425">
        <v>0</v>
      </c>
    </row>
    <row r="426" spans="1:12" x14ac:dyDescent="0.25">
      <c r="A426" t="s">
        <v>802</v>
      </c>
      <c r="B426" t="s">
        <v>803</v>
      </c>
      <c r="C426" s="1">
        <v>45603</v>
      </c>
      <c r="D426" t="s">
        <v>33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27</v>
      </c>
      <c r="K426">
        <v>0</v>
      </c>
      <c r="L426">
        <v>0</v>
      </c>
    </row>
    <row r="427" spans="1:12" x14ac:dyDescent="0.25">
      <c r="A427" t="s">
        <v>804</v>
      </c>
      <c r="B427" t="s">
        <v>805</v>
      </c>
      <c r="C427" s="1">
        <v>45301</v>
      </c>
      <c r="D427" t="s">
        <v>24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62</v>
      </c>
      <c r="K427">
        <v>15</v>
      </c>
      <c r="L427">
        <v>0</v>
      </c>
    </row>
    <row r="428" spans="1:12" x14ac:dyDescent="0.25">
      <c r="A428" t="s">
        <v>806</v>
      </c>
      <c r="B428" t="s">
        <v>807</v>
      </c>
      <c r="C428" s="1">
        <v>45390</v>
      </c>
      <c r="D428" t="s">
        <v>33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18</v>
      </c>
      <c r="K428">
        <v>151</v>
      </c>
      <c r="L428">
        <v>1</v>
      </c>
    </row>
    <row r="429" spans="1:12" x14ac:dyDescent="0.25">
      <c r="A429" t="s">
        <v>808</v>
      </c>
      <c r="B429" t="s">
        <v>809</v>
      </c>
      <c r="C429" s="1">
        <v>45444</v>
      </c>
      <c r="D429" t="s">
        <v>41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27</v>
      </c>
      <c r="K429">
        <v>0</v>
      </c>
      <c r="L429">
        <v>0</v>
      </c>
    </row>
    <row r="430" spans="1:12" x14ac:dyDescent="0.25">
      <c r="A430" t="s">
        <v>810</v>
      </c>
      <c r="B430" t="s">
        <v>811</v>
      </c>
      <c r="C430" s="1">
        <v>45676</v>
      </c>
      <c r="D430" t="s">
        <v>14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62</v>
      </c>
      <c r="K430">
        <v>30</v>
      </c>
      <c r="L430">
        <v>0</v>
      </c>
    </row>
    <row r="431" spans="1:12" x14ac:dyDescent="0.25">
      <c r="A431" t="s">
        <v>812</v>
      </c>
      <c r="B431" t="s">
        <v>813</v>
      </c>
      <c r="C431" s="1">
        <v>45747</v>
      </c>
      <c r="D431" t="s">
        <v>14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27</v>
      </c>
      <c r="K431">
        <v>0</v>
      </c>
      <c r="L431">
        <v>0</v>
      </c>
    </row>
    <row r="432" spans="1:12" x14ac:dyDescent="0.25">
      <c r="A432" t="s">
        <v>814</v>
      </c>
      <c r="B432" t="s">
        <v>815</v>
      </c>
      <c r="C432" s="1">
        <v>45388</v>
      </c>
      <c r="D432" t="s">
        <v>21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27</v>
      </c>
      <c r="K432">
        <v>0</v>
      </c>
      <c r="L432">
        <v>0</v>
      </c>
    </row>
    <row r="433" spans="1:12" x14ac:dyDescent="0.25">
      <c r="A433" t="s">
        <v>816</v>
      </c>
      <c r="B433" t="s">
        <v>817</v>
      </c>
      <c r="C433" s="1">
        <v>45481</v>
      </c>
      <c r="D433" t="s">
        <v>17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27</v>
      </c>
      <c r="K433">
        <v>0</v>
      </c>
      <c r="L433">
        <v>0</v>
      </c>
    </row>
    <row r="434" spans="1:12" x14ac:dyDescent="0.25">
      <c r="A434" t="s">
        <v>818</v>
      </c>
      <c r="B434" t="s">
        <v>819</v>
      </c>
      <c r="C434" s="1">
        <v>45419</v>
      </c>
      <c r="D434" t="s">
        <v>21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62</v>
      </c>
      <c r="K434">
        <v>0</v>
      </c>
      <c r="L434">
        <v>0</v>
      </c>
    </row>
    <row r="435" spans="1:12" x14ac:dyDescent="0.25">
      <c r="A435" t="s">
        <v>820</v>
      </c>
      <c r="B435" t="s">
        <v>819</v>
      </c>
      <c r="C435" s="1">
        <v>45749</v>
      </c>
      <c r="D435" t="s">
        <v>36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27</v>
      </c>
      <c r="K435">
        <v>0</v>
      </c>
      <c r="L435">
        <v>0</v>
      </c>
    </row>
    <row r="436" spans="1:12" x14ac:dyDescent="0.25">
      <c r="A436" t="s">
        <v>821</v>
      </c>
      <c r="B436" t="s">
        <v>822</v>
      </c>
      <c r="C436" s="1">
        <v>45419</v>
      </c>
      <c r="D436" t="s">
        <v>33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27</v>
      </c>
      <c r="K436">
        <v>0</v>
      </c>
      <c r="L436">
        <v>0</v>
      </c>
    </row>
    <row r="437" spans="1:12" x14ac:dyDescent="0.25">
      <c r="A437" t="s">
        <v>823</v>
      </c>
      <c r="B437" t="s">
        <v>824</v>
      </c>
      <c r="C437" s="1">
        <v>45592</v>
      </c>
      <c r="D437" t="s">
        <v>41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27</v>
      </c>
      <c r="K437">
        <v>0</v>
      </c>
      <c r="L437">
        <v>0</v>
      </c>
    </row>
    <row r="438" spans="1:12" x14ac:dyDescent="0.25">
      <c r="A438" t="s">
        <v>825</v>
      </c>
      <c r="B438" t="s">
        <v>826</v>
      </c>
      <c r="C438" s="1">
        <v>45506</v>
      </c>
      <c r="D438" t="s">
        <v>21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27</v>
      </c>
      <c r="K438">
        <v>0</v>
      </c>
      <c r="L438">
        <v>0</v>
      </c>
    </row>
    <row r="439" spans="1:12" x14ac:dyDescent="0.25">
      <c r="A439" t="s">
        <v>827</v>
      </c>
      <c r="B439" t="s">
        <v>828</v>
      </c>
      <c r="C439" s="1">
        <v>45513</v>
      </c>
      <c r="D439" t="s">
        <v>33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15</v>
      </c>
      <c r="K439">
        <v>0</v>
      </c>
      <c r="L439">
        <v>0</v>
      </c>
    </row>
    <row r="440" spans="1:12" x14ac:dyDescent="0.25">
      <c r="A440" t="s">
        <v>829</v>
      </c>
      <c r="B440" t="s">
        <v>830</v>
      </c>
      <c r="C440" s="1">
        <v>45377</v>
      </c>
      <c r="D440" t="s">
        <v>21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15</v>
      </c>
      <c r="K440">
        <v>0</v>
      </c>
      <c r="L440">
        <v>0</v>
      </c>
    </row>
    <row r="441" spans="1:12" x14ac:dyDescent="0.25">
      <c r="A441" t="s">
        <v>831</v>
      </c>
      <c r="B441" t="s">
        <v>832</v>
      </c>
      <c r="C441" s="1">
        <v>45815</v>
      </c>
      <c r="D441" t="s">
        <v>38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27</v>
      </c>
      <c r="K441">
        <v>0</v>
      </c>
      <c r="L441">
        <v>0</v>
      </c>
    </row>
    <row r="442" spans="1:12" x14ac:dyDescent="0.25">
      <c r="A442" t="s">
        <v>833</v>
      </c>
      <c r="B442" t="s">
        <v>834</v>
      </c>
      <c r="C442" s="1">
        <v>45419</v>
      </c>
      <c r="D442" t="s">
        <v>17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27</v>
      </c>
      <c r="K442">
        <v>0</v>
      </c>
      <c r="L442">
        <v>0</v>
      </c>
    </row>
    <row r="443" spans="1:12" x14ac:dyDescent="0.25">
      <c r="A443" t="s">
        <v>835</v>
      </c>
      <c r="B443" t="s">
        <v>834</v>
      </c>
      <c r="C443" s="1">
        <v>45441</v>
      </c>
      <c r="D443" t="s">
        <v>30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27</v>
      </c>
      <c r="K443">
        <v>0</v>
      </c>
      <c r="L443">
        <v>0</v>
      </c>
    </row>
    <row r="444" spans="1:12" x14ac:dyDescent="0.25">
      <c r="A444" t="s">
        <v>836</v>
      </c>
      <c r="B444" t="s">
        <v>837</v>
      </c>
      <c r="C444" s="1">
        <v>45605</v>
      </c>
      <c r="D444" t="s">
        <v>38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27</v>
      </c>
      <c r="K444">
        <v>0</v>
      </c>
      <c r="L444">
        <v>0</v>
      </c>
    </row>
    <row r="445" spans="1:12" x14ac:dyDescent="0.25">
      <c r="A445" t="s">
        <v>838</v>
      </c>
      <c r="B445" t="s">
        <v>839</v>
      </c>
      <c r="C445" s="1">
        <v>45341</v>
      </c>
      <c r="D445" t="s">
        <v>47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18</v>
      </c>
      <c r="K445">
        <v>129</v>
      </c>
      <c r="L445">
        <v>1</v>
      </c>
    </row>
    <row r="446" spans="1:12" x14ac:dyDescent="0.25">
      <c r="A446" t="s">
        <v>840</v>
      </c>
      <c r="B446" t="s">
        <v>841</v>
      </c>
      <c r="C446" s="1">
        <v>45422</v>
      </c>
      <c r="D446" t="s">
        <v>21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18</v>
      </c>
      <c r="K446">
        <v>161</v>
      </c>
      <c r="L446">
        <v>1</v>
      </c>
    </row>
    <row r="447" spans="1:12" x14ac:dyDescent="0.25">
      <c r="A447" t="s">
        <v>842</v>
      </c>
      <c r="B447" t="s">
        <v>843</v>
      </c>
      <c r="C447" s="1">
        <v>45671</v>
      </c>
      <c r="D447" t="s">
        <v>33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62</v>
      </c>
      <c r="K447">
        <v>0</v>
      </c>
      <c r="L447">
        <v>0</v>
      </c>
    </row>
    <row r="448" spans="1:12" x14ac:dyDescent="0.25">
      <c r="A448" t="s">
        <v>844</v>
      </c>
      <c r="B448" t="s">
        <v>845</v>
      </c>
      <c r="C448" s="1">
        <v>45574</v>
      </c>
      <c r="D448" t="s">
        <v>33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15</v>
      </c>
      <c r="K448">
        <v>0</v>
      </c>
      <c r="L448">
        <v>0</v>
      </c>
    </row>
    <row r="449" spans="1:12" x14ac:dyDescent="0.25">
      <c r="A449" t="s">
        <v>846</v>
      </c>
      <c r="B449" t="s">
        <v>847</v>
      </c>
      <c r="C449" s="1">
        <v>45612</v>
      </c>
      <c r="D449" t="s">
        <v>38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27</v>
      </c>
      <c r="K449">
        <v>0</v>
      </c>
      <c r="L449">
        <v>0</v>
      </c>
    </row>
    <row r="450" spans="1:12" x14ac:dyDescent="0.25">
      <c r="A450" t="s">
        <v>848</v>
      </c>
      <c r="B450" t="s">
        <v>847</v>
      </c>
      <c r="C450" s="1">
        <v>45584</v>
      </c>
      <c r="D450" t="s">
        <v>38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15</v>
      </c>
      <c r="K450">
        <v>0</v>
      </c>
      <c r="L450">
        <v>0</v>
      </c>
    </row>
    <row r="451" spans="1:12" x14ac:dyDescent="0.25">
      <c r="A451" t="s">
        <v>849</v>
      </c>
      <c r="B451" t="s">
        <v>850</v>
      </c>
      <c r="C451" s="1">
        <v>45819</v>
      </c>
      <c r="D451" t="s">
        <v>17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27</v>
      </c>
      <c r="K451">
        <v>0</v>
      </c>
      <c r="L451">
        <v>0</v>
      </c>
    </row>
    <row r="452" spans="1:12" x14ac:dyDescent="0.25">
      <c r="A452" t="s">
        <v>851</v>
      </c>
      <c r="B452" t="s">
        <v>850</v>
      </c>
      <c r="C452" s="1">
        <v>45645</v>
      </c>
      <c r="D452" t="s">
        <v>36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15</v>
      </c>
      <c r="K452">
        <v>0</v>
      </c>
      <c r="L452">
        <v>0</v>
      </c>
    </row>
    <row r="453" spans="1:12" x14ac:dyDescent="0.25">
      <c r="A453" t="s">
        <v>852</v>
      </c>
      <c r="B453" t="s">
        <v>853</v>
      </c>
      <c r="C453" s="1">
        <v>45828</v>
      </c>
      <c r="D453" t="s">
        <v>21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27</v>
      </c>
      <c r="K453">
        <v>0</v>
      </c>
      <c r="L453">
        <v>0</v>
      </c>
    </row>
    <row r="454" spans="1:12" x14ac:dyDescent="0.25">
      <c r="A454" t="s">
        <v>854</v>
      </c>
      <c r="B454" t="s">
        <v>853</v>
      </c>
      <c r="C454" s="1">
        <v>45466</v>
      </c>
      <c r="D454" t="s">
        <v>33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18</v>
      </c>
      <c r="K454">
        <v>58</v>
      </c>
      <c r="L454">
        <v>1</v>
      </c>
    </row>
    <row r="455" spans="1:12" x14ac:dyDescent="0.25">
      <c r="A455" t="s">
        <v>855</v>
      </c>
      <c r="B455" t="s">
        <v>856</v>
      </c>
      <c r="C455" s="1">
        <v>45786</v>
      </c>
      <c r="D455" t="s">
        <v>38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15</v>
      </c>
      <c r="K455">
        <v>0</v>
      </c>
      <c r="L455">
        <v>0</v>
      </c>
    </row>
    <row r="456" spans="1:12" x14ac:dyDescent="0.25">
      <c r="A456" t="s">
        <v>857</v>
      </c>
      <c r="B456" t="s">
        <v>858</v>
      </c>
      <c r="C456" s="1">
        <v>45328</v>
      </c>
      <c r="D456" t="s">
        <v>38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62</v>
      </c>
      <c r="K456">
        <v>15</v>
      </c>
      <c r="L456">
        <v>0</v>
      </c>
    </row>
    <row r="457" spans="1:12" x14ac:dyDescent="0.25">
      <c r="A457" t="s">
        <v>859</v>
      </c>
      <c r="B457" t="s">
        <v>860</v>
      </c>
      <c r="C457" s="1">
        <v>45650</v>
      </c>
      <c r="D457" t="s">
        <v>41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27</v>
      </c>
      <c r="K457">
        <v>0</v>
      </c>
      <c r="L457">
        <v>0</v>
      </c>
    </row>
    <row r="458" spans="1:12" x14ac:dyDescent="0.25">
      <c r="A458" t="s">
        <v>861</v>
      </c>
      <c r="B458" t="s">
        <v>862</v>
      </c>
      <c r="C458" s="1">
        <v>45791</v>
      </c>
      <c r="D458" t="s">
        <v>14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18</v>
      </c>
      <c r="K458">
        <v>94</v>
      </c>
      <c r="L458">
        <v>1</v>
      </c>
    </row>
    <row r="459" spans="1:12" x14ac:dyDescent="0.25">
      <c r="A459" t="s">
        <v>863</v>
      </c>
      <c r="B459" t="s">
        <v>864</v>
      </c>
      <c r="C459" s="1">
        <v>45567</v>
      </c>
      <c r="D459" t="s">
        <v>17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18</v>
      </c>
      <c r="K459">
        <v>142</v>
      </c>
      <c r="L459">
        <v>1</v>
      </c>
    </row>
    <row r="460" spans="1:12" x14ac:dyDescent="0.25">
      <c r="A460" t="s">
        <v>865</v>
      </c>
      <c r="B460" t="s">
        <v>866</v>
      </c>
      <c r="C460" s="1">
        <v>45495</v>
      </c>
      <c r="D460" t="s">
        <v>14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27</v>
      </c>
      <c r="K460">
        <v>0</v>
      </c>
      <c r="L460">
        <v>0</v>
      </c>
    </row>
    <row r="461" spans="1:12" x14ac:dyDescent="0.25">
      <c r="A461" t="s">
        <v>867</v>
      </c>
      <c r="B461" t="s">
        <v>868</v>
      </c>
      <c r="C461" s="1">
        <v>45564</v>
      </c>
      <c r="D461" t="s">
        <v>30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27</v>
      </c>
      <c r="K461">
        <v>0</v>
      </c>
      <c r="L461">
        <v>0</v>
      </c>
    </row>
    <row r="462" spans="1:12" x14ac:dyDescent="0.25">
      <c r="A462" t="s">
        <v>869</v>
      </c>
      <c r="B462" t="s">
        <v>870</v>
      </c>
      <c r="C462" s="1">
        <v>45690</v>
      </c>
      <c r="D462" t="s">
        <v>33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62</v>
      </c>
      <c r="K462">
        <v>30</v>
      </c>
      <c r="L462">
        <v>0</v>
      </c>
    </row>
    <row r="463" spans="1:12" x14ac:dyDescent="0.25">
      <c r="A463" t="s">
        <v>871</v>
      </c>
      <c r="B463" t="s">
        <v>872</v>
      </c>
      <c r="C463" s="1">
        <v>45642</v>
      </c>
      <c r="D463" t="s">
        <v>30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18</v>
      </c>
      <c r="K463">
        <v>32</v>
      </c>
      <c r="L463">
        <v>1</v>
      </c>
    </row>
    <row r="464" spans="1:12" x14ac:dyDescent="0.25">
      <c r="A464" t="s">
        <v>873</v>
      </c>
      <c r="B464" t="s">
        <v>874</v>
      </c>
      <c r="C464" s="1">
        <v>45448</v>
      </c>
      <c r="D464" t="s">
        <v>24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27</v>
      </c>
      <c r="K464">
        <v>0</v>
      </c>
      <c r="L464">
        <v>0</v>
      </c>
    </row>
    <row r="465" spans="1:12" x14ac:dyDescent="0.25">
      <c r="A465" t="s">
        <v>875</v>
      </c>
      <c r="B465" t="s">
        <v>876</v>
      </c>
      <c r="C465" s="1">
        <v>45397</v>
      </c>
      <c r="D465" t="s">
        <v>24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27</v>
      </c>
      <c r="K465">
        <v>0</v>
      </c>
      <c r="L465">
        <v>0</v>
      </c>
    </row>
    <row r="466" spans="1:12" x14ac:dyDescent="0.25">
      <c r="A466" t="s">
        <v>877</v>
      </c>
      <c r="B466" t="s">
        <v>878</v>
      </c>
      <c r="C466" s="1">
        <v>45331</v>
      </c>
      <c r="D466" t="s">
        <v>47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18</v>
      </c>
      <c r="K466">
        <v>79</v>
      </c>
      <c r="L466">
        <v>1</v>
      </c>
    </row>
    <row r="467" spans="1:12" x14ac:dyDescent="0.25">
      <c r="A467" t="s">
        <v>879</v>
      </c>
      <c r="B467" t="s">
        <v>878</v>
      </c>
      <c r="C467" s="1">
        <v>45681</v>
      </c>
      <c r="D467" t="s">
        <v>33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18</v>
      </c>
      <c r="K467">
        <v>108</v>
      </c>
      <c r="L467">
        <v>1</v>
      </c>
    </row>
    <row r="468" spans="1:12" x14ac:dyDescent="0.25">
      <c r="A468" t="s">
        <v>880</v>
      </c>
      <c r="B468" t="s">
        <v>881</v>
      </c>
      <c r="C468" s="1">
        <v>45344</v>
      </c>
      <c r="D468" t="s">
        <v>38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27</v>
      </c>
      <c r="K468">
        <v>0</v>
      </c>
      <c r="L468">
        <v>0</v>
      </c>
    </row>
    <row r="469" spans="1:12" x14ac:dyDescent="0.25">
      <c r="A469" t="s">
        <v>882</v>
      </c>
      <c r="B469" t="s">
        <v>883</v>
      </c>
      <c r="C469" s="1">
        <v>45345</v>
      </c>
      <c r="D469" t="s">
        <v>17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27</v>
      </c>
      <c r="K469">
        <v>0</v>
      </c>
      <c r="L469">
        <v>0</v>
      </c>
    </row>
    <row r="470" spans="1:12" x14ac:dyDescent="0.25">
      <c r="A470" t="s">
        <v>884</v>
      </c>
      <c r="B470" t="s">
        <v>885</v>
      </c>
      <c r="C470" s="1">
        <v>45603</v>
      </c>
      <c r="D470" t="s">
        <v>47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18</v>
      </c>
      <c r="K470">
        <v>33</v>
      </c>
      <c r="L470">
        <v>1</v>
      </c>
    </row>
    <row r="471" spans="1:12" x14ac:dyDescent="0.25">
      <c r="A471" t="s">
        <v>886</v>
      </c>
      <c r="B471" t="s">
        <v>887</v>
      </c>
      <c r="C471" s="1">
        <v>45833</v>
      </c>
      <c r="D471" t="s">
        <v>33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27</v>
      </c>
      <c r="K471">
        <v>0</v>
      </c>
      <c r="L471">
        <v>0</v>
      </c>
    </row>
    <row r="472" spans="1:12" x14ac:dyDescent="0.25">
      <c r="A472" t="s">
        <v>888</v>
      </c>
      <c r="B472" t="s">
        <v>889</v>
      </c>
      <c r="C472" s="1">
        <v>45487</v>
      </c>
      <c r="D472" t="s">
        <v>36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18</v>
      </c>
      <c r="K472">
        <v>144</v>
      </c>
      <c r="L472">
        <v>1</v>
      </c>
    </row>
    <row r="473" spans="1:12" x14ac:dyDescent="0.25">
      <c r="A473" t="s">
        <v>890</v>
      </c>
      <c r="B473" t="s">
        <v>891</v>
      </c>
      <c r="C473" s="1">
        <v>45498</v>
      </c>
      <c r="D473" t="s">
        <v>36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27</v>
      </c>
      <c r="K473">
        <v>0</v>
      </c>
      <c r="L473">
        <v>0</v>
      </c>
    </row>
    <row r="474" spans="1:12" x14ac:dyDescent="0.25">
      <c r="A474" t="s">
        <v>892</v>
      </c>
      <c r="B474" t="s">
        <v>891</v>
      </c>
      <c r="C474" s="1">
        <v>45666</v>
      </c>
      <c r="D474" t="s">
        <v>17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15</v>
      </c>
      <c r="K474">
        <v>0</v>
      </c>
      <c r="L474">
        <v>0</v>
      </c>
    </row>
    <row r="475" spans="1:12" x14ac:dyDescent="0.25">
      <c r="A475" t="s">
        <v>893</v>
      </c>
      <c r="B475" t="s">
        <v>894</v>
      </c>
      <c r="C475" s="1">
        <v>45572</v>
      </c>
      <c r="D475" t="s">
        <v>17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27</v>
      </c>
      <c r="K475">
        <v>0</v>
      </c>
      <c r="L475">
        <v>0</v>
      </c>
    </row>
    <row r="476" spans="1:12" x14ac:dyDescent="0.25">
      <c r="A476" t="s">
        <v>895</v>
      </c>
      <c r="B476" t="s">
        <v>896</v>
      </c>
      <c r="C476" s="1">
        <v>45368</v>
      </c>
      <c r="D476" t="s">
        <v>38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27</v>
      </c>
      <c r="K476">
        <v>0</v>
      </c>
      <c r="L476">
        <v>0</v>
      </c>
    </row>
    <row r="477" spans="1:12" x14ac:dyDescent="0.25">
      <c r="A477" t="s">
        <v>897</v>
      </c>
      <c r="B477" t="s">
        <v>898</v>
      </c>
      <c r="C477" s="1">
        <v>45515</v>
      </c>
      <c r="D477" t="s">
        <v>17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15</v>
      </c>
      <c r="K477">
        <v>0</v>
      </c>
      <c r="L477">
        <v>0</v>
      </c>
    </row>
    <row r="478" spans="1:12" x14ac:dyDescent="0.25">
      <c r="A478" t="s">
        <v>899</v>
      </c>
      <c r="B478" t="s">
        <v>900</v>
      </c>
      <c r="C478" s="1">
        <v>45595</v>
      </c>
      <c r="D478" t="s">
        <v>21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27</v>
      </c>
      <c r="K478">
        <v>0</v>
      </c>
      <c r="L478">
        <v>0</v>
      </c>
    </row>
    <row r="479" spans="1:12" x14ac:dyDescent="0.25">
      <c r="A479" t="s">
        <v>901</v>
      </c>
      <c r="B479" t="s">
        <v>902</v>
      </c>
      <c r="C479" s="1">
        <v>45568</v>
      </c>
      <c r="D479" t="s">
        <v>38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15</v>
      </c>
      <c r="K479">
        <v>0</v>
      </c>
      <c r="L479">
        <v>0</v>
      </c>
    </row>
    <row r="480" spans="1:12" x14ac:dyDescent="0.25">
      <c r="A480" t="s">
        <v>903</v>
      </c>
      <c r="B480" t="s">
        <v>904</v>
      </c>
      <c r="C480" s="1">
        <v>45669</v>
      </c>
      <c r="D480" t="s">
        <v>38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62</v>
      </c>
      <c r="K480">
        <v>15</v>
      </c>
      <c r="L480">
        <v>0</v>
      </c>
    </row>
    <row r="481" spans="1:12" x14ac:dyDescent="0.25">
      <c r="A481" t="s">
        <v>905</v>
      </c>
      <c r="B481" t="s">
        <v>904</v>
      </c>
      <c r="C481" s="1">
        <v>45350</v>
      </c>
      <c r="D481" t="s">
        <v>24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27</v>
      </c>
      <c r="K481">
        <v>0</v>
      </c>
      <c r="L481">
        <v>0</v>
      </c>
    </row>
    <row r="482" spans="1:12" x14ac:dyDescent="0.25">
      <c r="A482" t="s">
        <v>906</v>
      </c>
      <c r="B482" t="s">
        <v>907</v>
      </c>
      <c r="C482" s="1">
        <v>45400</v>
      </c>
      <c r="D482" t="s">
        <v>24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15</v>
      </c>
      <c r="K482">
        <v>0</v>
      </c>
      <c r="L482">
        <v>0</v>
      </c>
    </row>
    <row r="483" spans="1:12" x14ac:dyDescent="0.25">
      <c r="A483" t="s">
        <v>908</v>
      </c>
      <c r="B483" t="s">
        <v>909</v>
      </c>
      <c r="C483" s="1">
        <v>45500</v>
      </c>
      <c r="D483" t="s">
        <v>47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15</v>
      </c>
      <c r="K483">
        <v>0</v>
      </c>
      <c r="L483">
        <v>0</v>
      </c>
    </row>
    <row r="484" spans="1:12" x14ac:dyDescent="0.25">
      <c r="A484" t="s">
        <v>910</v>
      </c>
      <c r="B484" t="s">
        <v>911</v>
      </c>
      <c r="C484" s="1">
        <v>45387</v>
      </c>
      <c r="D484" t="s">
        <v>38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18</v>
      </c>
      <c r="K484">
        <v>147</v>
      </c>
      <c r="L484">
        <v>1</v>
      </c>
    </row>
    <row r="485" spans="1:12" x14ac:dyDescent="0.25">
      <c r="A485" t="s">
        <v>912</v>
      </c>
      <c r="B485" t="s">
        <v>913</v>
      </c>
      <c r="C485" s="1">
        <v>45313</v>
      </c>
      <c r="D485" t="s">
        <v>33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62</v>
      </c>
      <c r="K485">
        <v>15</v>
      </c>
      <c r="L485">
        <v>0</v>
      </c>
    </row>
    <row r="486" spans="1:12" x14ac:dyDescent="0.25">
      <c r="A486" t="s">
        <v>914</v>
      </c>
      <c r="B486" t="s">
        <v>915</v>
      </c>
      <c r="C486" s="1">
        <v>45704</v>
      </c>
      <c r="D486" t="s">
        <v>38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15</v>
      </c>
      <c r="K486">
        <v>0</v>
      </c>
      <c r="L486">
        <v>0</v>
      </c>
    </row>
    <row r="487" spans="1:12" x14ac:dyDescent="0.25">
      <c r="A487" t="s">
        <v>916</v>
      </c>
      <c r="B487" t="s">
        <v>917</v>
      </c>
      <c r="C487" s="1">
        <v>45336</v>
      </c>
      <c r="D487" t="s">
        <v>47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18</v>
      </c>
      <c r="K487">
        <v>51</v>
      </c>
      <c r="L487">
        <v>1</v>
      </c>
    </row>
    <row r="488" spans="1:12" x14ac:dyDescent="0.25">
      <c r="A488" t="s">
        <v>918</v>
      </c>
      <c r="B488" t="s">
        <v>917</v>
      </c>
      <c r="C488" s="1">
        <v>45301</v>
      </c>
      <c r="D488" t="s">
        <v>24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15</v>
      </c>
      <c r="K488">
        <v>0</v>
      </c>
      <c r="L488">
        <v>0</v>
      </c>
    </row>
    <row r="489" spans="1:12" x14ac:dyDescent="0.25">
      <c r="A489" t="s">
        <v>919</v>
      </c>
      <c r="B489" t="s">
        <v>920</v>
      </c>
      <c r="C489" s="1">
        <v>45459</v>
      </c>
      <c r="D489" t="s">
        <v>36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18</v>
      </c>
      <c r="K489">
        <v>152</v>
      </c>
      <c r="L489">
        <v>1</v>
      </c>
    </row>
    <row r="490" spans="1:12" x14ac:dyDescent="0.25">
      <c r="A490" t="s">
        <v>921</v>
      </c>
      <c r="B490" t="s">
        <v>922</v>
      </c>
      <c r="C490" s="1">
        <v>45337</v>
      </c>
      <c r="D490" t="s">
        <v>41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18</v>
      </c>
      <c r="K490">
        <v>105</v>
      </c>
      <c r="L490">
        <v>1</v>
      </c>
    </row>
    <row r="491" spans="1:12" x14ac:dyDescent="0.25">
      <c r="A491" t="s">
        <v>923</v>
      </c>
      <c r="B491" t="s">
        <v>924</v>
      </c>
      <c r="C491" s="1">
        <v>45686</v>
      </c>
      <c r="D491" t="s">
        <v>17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18</v>
      </c>
      <c r="K491">
        <v>103</v>
      </c>
      <c r="L491">
        <v>1</v>
      </c>
    </row>
    <row r="492" spans="1:12" x14ac:dyDescent="0.25">
      <c r="A492" t="s">
        <v>925</v>
      </c>
      <c r="B492" t="s">
        <v>926</v>
      </c>
      <c r="C492" s="1">
        <v>45404</v>
      </c>
      <c r="D492" t="s">
        <v>17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18</v>
      </c>
      <c r="K492">
        <v>102</v>
      </c>
      <c r="L492">
        <v>1</v>
      </c>
    </row>
    <row r="493" spans="1:12" x14ac:dyDescent="0.25">
      <c r="A493" t="s">
        <v>927</v>
      </c>
      <c r="B493" t="s">
        <v>928</v>
      </c>
      <c r="C493" s="1">
        <v>45446</v>
      </c>
      <c r="D493" t="s">
        <v>47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18</v>
      </c>
      <c r="K493">
        <v>165</v>
      </c>
      <c r="L493">
        <v>1</v>
      </c>
    </row>
    <row r="494" spans="1:12" x14ac:dyDescent="0.25">
      <c r="A494" t="s">
        <v>929</v>
      </c>
      <c r="B494" t="s">
        <v>930</v>
      </c>
      <c r="C494" s="1">
        <v>45585</v>
      </c>
      <c r="D494" t="s">
        <v>33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15</v>
      </c>
      <c r="K494">
        <v>0</v>
      </c>
      <c r="L494">
        <v>0</v>
      </c>
    </row>
    <row r="495" spans="1:12" x14ac:dyDescent="0.25">
      <c r="A495" t="s">
        <v>931</v>
      </c>
      <c r="B495" t="s">
        <v>932</v>
      </c>
      <c r="C495" s="1">
        <v>45444</v>
      </c>
      <c r="D495" t="s">
        <v>24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27</v>
      </c>
      <c r="K495">
        <v>0</v>
      </c>
      <c r="L495">
        <v>0</v>
      </c>
    </row>
    <row r="496" spans="1:12" x14ac:dyDescent="0.25">
      <c r="A496" t="s">
        <v>933</v>
      </c>
      <c r="B496" t="s">
        <v>934</v>
      </c>
      <c r="C496" s="1">
        <v>45577</v>
      </c>
      <c r="D496" t="s">
        <v>14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18</v>
      </c>
      <c r="K496">
        <v>112</v>
      </c>
      <c r="L496">
        <v>1</v>
      </c>
    </row>
    <row r="497" spans="1:12" x14ac:dyDescent="0.25">
      <c r="A497" t="s">
        <v>935</v>
      </c>
      <c r="B497" t="s">
        <v>936</v>
      </c>
      <c r="C497" s="1">
        <v>45715</v>
      </c>
      <c r="D497" t="s">
        <v>33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27</v>
      </c>
      <c r="K497">
        <v>0</v>
      </c>
      <c r="L497">
        <v>0</v>
      </c>
    </row>
    <row r="498" spans="1:12" x14ac:dyDescent="0.25">
      <c r="A498" t="s">
        <v>937</v>
      </c>
      <c r="B498" t="s">
        <v>936</v>
      </c>
      <c r="C498" s="1">
        <v>45837</v>
      </c>
      <c r="D498" t="s">
        <v>38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27</v>
      </c>
      <c r="K498">
        <v>0</v>
      </c>
      <c r="L498">
        <v>0</v>
      </c>
    </row>
    <row r="499" spans="1:12" x14ac:dyDescent="0.25">
      <c r="A499" t="s">
        <v>938</v>
      </c>
      <c r="B499" t="s">
        <v>939</v>
      </c>
      <c r="C499" s="1">
        <v>45532</v>
      </c>
      <c r="D499" t="s">
        <v>21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15</v>
      </c>
      <c r="K499">
        <v>0</v>
      </c>
      <c r="L499">
        <v>0</v>
      </c>
    </row>
    <row r="500" spans="1:12" x14ac:dyDescent="0.25">
      <c r="A500" t="s">
        <v>940</v>
      </c>
      <c r="B500" t="s">
        <v>941</v>
      </c>
      <c r="C500" s="1">
        <v>45661</v>
      </c>
      <c r="D500" t="s">
        <v>14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62</v>
      </c>
      <c r="K500">
        <v>15</v>
      </c>
      <c r="L500">
        <v>0</v>
      </c>
    </row>
    <row r="501" spans="1:12" x14ac:dyDescent="0.25">
      <c r="A501" t="s">
        <v>942</v>
      </c>
      <c r="B501" t="s">
        <v>943</v>
      </c>
      <c r="C501" s="1">
        <v>45521</v>
      </c>
      <c r="D501" t="s">
        <v>33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18</v>
      </c>
      <c r="K501">
        <v>65</v>
      </c>
      <c r="L501">
        <v>1</v>
      </c>
    </row>
    <row r="502" spans="1:12" x14ac:dyDescent="0.25">
      <c r="A502" t="s">
        <v>944</v>
      </c>
      <c r="B502" t="s">
        <v>945</v>
      </c>
      <c r="C502" s="1">
        <v>45400</v>
      </c>
      <c r="D502" t="s">
        <v>33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15</v>
      </c>
      <c r="K502">
        <v>0</v>
      </c>
      <c r="L502">
        <v>0</v>
      </c>
    </row>
    <row r="503" spans="1:12" x14ac:dyDescent="0.25">
      <c r="A503" t="s">
        <v>946</v>
      </c>
      <c r="B503" t="s">
        <v>947</v>
      </c>
      <c r="C503" s="1">
        <v>45718</v>
      </c>
      <c r="D503" t="s">
        <v>41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15</v>
      </c>
      <c r="K503">
        <v>0</v>
      </c>
      <c r="L503">
        <v>0</v>
      </c>
    </row>
    <row r="504" spans="1:12" x14ac:dyDescent="0.25">
      <c r="A504" t="s">
        <v>948</v>
      </c>
      <c r="B504" t="s">
        <v>947</v>
      </c>
      <c r="C504" s="1">
        <v>45746</v>
      </c>
      <c r="D504" t="s">
        <v>21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27</v>
      </c>
      <c r="K504">
        <v>0</v>
      </c>
      <c r="L504">
        <v>0</v>
      </c>
    </row>
    <row r="505" spans="1:12" x14ac:dyDescent="0.25">
      <c r="A505" t="s">
        <v>949</v>
      </c>
      <c r="B505" t="s">
        <v>950</v>
      </c>
      <c r="C505" s="1">
        <v>45725</v>
      </c>
      <c r="D505" t="s">
        <v>41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62</v>
      </c>
      <c r="K505">
        <v>15</v>
      </c>
      <c r="L505">
        <v>0</v>
      </c>
    </row>
    <row r="506" spans="1:12" x14ac:dyDescent="0.25">
      <c r="A506" t="s">
        <v>951</v>
      </c>
      <c r="B506" t="s">
        <v>952</v>
      </c>
      <c r="C506" s="1">
        <v>45570</v>
      </c>
      <c r="D506" t="s">
        <v>47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15</v>
      </c>
      <c r="K506">
        <v>0</v>
      </c>
      <c r="L506">
        <v>0</v>
      </c>
    </row>
    <row r="507" spans="1:12" x14ac:dyDescent="0.25">
      <c r="A507" t="s">
        <v>953</v>
      </c>
      <c r="B507" t="s">
        <v>952</v>
      </c>
      <c r="C507" s="1">
        <v>45480</v>
      </c>
      <c r="D507" t="s">
        <v>33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62</v>
      </c>
      <c r="K507">
        <v>30</v>
      </c>
      <c r="L507">
        <v>0</v>
      </c>
    </row>
    <row r="508" spans="1:12" x14ac:dyDescent="0.25">
      <c r="A508" t="s">
        <v>954</v>
      </c>
      <c r="B508" t="s">
        <v>955</v>
      </c>
      <c r="C508" s="1">
        <v>45460</v>
      </c>
      <c r="D508" t="s">
        <v>14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18</v>
      </c>
      <c r="K508">
        <v>125</v>
      </c>
      <c r="L508">
        <v>1</v>
      </c>
    </row>
    <row r="509" spans="1:12" x14ac:dyDescent="0.25">
      <c r="A509" t="s">
        <v>956</v>
      </c>
      <c r="B509" t="s">
        <v>957</v>
      </c>
      <c r="C509" s="1">
        <v>45635</v>
      </c>
      <c r="D509" t="s">
        <v>38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18</v>
      </c>
      <c r="K509">
        <v>102</v>
      </c>
      <c r="L509">
        <v>1</v>
      </c>
    </row>
    <row r="510" spans="1:12" x14ac:dyDescent="0.25">
      <c r="A510" t="s">
        <v>958</v>
      </c>
      <c r="B510" t="s">
        <v>959</v>
      </c>
      <c r="C510" s="1">
        <v>45498</v>
      </c>
      <c r="D510" t="s">
        <v>36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27</v>
      </c>
      <c r="K510">
        <v>0</v>
      </c>
      <c r="L510">
        <v>0</v>
      </c>
    </row>
    <row r="511" spans="1:12" x14ac:dyDescent="0.25">
      <c r="A511" t="s">
        <v>960</v>
      </c>
      <c r="B511" t="s">
        <v>961</v>
      </c>
      <c r="C511" s="1">
        <v>45614</v>
      </c>
      <c r="D511" t="s">
        <v>47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18</v>
      </c>
      <c r="K511">
        <v>109</v>
      </c>
      <c r="L511">
        <v>1</v>
      </c>
    </row>
    <row r="512" spans="1:12" x14ac:dyDescent="0.25">
      <c r="A512" t="s">
        <v>962</v>
      </c>
      <c r="B512" t="s">
        <v>961</v>
      </c>
      <c r="C512" s="1">
        <v>45614</v>
      </c>
      <c r="D512" t="s">
        <v>41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15</v>
      </c>
      <c r="K512">
        <v>0</v>
      </c>
      <c r="L512">
        <v>0</v>
      </c>
    </row>
    <row r="513" spans="1:12" x14ac:dyDescent="0.25">
      <c r="A513" t="s">
        <v>963</v>
      </c>
      <c r="B513" t="s">
        <v>964</v>
      </c>
      <c r="C513" s="1">
        <v>45445</v>
      </c>
      <c r="D513" t="s">
        <v>36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18</v>
      </c>
      <c r="K513">
        <v>127</v>
      </c>
      <c r="L513">
        <v>1</v>
      </c>
    </row>
    <row r="514" spans="1:12" x14ac:dyDescent="0.25">
      <c r="A514" t="s">
        <v>965</v>
      </c>
      <c r="B514" t="s">
        <v>966</v>
      </c>
      <c r="C514" s="1">
        <v>45387</v>
      </c>
      <c r="D514" t="s">
        <v>41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27</v>
      </c>
      <c r="K514">
        <v>0</v>
      </c>
      <c r="L514">
        <v>0</v>
      </c>
    </row>
    <row r="515" spans="1:12" x14ac:dyDescent="0.25">
      <c r="A515" t="s">
        <v>967</v>
      </c>
      <c r="B515" t="s">
        <v>968</v>
      </c>
      <c r="C515" s="1">
        <v>45827</v>
      </c>
      <c r="D515" t="s">
        <v>33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15</v>
      </c>
      <c r="K515">
        <v>0</v>
      </c>
      <c r="L515">
        <v>0</v>
      </c>
    </row>
    <row r="516" spans="1:12" x14ac:dyDescent="0.25">
      <c r="A516" t="s">
        <v>969</v>
      </c>
      <c r="B516" t="s">
        <v>970</v>
      </c>
      <c r="C516" s="1">
        <v>45688</v>
      </c>
      <c r="D516" t="s">
        <v>30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18</v>
      </c>
      <c r="K516">
        <v>49</v>
      </c>
      <c r="L516">
        <v>1</v>
      </c>
    </row>
    <row r="517" spans="1:12" x14ac:dyDescent="0.25">
      <c r="A517" t="s">
        <v>971</v>
      </c>
      <c r="B517" t="s">
        <v>972</v>
      </c>
      <c r="C517" s="1">
        <v>45608</v>
      </c>
      <c r="D517" t="s">
        <v>47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62</v>
      </c>
      <c r="K517">
        <v>30</v>
      </c>
      <c r="L517">
        <v>0</v>
      </c>
    </row>
    <row r="518" spans="1:12" x14ac:dyDescent="0.25">
      <c r="A518" t="s">
        <v>973</v>
      </c>
      <c r="B518" t="s">
        <v>972</v>
      </c>
      <c r="C518" s="1">
        <v>45457</v>
      </c>
      <c r="D518" t="s">
        <v>36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18</v>
      </c>
      <c r="K518">
        <v>177</v>
      </c>
      <c r="L518">
        <v>1</v>
      </c>
    </row>
    <row r="519" spans="1:12" x14ac:dyDescent="0.25">
      <c r="A519" t="s">
        <v>974</v>
      </c>
      <c r="B519" t="s">
        <v>975</v>
      </c>
      <c r="C519" s="1">
        <v>45776</v>
      </c>
      <c r="D519" t="s">
        <v>36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27</v>
      </c>
      <c r="K519">
        <v>0</v>
      </c>
      <c r="L519">
        <v>0</v>
      </c>
    </row>
    <row r="520" spans="1:12" x14ac:dyDescent="0.25">
      <c r="A520" t="s">
        <v>976</v>
      </c>
      <c r="B520" t="s">
        <v>977</v>
      </c>
      <c r="C520" s="1">
        <v>45702</v>
      </c>
      <c r="D520" t="s">
        <v>36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62</v>
      </c>
      <c r="K520">
        <v>0</v>
      </c>
      <c r="L520">
        <v>0</v>
      </c>
    </row>
    <row r="521" spans="1:12" x14ac:dyDescent="0.25">
      <c r="A521" t="s">
        <v>978</v>
      </c>
      <c r="B521" t="s">
        <v>977</v>
      </c>
      <c r="C521" s="1">
        <v>45715</v>
      </c>
      <c r="D521" t="s">
        <v>14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15</v>
      </c>
      <c r="K521">
        <v>0</v>
      </c>
      <c r="L521">
        <v>0</v>
      </c>
    </row>
    <row r="522" spans="1:12" x14ac:dyDescent="0.25">
      <c r="A522" t="s">
        <v>979</v>
      </c>
      <c r="B522" t="s">
        <v>980</v>
      </c>
      <c r="C522" s="1">
        <v>45300</v>
      </c>
      <c r="D522" t="s">
        <v>47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27</v>
      </c>
      <c r="K522">
        <v>0</v>
      </c>
      <c r="L522">
        <v>0</v>
      </c>
    </row>
    <row r="523" spans="1:12" x14ac:dyDescent="0.25">
      <c r="A523" t="s">
        <v>981</v>
      </c>
      <c r="B523" t="s">
        <v>982</v>
      </c>
      <c r="C523" s="1">
        <v>45771</v>
      </c>
      <c r="D523" t="s">
        <v>36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62</v>
      </c>
      <c r="K523">
        <v>15</v>
      </c>
      <c r="L523">
        <v>0</v>
      </c>
    </row>
    <row r="524" spans="1:12" x14ac:dyDescent="0.25">
      <c r="A524" t="s">
        <v>983</v>
      </c>
      <c r="B524" t="s">
        <v>984</v>
      </c>
      <c r="C524" s="1">
        <v>45628</v>
      </c>
      <c r="D524" t="s">
        <v>36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62</v>
      </c>
      <c r="K524">
        <v>0</v>
      </c>
      <c r="L524">
        <v>0</v>
      </c>
    </row>
    <row r="525" spans="1:12" x14ac:dyDescent="0.25">
      <c r="A525" t="s">
        <v>985</v>
      </c>
      <c r="B525" t="s">
        <v>986</v>
      </c>
      <c r="C525" s="1">
        <v>45773</v>
      </c>
      <c r="D525" t="s">
        <v>14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18</v>
      </c>
      <c r="K525">
        <v>84</v>
      </c>
      <c r="L525">
        <v>1</v>
      </c>
    </row>
    <row r="526" spans="1:12" x14ac:dyDescent="0.25">
      <c r="A526" t="s">
        <v>987</v>
      </c>
      <c r="B526" t="s">
        <v>988</v>
      </c>
      <c r="C526" s="1">
        <v>45662</v>
      </c>
      <c r="D526" t="s">
        <v>41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62</v>
      </c>
      <c r="K526">
        <v>30</v>
      </c>
      <c r="L526">
        <v>0</v>
      </c>
    </row>
    <row r="527" spans="1:12" x14ac:dyDescent="0.25">
      <c r="A527" t="s">
        <v>989</v>
      </c>
      <c r="B527" t="s">
        <v>990</v>
      </c>
      <c r="C527" s="1">
        <v>45472</v>
      </c>
      <c r="D527" t="s">
        <v>41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18</v>
      </c>
      <c r="K527">
        <v>47</v>
      </c>
      <c r="L527">
        <v>1</v>
      </c>
    </row>
    <row r="528" spans="1:12" x14ac:dyDescent="0.25">
      <c r="A528" t="s">
        <v>991</v>
      </c>
      <c r="B528" t="s">
        <v>992</v>
      </c>
      <c r="C528" s="1">
        <v>45557</v>
      </c>
      <c r="D528" t="s">
        <v>36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15</v>
      </c>
      <c r="K528">
        <v>0</v>
      </c>
      <c r="L528">
        <v>0</v>
      </c>
    </row>
    <row r="529" spans="1:12" x14ac:dyDescent="0.25">
      <c r="A529" t="s">
        <v>993</v>
      </c>
      <c r="B529" t="s">
        <v>994</v>
      </c>
      <c r="C529" s="1">
        <v>45456</v>
      </c>
      <c r="D529" t="s">
        <v>24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15</v>
      </c>
      <c r="K529">
        <v>0</v>
      </c>
      <c r="L529">
        <v>0</v>
      </c>
    </row>
    <row r="530" spans="1:12" x14ac:dyDescent="0.25">
      <c r="A530" t="s">
        <v>995</v>
      </c>
      <c r="B530" t="s">
        <v>996</v>
      </c>
      <c r="C530" s="1">
        <v>45440</v>
      </c>
      <c r="D530" t="s">
        <v>41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62</v>
      </c>
      <c r="K530">
        <v>30</v>
      </c>
      <c r="L530">
        <v>0</v>
      </c>
    </row>
    <row r="531" spans="1:12" x14ac:dyDescent="0.25">
      <c r="A531" t="s">
        <v>997</v>
      </c>
      <c r="B531" t="s">
        <v>998</v>
      </c>
      <c r="C531" s="1">
        <v>45616</v>
      </c>
      <c r="D531" t="s">
        <v>30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18</v>
      </c>
      <c r="K531">
        <v>134</v>
      </c>
      <c r="L531">
        <v>1</v>
      </c>
    </row>
    <row r="532" spans="1:12" x14ac:dyDescent="0.25">
      <c r="A532" t="s">
        <v>999</v>
      </c>
      <c r="B532" t="s">
        <v>1000</v>
      </c>
      <c r="C532" s="1">
        <v>45391</v>
      </c>
      <c r="D532" t="s">
        <v>41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18</v>
      </c>
      <c r="K532">
        <v>78</v>
      </c>
      <c r="L532">
        <v>1</v>
      </c>
    </row>
    <row r="533" spans="1:12" x14ac:dyDescent="0.25">
      <c r="A533" t="s">
        <v>1001</v>
      </c>
      <c r="B533" t="s">
        <v>1002</v>
      </c>
      <c r="C533" s="1">
        <v>45487</v>
      </c>
      <c r="D533" t="s">
        <v>21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27</v>
      </c>
      <c r="K533">
        <v>0</v>
      </c>
      <c r="L533">
        <v>0</v>
      </c>
    </row>
    <row r="534" spans="1:12" x14ac:dyDescent="0.25">
      <c r="A534" t="s">
        <v>1003</v>
      </c>
      <c r="B534" t="s">
        <v>1004</v>
      </c>
      <c r="C534" s="1">
        <v>45758</v>
      </c>
      <c r="D534" t="s">
        <v>41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15</v>
      </c>
      <c r="K534">
        <v>0</v>
      </c>
      <c r="L534">
        <v>0</v>
      </c>
    </row>
    <row r="535" spans="1:12" x14ac:dyDescent="0.25">
      <c r="A535" t="s">
        <v>1005</v>
      </c>
      <c r="B535" t="s">
        <v>1004</v>
      </c>
      <c r="C535" s="1">
        <v>45761</v>
      </c>
      <c r="D535" t="s">
        <v>17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27</v>
      </c>
      <c r="K535">
        <v>0</v>
      </c>
      <c r="L535">
        <v>0</v>
      </c>
    </row>
    <row r="536" spans="1:12" x14ac:dyDescent="0.25">
      <c r="A536" t="s">
        <v>1006</v>
      </c>
      <c r="B536" t="s">
        <v>1007</v>
      </c>
      <c r="C536" s="1">
        <v>45393</v>
      </c>
      <c r="D536" t="s">
        <v>17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27</v>
      </c>
      <c r="K536">
        <v>0</v>
      </c>
      <c r="L536">
        <v>0</v>
      </c>
    </row>
    <row r="537" spans="1:12" x14ac:dyDescent="0.25">
      <c r="A537" t="s">
        <v>1008</v>
      </c>
      <c r="B537" t="s">
        <v>1009</v>
      </c>
      <c r="C537" s="1">
        <v>45394</v>
      </c>
      <c r="D537" t="s">
        <v>47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15</v>
      </c>
      <c r="K537">
        <v>0</v>
      </c>
      <c r="L537">
        <v>0</v>
      </c>
    </row>
    <row r="538" spans="1:12" x14ac:dyDescent="0.25">
      <c r="A538" t="s">
        <v>1010</v>
      </c>
      <c r="B538" t="s">
        <v>1011</v>
      </c>
      <c r="C538" s="1">
        <v>45492</v>
      </c>
      <c r="D538" t="s">
        <v>17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62</v>
      </c>
      <c r="K538">
        <v>30</v>
      </c>
      <c r="L538">
        <v>0</v>
      </c>
    </row>
    <row r="539" spans="1:12" x14ac:dyDescent="0.25">
      <c r="A539" t="s">
        <v>1012</v>
      </c>
      <c r="B539" t="s">
        <v>1013</v>
      </c>
      <c r="C539" s="1">
        <v>45675</v>
      </c>
      <c r="D539" t="s">
        <v>14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27</v>
      </c>
      <c r="K539">
        <v>0</v>
      </c>
      <c r="L539">
        <v>0</v>
      </c>
    </row>
    <row r="540" spans="1:12" x14ac:dyDescent="0.25">
      <c r="A540" t="s">
        <v>1014</v>
      </c>
      <c r="B540" t="s">
        <v>1015</v>
      </c>
      <c r="C540" s="1">
        <v>45296</v>
      </c>
      <c r="D540" t="s">
        <v>24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27</v>
      </c>
      <c r="K540">
        <v>0</v>
      </c>
      <c r="L540">
        <v>0</v>
      </c>
    </row>
    <row r="541" spans="1:12" x14ac:dyDescent="0.25">
      <c r="A541" t="s">
        <v>1016</v>
      </c>
      <c r="B541" t="s">
        <v>1017</v>
      </c>
      <c r="C541" s="1">
        <v>45466</v>
      </c>
      <c r="D541" t="s">
        <v>30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62</v>
      </c>
      <c r="K541">
        <v>30</v>
      </c>
      <c r="L541">
        <v>0</v>
      </c>
    </row>
    <row r="542" spans="1:12" x14ac:dyDescent="0.25">
      <c r="A542" t="s">
        <v>1018</v>
      </c>
      <c r="B542" t="s">
        <v>1019</v>
      </c>
      <c r="C542" s="1">
        <v>45731</v>
      </c>
      <c r="D542" t="s">
        <v>38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18</v>
      </c>
      <c r="K542">
        <v>129</v>
      </c>
      <c r="L542">
        <v>1</v>
      </c>
    </row>
    <row r="543" spans="1:12" x14ac:dyDescent="0.25">
      <c r="A543" t="s">
        <v>1020</v>
      </c>
      <c r="B543" t="s">
        <v>1019</v>
      </c>
      <c r="C543" s="1">
        <v>45393</v>
      </c>
      <c r="D543" t="s">
        <v>33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27</v>
      </c>
      <c r="K543">
        <v>0</v>
      </c>
      <c r="L543">
        <v>0</v>
      </c>
    </row>
    <row r="544" spans="1:12" x14ac:dyDescent="0.25">
      <c r="A544" t="s">
        <v>1021</v>
      </c>
      <c r="B544" t="s">
        <v>1022</v>
      </c>
      <c r="C544" s="1">
        <v>45454</v>
      </c>
      <c r="D544" t="s">
        <v>17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27</v>
      </c>
      <c r="K544">
        <v>0</v>
      </c>
      <c r="L544">
        <v>0</v>
      </c>
    </row>
    <row r="545" spans="1:12" x14ac:dyDescent="0.25">
      <c r="A545" t="s">
        <v>1023</v>
      </c>
      <c r="B545" t="s">
        <v>1024</v>
      </c>
      <c r="C545" s="1">
        <v>45372</v>
      </c>
      <c r="D545" t="s">
        <v>47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15</v>
      </c>
      <c r="K545">
        <v>0</v>
      </c>
      <c r="L545">
        <v>0</v>
      </c>
    </row>
    <row r="546" spans="1:12" x14ac:dyDescent="0.25">
      <c r="A546" t="s">
        <v>1025</v>
      </c>
      <c r="B546" t="s">
        <v>1026</v>
      </c>
      <c r="C546" s="1">
        <v>45543</v>
      </c>
      <c r="D546" t="s">
        <v>30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27</v>
      </c>
      <c r="K546">
        <v>0</v>
      </c>
      <c r="L546">
        <v>0</v>
      </c>
    </row>
    <row r="547" spans="1:12" x14ac:dyDescent="0.25">
      <c r="A547" t="s">
        <v>1027</v>
      </c>
      <c r="B547" t="s">
        <v>1026</v>
      </c>
      <c r="C547" s="1">
        <v>45397</v>
      </c>
      <c r="D547" t="s">
        <v>24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62</v>
      </c>
      <c r="K547">
        <v>15</v>
      </c>
      <c r="L547">
        <v>0</v>
      </c>
    </row>
    <row r="548" spans="1:12" x14ac:dyDescent="0.25">
      <c r="A548" t="s">
        <v>1028</v>
      </c>
      <c r="B548" t="s">
        <v>1029</v>
      </c>
      <c r="C548" s="1">
        <v>45504</v>
      </c>
      <c r="D548" t="s">
        <v>24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27</v>
      </c>
      <c r="K548">
        <v>0</v>
      </c>
      <c r="L548">
        <v>0</v>
      </c>
    </row>
    <row r="549" spans="1:12" x14ac:dyDescent="0.25">
      <c r="A549" t="s">
        <v>1030</v>
      </c>
      <c r="B549" t="s">
        <v>1031</v>
      </c>
      <c r="C549" s="1">
        <v>45753</v>
      </c>
      <c r="D549" t="s">
        <v>36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27</v>
      </c>
      <c r="K549">
        <v>0</v>
      </c>
      <c r="L549">
        <v>0</v>
      </c>
    </row>
    <row r="550" spans="1:12" x14ac:dyDescent="0.25">
      <c r="A550" t="s">
        <v>1032</v>
      </c>
      <c r="B550" t="s">
        <v>1033</v>
      </c>
      <c r="C550" s="1">
        <v>45647</v>
      </c>
      <c r="D550" t="s">
        <v>47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27</v>
      </c>
      <c r="K550">
        <v>0</v>
      </c>
      <c r="L550">
        <v>0</v>
      </c>
    </row>
    <row r="551" spans="1:12" x14ac:dyDescent="0.25">
      <c r="A551" t="s">
        <v>1034</v>
      </c>
      <c r="B551" t="s">
        <v>1035</v>
      </c>
      <c r="C551" s="1">
        <v>45822</v>
      </c>
      <c r="D551" t="s">
        <v>24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15</v>
      </c>
      <c r="K551">
        <v>0</v>
      </c>
      <c r="L551">
        <v>0</v>
      </c>
    </row>
    <row r="552" spans="1:12" x14ac:dyDescent="0.25">
      <c r="A552" t="s">
        <v>1036</v>
      </c>
      <c r="B552" t="s">
        <v>1037</v>
      </c>
      <c r="C552" s="1">
        <v>45421</v>
      </c>
      <c r="D552" t="s">
        <v>38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15</v>
      </c>
      <c r="K552">
        <v>0</v>
      </c>
      <c r="L552">
        <v>0</v>
      </c>
    </row>
    <row r="553" spans="1:12" x14ac:dyDescent="0.25">
      <c r="A553" t="s">
        <v>1038</v>
      </c>
      <c r="B553" t="s">
        <v>1039</v>
      </c>
      <c r="C553" s="1">
        <v>45701</v>
      </c>
      <c r="D553" t="s">
        <v>21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27</v>
      </c>
      <c r="K553">
        <v>0</v>
      </c>
      <c r="L553">
        <v>0</v>
      </c>
    </row>
    <row r="554" spans="1:12" x14ac:dyDescent="0.25">
      <c r="A554" t="s">
        <v>1040</v>
      </c>
      <c r="B554" t="s">
        <v>1041</v>
      </c>
      <c r="C554" s="1">
        <v>45502</v>
      </c>
      <c r="D554" t="s">
        <v>24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15</v>
      </c>
      <c r="K554">
        <v>0</v>
      </c>
      <c r="L554">
        <v>0</v>
      </c>
    </row>
    <row r="555" spans="1:12" x14ac:dyDescent="0.25">
      <c r="A555" t="s">
        <v>1042</v>
      </c>
      <c r="B555" t="s">
        <v>1041</v>
      </c>
      <c r="C555" s="1">
        <v>45684</v>
      </c>
      <c r="D555" t="s">
        <v>17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27</v>
      </c>
      <c r="K555">
        <v>0</v>
      </c>
      <c r="L555">
        <v>0</v>
      </c>
    </row>
    <row r="556" spans="1:12" x14ac:dyDescent="0.25">
      <c r="A556" t="s">
        <v>1043</v>
      </c>
      <c r="B556" t="s">
        <v>1044</v>
      </c>
      <c r="C556" s="1">
        <v>45711</v>
      </c>
      <c r="D556" t="s">
        <v>36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62</v>
      </c>
      <c r="K556">
        <v>0</v>
      </c>
      <c r="L556">
        <v>0</v>
      </c>
    </row>
    <row r="557" spans="1:12" x14ac:dyDescent="0.25">
      <c r="A557" t="s">
        <v>1045</v>
      </c>
      <c r="B557" t="s">
        <v>1046</v>
      </c>
      <c r="C557" s="1">
        <v>45482</v>
      </c>
      <c r="D557" t="s">
        <v>30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62</v>
      </c>
      <c r="K557">
        <v>0</v>
      </c>
      <c r="L557">
        <v>0</v>
      </c>
    </row>
    <row r="558" spans="1:12" x14ac:dyDescent="0.25">
      <c r="A558" t="s">
        <v>1047</v>
      </c>
      <c r="B558" t="s">
        <v>1046</v>
      </c>
      <c r="C558" s="1">
        <v>45303</v>
      </c>
      <c r="D558" t="s">
        <v>30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27</v>
      </c>
      <c r="K558">
        <v>0</v>
      </c>
      <c r="L558">
        <v>0</v>
      </c>
    </row>
    <row r="559" spans="1:12" x14ac:dyDescent="0.25">
      <c r="A559" t="s">
        <v>1048</v>
      </c>
      <c r="B559" t="s">
        <v>1049</v>
      </c>
      <c r="C559" s="1">
        <v>45514</v>
      </c>
      <c r="D559" t="s">
        <v>38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18</v>
      </c>
      <c r="K559">
        <v>101</v>
      </c>
      <c r="L559">
        <v>1</v>
      </c>
    </row>
    <row r="560" spans="1:12" x14ac:dyDescent="0.25">
      <c r="A560" t="s">
        <v>1050</v>
      </c>
      <c r="B560" t="s">
        <v>1051</v>
      </c>
      <c r="C560" s="1">
        <v>45619</v>
      </c>
      <c r="D560" t="s">
        <v>36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18</v>
      </c>
      <c r="K560">
        <v>42</v>
      </c>
      <c r="L560">
        <v>1</v>
      </c>
    </row>
    <row r="561" spans="1:12" x14ac:dyDescent="0.25">
      <c r="A561" t="s">
        <v>1052</v>
      </c>
      <c r="B561" t="s">
        <v>1053</v>
      </c>
      <c r="C561" s="1">
        <v>45467</v>
      </c>
      <c r="D561" t="s">
        <v>14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27</v>
      </c>
      <c r="K561">
        <v>0</v>
      </c>
      <c r="L561">
        <v>0</v>
      </c>
    </row>
    <row r="562" spans="1:12" x14ac:dyDescent="0.25">
      <c r="A562" t="s">
        <v>1054</v>
      </c>
      <c r="B562" t="s">
        <v>1053</v>
      </c>
      <c r="C562" s="1">
        <v>45764</v>
      </c>
      <c r="D562" t="s">
        <v>41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27</v>
      </c>
      <c r="K562">
        <v>0</v>
      </c>
      <c r="L562">
        <v>0</v>
      </c>
    </row>
    <row r="563" spans="1:12" x14ac:dyDescent="0.25">
      <c r="A563" t="s">
        <v>1055</v>
      </c>
      <c r="B563" t="s">
        <v>1056</v>
      </c>
      <c r="C563" s="1">
        <v>45717</v>
      </c>
      <c r="D563" t="s">
        <v>21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15</v>
      </c>
      <c r="K563">
        <v>0</v>
      </c>
      <c r="L563">
        <v>0</v>
      </c>
    </row>
    <row r="564" spans="1:12" x14ac:dyDescent="0.25">
      <c r="A564" t="s">
        <v>1057</v>
      </c>
      <c r="B564" t="s">
        <v>1056</v>
      </c>
      <c r="C564" s="1">
        <v>45694</v>
      </c>
      <c r="D564" t="s">
        <v>17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18</v>
      </c>
      <c r="K564">
        <v>146</v>
      </c>
      <c r="L564">
        <v>1</v>
      </c>
    </row>
    <row r="565" spans="1:12" x14ac:dyDescent="0.25">
      <c r="A565" t="s">
        <v>1058</v>
      </c>
      <c r="B565" t="s">
        <v>1059</v>
      </c>
      <c r="C565" s="1">
        <v>45340</v>
      </c>
      <c r="D565" t="s">
        <v>36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15</v>
      </c>
      <c r="K565">
        <v>0</v>
      </c>
      <c r="L565">
        <v>0</v>
      </c>
    </row>
    <row r="566" spans="1:12" x14ac:dyDescent="0.25">
      <c r="A566" t="s">
        <v>1060</v>
      </c>
      <c r="B566" t="s">
        <v>1061</v>
      </c>
      <c r="C566" s="1">
        <v>45297</v>
      </c>
      <c r="D566" t="s">
        <v>17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62</v>
      </c>
      <c r="K566">
        <v>15</v>
      </c>
      <c r="L566">
        <v>0</v>
      </c>
    </row>
    <row r="567" spans="1:12" x14ac:dyDescent="0.25">
      <c r="A567" t="s">
        <v>1062</v>
      </c>
      <c r="B567" t="s">
        <v>1061</v>
      </c>
      <c r="C567" s="1">
        <v>45680</v>
      </c>
      <c r="D567" t="s">
        <v>41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18</v>
      </c>
      <c r="K567">
        <v>73</v>
      </c>
      <c r="L567">
        <v>1</v>
      </c>
    </row>
    <row r="568" spans="1:12" x14ac:dyDescent="0.25">
      <c r="A568" t="s">
        <v>1063</v>
      </c>
      <c r="B568" t="s">
        <v>1064</v>
      </c>
      <c r="C568" s="1">
        <v>45715</v>
      </c>
      <c r="D568" t="s">
        <v>47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27</v>
      </c>
      <c r="K568">
        <v>0</v>
      </c>
      <c r="L568">
        <v>0</v>
      </c>
    </row>
    <row r="569" spans="1:12" x14ac:dyDescent="0.25">
      <c r="A569" t="s">
        <v>1065</v>
      </c>
      <c r="B569" t="s">
        <v>1064</v>
      </c>
      <c r="C569" s="1">
        <v>45786</v>
      </c>
      <c r="D569" t="s">
        <v>38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27</v>
      </c>
      <c r="K569">
        <v>0</v>
      </c>
      <c r="L569">
        <v>0</v>
      </c>
    </row>
    <row r="570" spans="1:12" x14ac:dyDescent="0.25">
      <c r="A570" t="s">
        <v>1066</v>
      </c>
      <c r="B570" t="s">
        <v>1067</v>
      </c>
      <c r="C570" s="1">
        <v>45368</v>
      </c>
      <c r="D570" t="s">
        <v>21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27</v>
      </c>
      <c r="K570">
        <v>0</v>
      </c>
      <c r="L570">
        <v>0</v>
      </c>
    </row>
    <row r="571" spans="1:12" x14ac:dyDescent="0.25">
      <c r="A571" t="s">
        <v>1068</v>
      </c>
      <c r="B571" t="s">
        <v>1069</v>
      </c>
      <c r="C571" s="1">
        <v>45832</v>
      </c>
      <c r="D571" t="s">
        <v>17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15</v>
      </c>
      <c r="K571">
        <v>0</v>
      </c>
      <c r="L571">
        <v>0</v>
      </c>
    </row>
    <row r="572" spans="1:12" x14ac:dyDescent="0.25">
      <c r="A572" t="s">
        <v>1070</v>
      </c>
      <c r="B572" t="s">
        <v>1071</v>
      </c>
      <c r="C572" s="1">
        <v>45664</v>
      </c>
      <c r="D572" t="s">
        <v>33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62</v>
      </c>
      <c r="K572">
        <v>0</v>
      </c>
      <c r="L572">
        <v>0</v>
      </c>
    </row>
    <row r="573" spans="1:12" x14ac:dyDescent="0.25">
      <c r="A573" t="s">
        <v>1072</v>
      </c>
      <c r="B573" t="s">
        <v>1073</v>
      </c>
      <c r="C573" s="1">
        <v>45396</v>
      </c>
      <c r="D573" t="s">
        <v>17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62</v>
      </c>
      <c r="K573">
        <v>15</v>
      </c>
      <c r="L573">
        <v>0</v>
      </c>
    </row>
    <row r="574" spans="1:12" x14ac:dyDescent="0.25">
      <c r="A574" t="s">
        <v>1074</v>
      </c>
      <c r="B574" t="s">
        <v>1075</v>
      </c>
      <c r="C574" s="1">
        <v>45563</v>
      </c>
      <c r="D574" t="s">
        <v>14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27</v>
      </c>
      <c r="K574">
        <v>0</v>
      </c>
      <c r="L574">
        <v>0</v>
      </c>
    </row>
    <row r="575" spans="1:12" x14ac:dyDescent="0.25">
      <c r="A575" t="s">
        <v>1076</v>
      </c>
      <c r="B575" t="s">
        <v>1077</v>
      </c>
      <c r="C575" s="1">
        <v>45670</v>
      </c>
      <c r="D575" t="s">
        <v>17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15</v>
      </c>
      <c r="K575">
        <v>0</v>
      </c>
      <c r="L575">
        <v>0</v>
      </c>
    </row>
    <row r="576" spans="1:12" x14ac:dyDescent="0.25">
      <c r="A576" t="s">
        <v>1078</v>
      </c>
      <c r="B576" t="s">
        <v>1079</v>
      </c>
      <c r="C576" s="1">
        <v>45797</v>
      </c>
      <c r="D576" t="s">
        <v>24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27</v>
      </c>
      <c r="K576">
        <v>0</v>
      </c>
      <c r="L576">
        <v>0</v>
      </c>
    </row>
    <row r="577" spans="1:12" x14ac:dyDescent="0.25">
      <c r="A577" t="s">
        <v>1080</v>
      </c>
      <c r="B577" t="s">
        <v>1081</v>
      </c>
      <c r="C577" s="1">
        <v>45536</v>
      </c>
      <c r="D577" t="s">
        <v>36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18</v>
      </c>
      <c r="K577">
        <v>55</v>
      </c>
      <c r="L577">
        <v>1</v>
      </c>
    </row>
    <row r="578" spans="1:12" x14ac:dyDescent="0.25">
      <c r="A578" t="s">
        <v>1082</v>
      </c>
      <c r="B578" t="s">
        <v>1083</v>
      </c>
      <c r="C578" s="1">
        <v>45566</v>
      </c>
      <c r="D578" t="s">
        <v>47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27</v>
      </c>
      <c r="K578">
        <v>0</v>
      </c>
      <c r="L578">
        <v>0</v>
      </c>
    </row>
    <row r="579" spans="1:12" x14ac:dyDescent="0.25">
      <c r="A579" t="s">
        <v>1084</v>
      </c>
      <c r="B579" t="s">
        <v>1085</v>
      </c>
      <c r="C579" s="1">
        <v>45780</v>
      </c>
      <c r="D579" t="s">
        <v>47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62</v>
      </c>
      <c r="K579">
        <v>15</v>
      </c>
      <c r="L579">
        <v>0</v>
      </c>
    </row>
    <row r="580" spans="1:12" x14ac:dyDescent="0.25">
      <c r="A580" t="s">
        <v>1086</v>
      </c>
      <c r="B580" t="s">
        <v>1087</v>
      </c>
      <c r="C580" s="1">
        <v>45305</v>
      </c>
      <c r="D580" t="s">
        <v>36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27</v>
      </c>
      <c r="K580">
        <v>0</v>
      </c>
      <c r="L580">
        <v>0</v>
      </c>
    </row>
    <row r="581" spans="1:12" x14ac:dyDescent="0.25">
      <c r="A581" t="s">
        <v>1088</v>
      </c>
      <c r="B581" t="s">
        <v>1089</v>
      </c>
      <c r="C581" s="1">
        <v>45777</v>
      </c>
      <c r="D581" t="s">
        <v>36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27</v>
      </c>
      <c r="K581">
        <v>0</v>
      </c>
      <c r="L581">
        <v>0</v>
      </c>
    </row>
    <row r="582" spans="1:12" x14ac:dyDescent="0.25">
      <c r="A582" t="s">
        <v>1090</v>
      </c>
      <c r="B582" t="s">
        <v>1089</v>
      </c>
      <c r="C582" s="1">
        <v>45829</v>
      </c>
      <c r="D582" t="s">
        <v>36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15</v>
      </c>
      <c r="K582">
        <v>0</v>
      </c>
      <c r="L582">
        <v>0</v>
      </c>
    </row>
    <row r="583" spans="1:12" x14ac:dyDescent="0.25">
      <c r="A583" t="s">
        <v>1091</v>
      </c>
      <c r="B583" t="s">
        <v>1092</v>
      </c>
      <c r="C583" s="1">
        <v>45790</v>
      </c>
      <c r="D583" t="s">
        <v>30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15</v>
      </c>
      <c r="K583">
        <v>0</v>
      </c>
      <c r="L583">
        <v>0</v>
      </c>
    </row>
    <row r="584" spans="1:12" x14ac:dyDescent="0.25">
      <c r="A584" t="s">
        <v>1093</v>
      </c>
      <c r="B584" t="s">
        <v>1094</v>
      </c>
      <c r="C584" s="1">
        <v>45568</v>
      </c>
      <c r="D584" t="s">
        <v>30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27</v>
      </c>
      <c r="K584">
        <v>0</v>
      </c>
      <c r="L584">
        <v>0</v>
      </c>
    </row>
    <row r="585" spans="1:12" x14ac:dyDescent="0.25">
      <c r="A585" t="s">
        <v>1095</v>
      </c>
      <c r="B585" t="s">
        <v>1096</v>
      </c>
      <c r="C585" s="1">
        <v>45733</v>
      </c>
      <c r="D585" t="s">
        <v>38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27</v>
      </c>
      <c r="K585">
        <v>0</v>
      </c>
      <c r="L585">
        <v>0</v>
      </c>
    </row>
    <row r="586" spans="1:12" x14ac:dyDescent="0.25">
      <c r="A586" t="s">
        <v>1097</v>
      </c>
      <c r="B586" t="s">
        <v>1096</v>
      </c>
      <c r="C586" s="1">
        <v>45752</v>
      </c>
      <c r="D586" t="s">
        <v>17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62</v>
      </c>
      <c r="K586">
        <v>15</v>
      </c>
      <c r="L586">
        <v>0</v>
      </c>
    </row>
    <row r="587" spans="1:12" x14ac:dyDescent="0.25">
      <c r="A587" t="s">
        <v>1098</v>
      </c>
      <c r="B587" t="s">
        <v>1099</v>
      </c>
      <c r="C587" s="1">
        <v>45574</v>
      </c>
      <c r="D587" t="s">
        <v>30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27</v>
      </c>
      <c r="K587">
        <v>0</v>
      </c>
      <c r="L587">
        <v>0</v>
      </c>
    </row>
    <row r="588" spans="1:12" x14ac:dyDescent="0.25">
      <c r="A588" t="s">
        <v>1100</v>
      </c>
      <c r="B588" t="s">
        <v>1099</v>
      </c>
      <c r="C588" s="1">
        <v>45647</v>
      </c>
      <c r="D588" t="s">
        <v>30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62</v>
      </c>
      <c r="K588">
        <v>30</v>
      </c>
      <c r="L588">
        <v>0</v>
      </c>
    </row>
    <row r="589" spans="1:12" x14ac:dyDescent="0.25">
      <c r="A589" t="s">
        <v>1101</v>
      </c>
      <c r="B589" t="s">
        <v>1102</v>
      </c>
      <c r="C589" s="1">
        <v>45458</v>
      </c>
      <c r="D589" t="s">
        <v>14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15</v>
      </c>
      <c r="K589">
        <v>0</v>
      </c>
      <c r="L589">
        <v>0</v>
      </c>
    </row>
    <row r="590" spans="1:12" x14ac:dyDescent="0.25">
      <c r="A590" t="s">
        <v>1103</v>
      </c>
      <c r="B590" t="s">
        <v>1104</v>
      </c>
      <c r="C590" s="1">
        <v>45605</v>
      </c>
      <c r="D590" t="s">
        <v>41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18</v>
      </c>
      <c r="K590">
        <v>120</v>
      </c>
      <c r="L590">
        <v>1</v>
      </c>
    </row>
    <row r="591" spans="1:12" x14ac:dyDescent="0.25">
      <c r="A591" t="s">
        <v>1105</v>
      </c>
      <c r="B591" t="s">
        <v>1106</v>
      </c>
      <c r="C591" s="1">
        <v>45806</v>
      </c>
      <c r="D591" t="s">
        <v>41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27</v>
      </c>
      <c r="K591">
        <v>0</v>
      </c>
      <c r="L591">
        <v>0</v>
      </c>
    </row>
    <row r="592" spans="1:12" x14ac:dyDescent="0.25">
      <c r="A592" t="s">
        <v>1107</v>
      </c>
      <c r="B592" t="s">
        <v>1108</v>
      </c>
      <c r="C592" s="1">
        <v>45374</v>
      </c>
      <c r="D592" t="s">
        <v>24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18</v>
      </c>
      <c r="K592">
        <v>38</v>
      </c>
      <c r="L592">
        <v>1</v>
      </c>
    </row>
    <row r="593" spans="1:12" x14ac:dyDescent="0.25">
      <c r="A593" t="s">
        <v>1109</v>
      </c>
      <c r="B593" t="s">
        <v>1110</v>
      </c>
      <c r="C593" s="1">
        <v>45392</v>
      </c>
      <c r="D593" t="s">
        <v>30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62</v>
      </c>
      <c r="K593">
        <v>15</v>
      </c>
      <c r="L593">
        <v>0</v>
      </c>
    </row>
    <row r="594" spans="1:12" x14ac:dyDescent="0.25">
      <c r="A594" t="s">
        <v>1111</v>
      </c>
      <c r="B594" t="s">
        <v>1112</v>
      </c>
      <c r="C594" s="1">
        <v>45496</v>
      </c>
      <c r="D594" t="s">
        <v>17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27</v>
      </c>
      <c r="K594">
        <v>0</v>
      </c>
      <c r="L594">
        <v>0</v>
      </c>
    </row>
    <row r="595" spans="1:12" x14ac:dyDescent="0.25">
      <c r="A595" t="s">
        <v>1113</v>
      </c>
      <c r="B595" t="s">
        <v>1114</v>
      </c>
      <c r="C595" s="1">
        <v>45739</v>
      </c>
      <c r="D595" t="s">
        <v>24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18</v>
      </c>
      <c r="K595">
        <v>164</v>
      </c>
      <c r="L595">
        <v>1</v>
      </c>
    </row>
    <row r="596" spans="1:12" x14ac:dyDescent="0.25">
      <c r="A596" t="s">
        <v>1115</v>
      </c>
      <c r="B596" t="s">
        <v>1116</v>
      </c>
      <c r="C596" s="1">
        <v>45729</v>
      </c>
      <c r="D596" t="s">
        <v>30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62</v>
      </c>
      <c r="K596">
        <v>30</v>
      </c>
      <c r="L596">
        <v>0</v>
      </c>
    </row>
    <row r="597" spans="1:12" x14ac:dyDescent="0.25">
      <c r="A597" t="s">
        <v>1117</v>
      </c>
      <c r="B597" t="s">
        <v>1118</v>
      </c>
      <c r="C597" s="1">
        <v>45601</v>
      </c>
      <c r="D597" t="s">
        <v>41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27</v>
      </c>
      <c r="K597">
        <v>0</v>
      </c>
      <c r="L597">
        <v>0</v>
      </c>
    </row>
    <row r="598" spans="1:12" x14ac:dyDescent="0.25">
      <c r="A598" t="s">
        <v>1119</v>
      </c>
      <c r="B598" t="s">
        <v>1118</v>
      </c>
      <c r="C598" s="1">
        <v>45694</v>
      </c>
      <c r="D598" t="s">
        <v>47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18</v>
      </c>
      <c r="K598">
        <v>31</v>
      </c>
      <c r="L598">
        <v>1</v>
      </c>
    </row>
    <row r="599" spans="1:12" x14ac:dyDescent="0.25">
      <c r="A599" t="s">
        <v>1120</v>
      </c>
      <c r="B599" t="s">
        <v>1121</v>
      </c>
      <c r="C599" s="1">
        <v>45401</v>
      </c>
      <c r="D599" t="s">
        <v>21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27</v>
      </c>
      <c r="K599">
        <v>0</v>
      </c>
      <c r="L599">
        <v>0</v>
      </c>
    </row>
    <row r="600" spans="1:12" x14ac:dyDescent="0.25">
      <c r="A600" t="s">
        <v>1122</v>
      </c>
      <c r="B600" t="s">
        <v>1123</v>
      </c>
      <c r="C600" s="1">
        <v>45346</v>
      </c>
      <c r="D600" t="s">
        <v>30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27</v>
      </c>
      <c r="K600">
        <v>0</v>
      </c>
      <c r="L600">
        <v>0</v>
      </c>
    </row>
    <row r="601" spans="1:12" x14ac:dyDescent="0.25">
      <c r="A601" t="s">
        <v>1124</v>
      </c>
      <c r="B601" t="s">
        <v>1125</v>
      </c>
      <c r="C601" s="1">
        <v>45610</v>
      </c>
      <c r="D601" t="s">
        <v>33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62</v>
      </c>
      <c r="K601">
        <v>15</v>
      </c>
      <c r="L601">
        <v>0</v>
      </c>
    </row>
    <row r="602" spans="1:12" x14ac:dyDescent="0.25">
      <c r="A602" t="s">
        <v>1126</v>
      </c>
      <c r="B602" t="s">
        <v>1125</v>
      </c>
      <c r="C602" s="1">
        <v>45415</v>
      </c>
      <c r="D602" t="s">
        <v>47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27</v>
      </c>
      <c r="K602">
        <v>0</v>
      </c>
      <c r="L60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D5FA-AB1B-488C-9C3C-C652A0D30BAA}">
  <dimension ref="A1:Z602"/>
  <sheetViews>
    <sheetView topLeftCell="I1" zoomScale="70" zoomScaleNormal="70" workbookViewId="0">
      <selection activeCell="N1" sqref="N1:N1048576"/>
    </sheetView>
  </sheetViews>
  <sheetFormatPr defaultRowHeight="15" x14ac:dyDescent="0.25"/>
  <cols>
    <col min="2" max="2" width="11.5703125" bestFit="1" customWidth="1"/>
    <col min="3" max="3" width="16" bestFit="1" customWidth="1"/>
    <col min="4" max="4" width="18.42578125" bestFit="1" customWidth="1"/>
    <col min="5" max="5" width="12.7109375" bestFit="1" customWidth="1"/>
    <col min="6" max="6" width="12.5703125" bestFit="1" customWidth="1"/>
    <col min="7" max="7" width="11.85546875" bestFit="1" customWidth="1"/>
    <col min="8" max="8" width="16.7109375" bestFit="1" customWidth="1"/>
    <col min="10" max="10" width="11.28515625" bestFit="1" customWidth="1"/>
    <col min="11" max="11" width="15.5703125" bestFit="1" customWidth="1"/>
    <col min="13" max="13" width="18.42578125" bestFit="1" customWidth="1"/>
    <col min="14" max="14" width="15.85546875" customWidth="1"/>
    <col min="15" max="15" width="25.5703125" bestFit="1" customWidth="1"/>
    <col min="17" max="17" width="19.85546875" bestFit="1" customWidth="1"/>
    <col min="18" max="18" width="16.85546875" bestFit="1" customWidth="1"/>
    <col min="19" max="19" width="7.85546875" bestFit="1" customWidth="1"/>
    <col min="20" max="20" width="9.42578125" bestFit="1" customWidth="1"/>
    <col min="21" max="21" width="14.42578125" bestFit="1" customWidth="1"/>
    <col min="22" max="22" width="9.7109375" bestFit="1" customWidth="1"/>
    <col min="23" max="23" width="11.28515625" bestFit="1" customWidth="1"/>
    <col min="25" max="25" width="17.85546875" bestFit="1" customWidth="1"/>
    <col min="26" max="26" width="19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1129</v>
      </c>
      <c r="N1" t="s">
        <v>1130</v>
      </c>
      <c r="O1" t="s">
        <v>1155</v>
      </c>
      <c r="R1" s="2" t="s">
        <v>1138</v>
      </c>
    </row>
    <row r="2" spans="1:26" x14ac:dyDescent="0.25">
      <c r="A2" t="s">
        <v>12</v>
      </c>
      <c r="B2" t="s">
        <v>13</v>
      </c>
      <c r="C2" s="1">
        <v>45299</v>
      </c>
      <c r="D2" t="s">
        <v>14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15</v>
      </c>
      <c r="K2">
        <v>0</v>
      </c>
      <c r="L2">
        <v>0</v>
      </c>
      <c r="M2" t="str" cm="1">
        <f t="array" ref="M2:M602">_xlfn.XLOOKUP(B2:B602,[1]borrower_profiles!$A$2:$A$501,[1]borrower_profiles!$E$2:$E$501)</f>
        <v>Self-Employed</v>
      </c>
      <c r="N2" cm="1">
        <f t="array" ref="N2:N602">_xlfn.XLOOKUP(B2:B602,[1]borrower_profiles!$A$2:$A$501,[1]borrower_profiles!$F$2:$F$501)</f>
        <v>6</v>
      </c>
      <c r="O2" t="str">
        <f>IF(N2&lt;2,"Employed &lt;2 Years","Employed &gt;2 Years")</f>
        <v>Employed &gt;2 Years</v>
      </c>
      <c r="R2" t="s">
        <v>1150</v>
      </c>
      <c r="S2" t="s">
        <v>1153</v>
      </c>
      <c r="T2" t="s">
        <v>1151</v>
      </c>
      <c r="U2" t="s">
        <v>1154</v>
      </c>
      <c r="V2" t="s">
        <v>1152</v>
      </c>
      <c r="W2" t="s">
        <v>1136</v>
      </c>
      <c r="Y2" s="2" t="s">
        <v>1156</v>
      </c>
      <c r="Z2" t="s">
        <v>1137</v>
      </c>
    </row>
    <row r="3" spans="1:26" x14ac:dyDescent="0.25">
      <c r="A3" t="s">
        <v>16</v>
      </c>
      <c r="B3" t="s">
        <v>13</v>
      </c>
      <c r="C3" s="1">
        <v>45517</v>
      </c>
      <c r="D3" t="s">
        <v>17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18</v>
      </c>
      <c r="K3">
        <v>138</v>
      </c>
      <c r="L3">
        <v>1</v>
      </c>
      <c r="M3" t="str">
        <v>Self-Employed</v>
      </c>
      <c r="N3">
        <v>6</v>
      </c>
      <c r="O3" t="str">
        <f t="shared" ref="O3:O66" si="0">IF(N3&lt;2,"Employed &lt;2 Years","Employed &gt;2 Years")</f>
        <v>Employed &gt;2 Years</v>
      </c>
      <c r="Q3" t="s">
        <v>1137</v>
      </c>
      <c r="R3" s="4">
        <v>0.22727272727272727</v>
      </c>
      <c r="S3" s="4">
        <v>0.23333333333333334</v>
      </c>
      <c r="T3" s="4">
        <v>0.23934426229508196</v>
      </c>
      <c r="U3" s="4">
        <v>0.24761904761904763</v>
      </c>
      <c r="V3" s="4">
        <v>0.27692307692307694</v>
      </c>
      <c r="W3" s="4">
        <v>0.24292845257903495</v>
      </c>
      <c r="Y3" s="3" t="s">
        <v>1158</v>
      </c>
      <c r="Z3" s="6">
        <v>0.34523809523809523</v>
      </c>
    </row>
    <row r="4" spans="1:26" x14ac:dyDescent="0.25">
      <c r="A4" t="s">
        <v>19</v>
      </c>
      <c r="B4" t="s">
        <v>20</v>
      </c>
      <c r="C4" s="1">
        <v>45836</v>
      </c>
      <c r="D4" t="s">
        <v>21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15</v>
      </c>
      <c r="K4">
        <v>0</v>
      </c>
      <c r="L4">
        <v>0</v>
      </c>
      <c r="M4" t="str">
        <v>Full-Time</v>
      </c>
      <c r="N4">
        <v>4</v>
      </c>
      <c r="O4" t="str">
        <f t="shared" si="0"/>
        <v>Employed &gt;2 Years</v>
      </c>
      <c r="Y4" s="3" t="s">
        <v>1157</v>
      </c>
      <c r="Z4" s="6">
        <v>0.22630560928433269</v>
      </c>
    </row>
    <row r="5" spans="1:26" x14ac:dyDescent="0.25">
      <c r="A5" t="s">
        <v>22</v>
      </c>
      <c r="B5" t="s">
        <v>23</v>
      </c>
      <c r="C5" s="1">
        <v>45795</v>
      </c>
      <c r="D5" t="s">
        <v>24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18</v>
      </c>
      <c r="K5">
        <v>34</v>
      </c>
      <c r="L5">
        <v>1</v>
      </c>
      <c r="M5" t="str">
        <v>Contract</v>
      </c>
      <c r="N5">
        <v>22</v>
      </c>
      <c r="O5" t="str">
        <f t="shared" si="0"/>
        <v>Employed &gt;2 Years</v>
      </c>
      <c r="Y5" s="3" t="s">
        <v>1136</v>
      </c>
      <c r="Z5" s="6">
        <v>0.24292845257903495</v>
      </c>
    </row>
    <row r="6" spans="1:26" x14ac:dyDescent="0.25">
      <c r="A6" t="s">
        <v>25</v>
      </c>
      <c r="B6" t="s">
        <v>26</v>
      </c>
      <c r="C6" s="1">
        <v>45740</v>
      </c>
      <c r="D6" t="s">
        <v>21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27</v>
      </c>
      <c r="K6">
        <v>0</v>
      </c>
      <c r="L6">
        <v>0</v>
      </c>
      <c r="M6" t="str">
        <v>Full-Time</v>
      </c>
      <c r="N6">
        <v>19</v>
      </c>
      <c r="O6" t="str">
        <f t="shared" si="0"/>
        <v>Employed &gt;2 Years</v>
      </c>
    </row>
    <row r="7" spans="1:26" x14ac:dyDescent="0.25">
      <c r="A7" t="s">
        <v>28</v>
      </c>
      <c r="B7" t="s">
        <v>29</v>
      </c>
      <c r="C7" s="1">
        <v>45766</v>
      </c>
      <c r="D7" t="s">
        <v>30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27</v>
      </c>
      <c r="K7">
        <v>0</v>
      </c>
      <c r="L7">
        <v>0</v>
      </c>
      <c r="M7" t="str">
        <v>Full-Time</v>
      </c>
      <c r="N7">
        <v>18</v>
      </c>
      <c r="O7" t="str">
        <f t="shared" si="0"/>
        <v>Employed &gt;2 Years</v>
      </c>
    </row>
    <row r="8" spans="1:26" x14ac:dyDescent="0.25">
      <c r="A8" t="s">
        <v>31</v>
      </c>
      <c r="B8" t="s">
        <v>32</v>
      </c>
      <c r="C8" s="1">
        <v>45477</v>
      </c>
      <c r="D8" t="s">
        <v>33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15</v>
      </c>
      <c r="K8">
        <v>0</v>
      </c>
      <c r="L8">
        <v>0</v>
      </c>
      <c r="M8" t="str">
        <v>Contract</v>
      </c>
      <c r="N8">
        <v>8</v>
      </c>
      <c r="O8" t="str">
        <f t="shared" si="0"/>
        <v>Employed &gt;2 Years</v>
      </c>
    </row>
    <row r="9" spans="1:26" x14ac:dyDescent="0.25">
      <c r="A9" t="s">
        <v>34</v>
      </c>
      <c r="B9" t="s">
        <v>35</v>
      </c>
      <c r="C9" s="1">
        <v>45745</v>
      </c>
      <c r="D9" t="s">
        <v>36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18</v>
      </c>
      <c r="K9">
        <v>38</v>
      </c>
      <c r="L9">
        <v>1</v>
      </c>
      <c r="M9" t="str">
        <v>Self-Employed</v>
      </c>
      <c r="N9">
        <v>5</v>
      </c>
      <c r="O9" t="str">
        <f t="shared" si="0"/>
        <v>Employed &gt;2 Years</v>
      </c>
    </row>
    <row r="10" spans="1:26" x14ac:dyDescent="0.25">
      <c r="A10" t="s">
        <v>37</v>
      </c>
      <c r="B10" t="s">
        <v>35</v>
      </c>
      <c r="C10" s="1">
        <v>45505</v>
      </c>
      <c r="D10" t="s">
        <v>38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27</v>
      </c>
      <c r="K10">
        <v>0</v>
      </c>
      <c r="L10">
        <v>0</v>
      </c>
      <c r="M10" t="str">
        <v>Self-Employed</v>
      </c>
      <c r="N10">
        <v>5</v>
      </c>
      <c r="O10" t="str">
        <f t="shared" si="0"/>
        <v>Employed &gt;2 Years</v>
      </c>
    </row>
    <row r="11" spans="1:26" x14ac:dyDescent="0.25">
      <c r="A11" t="s">
        <v>39</v>
      </c>
      <c r="B11" t="s">
        <v>40</v>
      </c>
      <c r="C11" s="1">
        <v>45597</v>
      </c>
      <c r="D11" t="s">
        <v>41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18</v>
      </c>
      <c r="K11">
        <v>43</v>
      </c>
      <c r="L11">
        <v>1</v>
      </c>
      <c r="M11" t="str">
        <v>Full-Time</v>
      </c>
      <c r="N11">
        <v>14</v>
      </c>
      <c r="O11" t="str">
        <f t="shared" si="0"/>
        <v>Employed &gt;2 Years</v>
      </c>
    </row>
    <row r="12" spans="1:26" x14ac:dyDescent="0.25">
      <c r="A12" t="s">
        <v>42</v>
      </c>
      <c r="B12" t="s">
        <v>43</v>
      </c>
      <c r="C12" s="1">
        <v>45463</v>
      </c>
      <c r="D12" t="s">
        <v>38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27</v>
      </c>
      <c r="K12">
        <v>0</v>
      </c>
      <c r="L12">
        <v>0</v>
      </c>
      <c r="M12" t="str">
        <v>Part-Time</v>
      </c>
      <c r="N12">
        <v>15</v>
      </c>
      <c r="O12" t="str">
        <f t="shared" si="0"/>
        <v>Employed &gt;2 Years</v>
      </c>
    </row>
    <row r="13" spans="1:26" x14ac:dyDescent="0.25">
      <c r="A13" t="s">
        <v>44</v>
      </c>
      <c r="B13" t="s">
        <v>43</v>
      </c>
      <c r="C13" s="1">
        <v>45450</v>
      </c>
      <c r="D13" t="s">
        <v>38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27</v>
      </c>
      <c r="K13">
        <v>0</v>
      </c>
      <c r="L13">
        <v>0</v>
      </c>
      <c r="M13" t="str">
        <v>Part-Time</v>
      </c>
      <c r="N13">
        <v>15</v>
      </c>
      <c r="O13" t="str">
        <f t="shared" si="0"/>
        <v>Employed &gt;2 Years</v>
      </c>
    </row>
    <row r="14" spans="1:26" x14ac:dyDescent="0.25">
      <c r="A14" t="s">
        <v>45</v>
      </c>
      <c r="B14" t="s">
        <v>46</v>
      </c>
      <c r="C14" s="1">
        <v>45449</v>
      </c>
      <c r="D14" t="s">
        <v>47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27</v>
      </c>
      <c r="K14">
        <v>0</v>
      </c>
      <c r="L14">
        <v>0</v>
      </c>
      <c r="M14" t="str">
        <v>Part-Time</v>
      </c>
      <c r="N14">
        <v>6</v>
      </c>
      <c r="O14" t="str">
        <f t="shared" si="0"/>
        <v>Employed &gt;2 Years</v>
      </c>
    </row>
    <row r="15" spans="1:26" x14ac:dyDescent="0.25">
      <c r="A15" t="s">
        <v>48</v>
      </c>
      <c r="B15" t="s">
        <v>49</v>
      </c>
      <c r="C15" s="1">
        <v>45313</v>
      </c>
      <c r="D15" t="s">
        <v>21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27</v>
      </c>
      <c r="K15">
        <v>0</v>
      </c>
      <c r="L15">
        <v>0</v>
      </c>
      <c r="M15" t="str">
        <v>Full-Time</v>
      </c>
      <c r="N15">
        <v>2</v>
      </c>
      <c r="O15" t="str">
        <f t="shared" si="0"/>
        <v>Employed &gt;2 Years</v>
      </c>
    </row>
    <row r="16" spans="1:26" x14ac:dyDescent="0.25">
      <c r="A16" t="s">
        <v>50</v>
      </c>
      <c r="B16" t="s">
        <v>51</v>
      </c>
      <c r="C16" s="1">
        <v>45486</v>
      </c>
      <c r="D16" t="s">
        <v>14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27</v>
      </c>
      <c r="K16">
        <v>0</v>
      </c>
      <c r="L16">
        <v>0</v>
      </c>
      <c r="M16" t="str">
        <v>Retired</v>
      </c>
      <c r="N16">
        <v>0</v>
      </c>
      <c r="O16" t="str">
        <f t="shared" si="0"/>
        <v>Employed &lt;2 Years</v>
      </c>
    </row>
    <row r="17" spans="1:15" x14ac:dyDescent="0.25">
      <c r="A17" t="s">
        <v>52</v>
      </c>
      <c r="B17" t="s">
        <v>51</v>
      </c>
      <c r="C17" s="1">
        <v>45835</v>
      </c>
      <c r="D17" t="s">
        <v>14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18</v>
      </c>
      <c r="K17">
        <v>105</v>
      </c>
      <c r="L17">
        <v>1</v>
      </c>
      <c r="M17" t="str">
        <v>Retired</v>
      </c>
      <c r="N17">
        <v>0</v>
      </c>
      <c r="O17" t="str">
        <f t="shared" si="0"/>
        <v>Employed &lt;2 Years</v>
      </c>
    </row>
    <row r="18" spans="1:15" x14ac:dyDescent="0.25">
      <c r="A18" t="s">
        <v>53</v>
      </c>
      <c r="B18" t="s">
        <v>54</v>
      </c>
      <c r="C18" s="1">
        <v>45481</v>
      </c>
      <c r="D18" t="s">
        <v>21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27</v>
      </c>
      <c r="K18">
        <v>0</v>
      </c>
      <c r="L18">
        <v>0</v>
      </c>
      <c r="M18" t="str">
        <v>Full-Time</v>
      </c>
      <c r="N18">
        <v>14</v>
      </c>
      <c r="O18" t="str">
        <f t="shared" si="0"/>
        <v>Employed &gt;2 Years</v>
      </c>
    </row>
    <row r="19" spans="1:15" x14ac:dyDescent="0.25">
      <c r="A19" t="s">
        <v>55</v>
      </c>
      <c r="B19" t="s">
        <v>54</v>
      </c>
      <c r="C19" s="1">
        <v>45486</v>
      </c>
      <c r="D19" t="s">
        <v>47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27</v>
      </c>
      <c r="K19">
        <v>0</v>
      </c>
      <c r="L19">
        <v>0</v>
      </c>
      <c r="M19" t="str">
        <v>Full-Time</v>
      </c>
      <c r="N19">
        <v>14</v>
      </c>
      <c r="O19" t="str">
        <f t="shared" si="0"/>
        <v>Employed &gt;2 Years</v>
      </c>
    </row>
    <row r="20" spans="1:15" x14ac:dyDescent="0.25">
      <c r="A20" t="s">
        <v>56</v>
      </c>
      <c r="B20" t="s">
        <v>57</v>
      </c>
      <c r="C20" s="1">
        <v>45360</v>
      </c>
      <c r="D20" t="s">
        <v>30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18</v>
      </c>
      <c r="K20">
        <v>63</v>
      </c>
      <c r="L20">
        <v>1</v>
      </c>
      <c r="M20" t="str">
        <v>Full-Time</v>
      </c>
      <c r="N20">
        <v>19</v>
      </c>
      <c r="O20" t="str">
        <f t="shared" si="0"/>
        <v>Employed &gt;2 Years</v>
      </c>
    </row>
    <row r="21" spans="1:15" x14ac:dyDescent="0.25">
      <c r="A21" t="s">
        <v>58</v>
      </c>
      <c r="B21" t="s">
        <v>59</v>
      </c>
      <c r="C21" s="1">
        <v>45689</v>
      </c>
      <c r="D21" t="s">
        <v>41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15</v>
      </c>
      <c r="K21">
        <v>0</v>
      </c>
      <c r="L21">
        <v>0</v>
      </c>
      <c r="M21" t="str">
        <v>Self-Employed</v>
      </c>
      <c r="N21">
        <v>9</v>
      </c>
      <c r="O21" t="str">
        <f t="shared" si="0"/>
        <v>Employed &gt;2 Years</v>
      </c>
    </row>
    <row r="22" spans="1:15" x14ac:dyDescent="0.25">
      <c r="A22" t="s">
        <v>60</v>
      </c>
      <c r="B22" t="s">
        <v>61</v>
      </c>
      <c r="C22" s="1">
        <v>45505</v>
      </c>
      <c r="D22" t="s">
        <v>30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62</v>
      </c>
      <c r="K22">
        <v>15</v>
      </c>
      <c r="L22">
        <v>0</v>
      </c>
      <c r="M22" t="str">
        <v>Full-Time</v>
      </c>
      <c r="N22">
        <v>2</v>
      </c>
      <c r="O22" t="str">
        <f t="shared" si="0"/>
        <v>Employed &gt;2 Years</v>
      </c>
    </row>
    <row r="23" spans="1:15" x14ac:dyDescent="0.25">
      <c r="A23" t="s">
        <v>63</v>
      </c>
      <c r="B23" t="s">
        <v>64</v>
      </c>
      <c r="C23" s="1">
        <v>45351</v>
      </c>
      <c r="D23" t="s">
        <v>41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27</v>
      </c>
      <c r="K23">
        <v>0</v>
      </c>
      <c r="L23">
        <v>0</v>
      </c>
      <c r="M23" t="str">
        <v>Full-Time</v>
      </c>
      <c r="N23">
        <v>8</v>
      </c>
      <c r="O23" t="str">
        <f t="shared" si="0"/>
        <v>Employed &gt;2 Years</v>
      </c>
    </row>
    <row r="24" spans="1:15" x14ac:dyDescent="0.25">
      <c r="A24" t="s">
        <v>65</v>
      </c>
      <c r="B24" t="s">
        <v>66</v>
      </c>
      <c r="C24" s="1">
        <v>45528</v>
      </c>
      <c r="D24" t="s">
        <v>24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27</v>
      </c>
      <c r="K24">
        <v>0</v>
      </c>
      <c r="L24">
        <v>0</v>
      </c>
      <c r="M24" t="str">
        <v>Self-Employed</v>
      </c>
      <c r="N24">
        <v>28</v>
      </c>
      <c r="O24" t="str">
        <f t="shared" si="0"/>
        <v>Employed &gt;2 Years</v>
      </c>
    </row>
    <row r="25" spans="1:15" x14ac:dyDescent="0.25">
      <c r="A25" t="s">
        <v>67</v>
      </c>
      <c r="B25" t="s">
        <v>68</v>
      </c>
      <c r="C25" s="1">
        <v>45658</v>
      </c>
      <c r="D25" t="s">
        <v>33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27</v>
      </c>
      <c r="K25">
        <v>0</v>
      </c>
      <c r="L25">
        <v>0</v>
      </c>
      <c r="M25" t="str">
        <v>Part-Time</v>
      </c>
      <c r="N25">
        <v>2</v>
      </c>
      <c r="O25" t="str">
        <f t="shared" si="0"/>
        <v>Employed &gt;2 Years</v>
      </c>
    </row>
    <row r="26" spans="1:15" x14ac:dyDescent="0.25">
      <c r="A26" t="s">
        <v>69</v>
      </c>
      <c r="B26" t="s">
        <v>70</v>
      </c>
      <c r="C26" s="1">
        <v>45745</v>
      </c>
      <c r="D26" t="s">
        <v>33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62</v>
      </c>
      <c r="K26">
        <v>15</v>
      </c>
      <c r="L26">
        <v>0</v>
      </c>
      <c r="M26" t="str">
        <v>Full-Time</v>
      </c>
      <c r="N26">
        <v>17</v>
      </c>
      <c r="O26" t="str">
        <f t="shared" si="0"/>
        <v>Employed &gt;2 Years</v>
      </c>
    </row>
    <row r="27" spans="1:15" x14ac:dyDescent="0.25">
      <c r="A27" t="s">
        <v>71</v>
      </c>
      <c r="B27" t="s">
        <v>72</v>
      </c>
      <c r="C27" s="1">
        <v>45511</v>
      </c>
      <c r="D27" t="s">
        <v>30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18</v>
      </c>
      <c r="K27">
        <v>170</v>
      </c>
      <c r="L27">
        <v>1</v>
      </c>
      <c r="M27" t="str">
        <v>Contract</v>
      </c>
      <c r="N27">
        <v>13</v>
      </c>
      <c r="O27" t="str">
        <f t="shared" si="0"/>
        <v>Employed &gt;2 Years</v>
      </c>
    </row>
    <row r="28" spans="1:15" x14ac:dyDescent="0.25">
      <c r="A28" t="s">
        <v>73</v>
      </c>
      <c r="B28" t="s">
        <v>72</v>
      </c>
      <c r="C28" s="1">
        <v>45327</v>
      </c>
      <c r="D28" t="s">
        <v>24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27</v>
      </c>
      <c r="K28">
        <v>0</v>
      </c>
      <c r="L28">
        <v>0</v>
      </c>
      <c r="M28" t="str">
        <v>Contract</v>
      </c>
      <c r="N28">
        <v>13</v>
      </c>
      <c r="O28" t="str">
        <f t="shared" si="0"/>
        <v>Employed &gt;2 Years</v>
      </c>
    </row>
    <row r="29" spans="1:15" x14ac:dyDescent="0.25">
      <c r="A29" t="s">
        <v>74</v>
      </c>
      <c r="B29" t="s">
        <v>75</v>
      </c>
      <c r="C29" s="1">
        <v>45314</v>
      </c>
      <c r="D29" t="s">
        <v>24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62</v>
      </c>
      <c r="K29">
        <v>15</v>
      </c>
      <c r="L29">
        <v>0</v>
      </c>
      <c r="M29" t="str">
        <v>Part-Time</v>
      </c>
      <c r="N29">
        <v>6</v>
      </c>
      <c r="O29" t="str">
        <f t="shared" si="0"/>
        <v>Employed &gt;2 Years</v>
      </c>
    </row>
    <row r="30" spans="1:15" x14ac:dyDescent="0.25">
      <c r="A30" t="s">
        <v>76</v>
      </c>
      <c r="B30" t="s">
        <v>75</v>
      </c>
      <c r="C30" s="1">
        <v>45330</v>
      </c>
      <c r="D30" t="s">
        <v>21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27</v>
      </c>
      <c r="K30">
        <v>0</v>
      </c>
      <c r="L30">
        <v>0</v>
      </c>
      <c r="M30" t="str">
        <v>Part-Time</v>
      </c>
      <c r="N30">
        <v>6</v>
      </c>
      <c r="O30" t="str">
        <f t="shared" si="0"/>
        <v>Employed &gt;2 Years</v>
      </c>
    </row>
    <row r="31" spans="1:15" x14ac:dyDescent="0.25">
      <c r="A31" t="s">
        <v>77</v>
      </c>
      <c r="B31" t="s">
        <v>78</v>
      </c>
      <c r="C31" s="1">
        <v>45514</v>
      </c>
      <c r="D31" t="s">
        <v>38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15</v>
      </c>
      <c r="K31">
        <v>0</v>
      </c>
      <c r="L31">
        <v>0</v>
      </c>
      <c r="M31" t="str">
        <v>Full-Time</v>
      </c>
      <c r="N31">
        <v>12</v>
      </c>
      <c r="O31" t="str">
        <f t="shared" si="0"/>
        <v>Employed &gt;2 Years</v>
      </c>
    </row>
    <row r="32" spans="1:15" x14ac:dyDescent="0.25">
      <c r="A32" t="s">
        <v>79</v>
      </c>
      <c r="B32" t="s">
        <v>78</v>
      </c>
      <c r="C32" s="1">
        <v>45389</v>
      </c>
      <c r="D32" t="s">
        <v>33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15</v>
      </c>
      <c r="K32">
        <v>0</v>
      </c>
      <c r="L32">
        <v>0</v>
      </c>
      <c r="M32" t="str">
        <v>Full-Time</v>
      </c>
      <c r="N32">
        <v>12</v>
      </c>
      <c r="O32" t="str">
        <f t="shared" si="0"/>
        <v>Employed &gt;2 Years</v>
      </c>
    </row>
    <row r="33" spans="1:15" x14ac:dyDescent="0.25">
      <c r="A33" t="s">
        <v>80</v>
      </c>
      <c r="B33" t="s">
        <v>81</v>
      </c>
      <c r="C33" s="1">
        <v>45736</v>
      </c>
      <c r="D33" t="s">
        <v>36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62</v>
      </c>
      <c r="K33">
        <v>15</v>
      </c>
      <c r="L33">
        <v>0</v>
      </c>
      <c r="M33" t="str">
        <v>Retired</v>
      </c>
      <c r="N33">
        <v>10</v>
      </c>
      <c r="O33" t="str">
        <f t="shared" si="0"/>
        <v>Employed &gt;2 Years</v>
      </c>
    </row>
    <row r="34" spans="1:15" x14ac:dyDescent="0.25">
      <c r="A34" t="s">
        <v>82</v>
      </c>
      <c r="B34" t="s">
        <v>83</v>
      </c>
      <c r="C34" s="1">
        <v>45828</v>
      </c>
      <c r="D34" t="s">
        <v>47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18</v>
      </c>
      <c r="K34">
        <v>168</v>
      </c>
      <c r="L34">
        <v>1</v>
      </c>
      <c r="M34" t="str">
        <v>Full-Time</v>
      </c>
      <c r="N34">
        <v>2</v>
      </c>
      <c r="O34" t="str">
        <f t="shared" si="0"/>
        <v>Employed &gt;2 Years</v>
      </c>
    </row>
    <row r="35" spans="1:15" x14ac:dyDescent="0.25">
      <c r="A35" t="s">
        <v>84</v>
      </c>
      <c r="B35" t="s">
        <v>85</v>
      </c>
      <c r="C35" s="1">
        <v>45694</v>
      </c>
      <c r="D35" t="s">
        <v>30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27</v>
      </c>
      <c r="K35">
        <v>0</v>
      </c>
      <c r="L35">
        <v>0</v>
      </c>
      <c r="M35" t="str">
        <v>Full-Time</v>
      </c>
      <c r="N35">
        <v>34</v>
      </c>
      <c r="O35" t="str">
        <f t="shared" si="0"/>
        <v>Employed &gt;2 Years</v>
      </c>
    </row>
    <row r="36" spans="1:15" x14ac:dyDescent="0.25">
      <c r="A36" t="s">
        <v>86</v>
      </c>
      <c r="B36" t="s">
        <v>87</v>
      </c>
      <c r="C36" s="1">
        <v>45779</v>
      </c>
      <c r="D36" t="s">
        <v>17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27</v>
      </c>
      <c r="K36">
        <v>0</v>
      </c>
      <c r="L36">
        <v>0</v>
      </c>
      <c r="M36" t="str">
        <v>Full-Time</v>
      </c>
      <c r="N36">
        <v>5</v>
      </c>
      <c r="O36" t="str">
        <f t="shared" si="0"/>
        <v>Employed &gt;2 Years</v>
      </c>
    </row>
    <row r="37" spans="1:15" x14ac:dyDescent="0.25">
      <c r="A37" t="s">
        <v>88</v>
      </c>
      <c r="B37" t="s">
        <v>89</v>
      </c>
      <c r="C37" s="1">
        <v>45494</v>
      </c>
      <c r="D37" t="s">
        <v>21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27</v>
      </c>
      <c r="K37">
        <v>0</v>
      </c>
      <c r="L37">
        <v>0</v>
      </c>
      <c r="M37" t="str">
        <v>Retired</v>
      </c>
      <c r="N37">
        <v>1</v>
      </c>
      <c r="O37" t="str">
        <f t="shared" si="0"/>
        <v>Employed &lt;2 Years</v>
      </c>
    </row>
    <row r="38" spans="1:15" x14ac:dyDescent="0.25">
      <c r="A38" t="s">
        <v>90</v>
      </c>
      <c r="B38" t="s">
        <v>91</v>
      </c>
      <c r="C38" s="1">
        <v>45383</v>
      </c>
      <c r="D38" t="s">
        <v>21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18</v>
      </c>
      <c r="K38">
        <v>135</v>
      </c>
      <c r="L38">
        <v>1</v>
      </c>
      <c r="M38" t="str">
        <v>Full-Time</v>
      </c>
      <c r="N38">
        <v>8</v>
      </c>
      <c r="O38" t="str">
        <f t="shared" si="0"/>
        <v>Employed &gt;2 Years</v>
      </c>
    </row>
    <row r="39" spans="1:15" x14ac:dyDescent="0.25">
      <c r="A39" t="s">
        <v>92</v>
      </c>
      <c r="B39" t="s">
        <v>93</v>
      </c>
      <c r="C39" s="1">
        <v>45465</v>
      </c>
      <c r="D39" t="s">
        <v>30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15</v>
      </c>
      <c r="K39">
        <v>0</v>
      </c>
      <c r="L39">
        <v>0</v>
      </c>
      <c r="M39" t="str">
        <v>Part-Time</v>
      </c>
      <c r="N39">
        <v>0</v>
      </c>
      <c r="O39" t="str">
        <f t="shared" si="0"/>
        <v>Employed &lt;2 Years</v>
      </c>
    </row>
    <row r="40" spans="1:15" x14ac:dyDescent="0.25">
      <c r="A40" t="s">
        <v>94</v>
      </c>
      <c r="B40" t="s">
        <v>95</v>
      </c>
      <c r="C40" s="1">
        <v>45674</v>
      </c>
      <c r="D40" t="s">
        <v>33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27</v>
      </c>
      <c r="K40">
        <v>0</v>
      </c>
      <c r="L40">
        <v>0</v>
      </c>
      <c r="M40" t="str">
        <v>Full-Time</v>
      </c>
      <c r="N40">
        <v>5</v>
      </c>
      <c r="O40" t="str">
        <f t="shared" si="0"/>
        <v>Employed &gt;2 Years</v>
      </c>
    </row>
    <row r="41" spans="1:15" x14ac:dyDescent="0.25">
      <c r="A41" t="s">
        <v>96</v>
      </c>
      <c r="B41" t="s">
        <v>97</v>
      </c>
      <c r="C41" s="1">
        <v>45405</v>
      </c>
      <c r="D41" t="s">
        <v>38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27</v>
      </c>
      <c r="K41">
        <v>0</v>
      </c>
      <c r="L41">
        <v>0</v>
      </c>
      <c r="M41" t="str">
        <v>Self-Employed</v>
      </c>
      <c r="N41">
        <v>16</v>
      </c>
      <c r="O41" t="str">
        <f t="shared" si="0"/>
        <v>Employed &gt;2 Years</v>
      </c>
    </row>
    <row r="42" spans="1:15" x14ac:dyDescent="0.25">
      <c r="A42" t="s">
        <v>98</v>
      </c>
      <c r="B42" t="s">
        <v>99</v>
      </c>
      <c r="C42" s="1">
        <v>45436</v>
      </c>
      <c r="D42" t="s">
        <v>38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27</v>
      </c>
      <c r="K42">
        <v>0</v>
      </c>
      <c r="L42">
        <v>0</v>
      </c>
      <c r="M42" t="str">
        <v>Self-Employed</v>
      </c>
      <c r="N42">
        <v>8</v>
      </c>
      <c r="O42" t="str">
        <f t="shared" si="0"/>
        <v>Employed &gt;2 Years</v>
      </c>
    </row>
    <row r="43" spans="1:15" x14ac:dyDescent="0.25">
      <c r="A43" t="s">
        <v>100</v>
      </c>
      <c r="B43" t="s">
        <v>101</v>
      </c>
      <c r="C43" s="1">
        <v>45569</v>
      </c>
      <c r="D43" t="s">
        <v>21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18</v>
      </c>
      <c r="K43">
        <v>32</v>
      </c>
      <c r="L43">
        <v>1</v>
      </c>
      <c r="M43" t="str">
        <v>Contract</v>
      </c>
      <c r="N43">
        <v>2</v>
      </c>
      <c r="O43" t="str">
        <f t="shared" si="0"/>
        <v>Employed &gt;2 Years</v>
      </c>
    </row>
    <row r="44" spans="1:15" x14ac:dyDescent="0.25">
      <c r="A44" t="s">
        <v>102</v>
      </c>
      <c r="B44" t="s">
        <v>101</v>
      </c>
      <c r="C44" s="1">
        <v>45311</v>
      </c>
      <c r="D44" t="s">
        <v>36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62</v>
      </c>
      <c r="K44">
        <v>15</v>
      </c>
      <c r="L44">
        <v>0</v>
      </c>
      <c r="M44" t="str">
        <v>Contract</v>
      </c>
      <c r="N44">
        <v>2</v>
      </c>
      <c r="O44" t="str">
        <f t="shared" si="0"/>
        <v>Employed &gt;2 Years</v>
      </c>
    </row>
    <row r="45" spans="1:15" x14ac:dyDescent="0.25">
      <c r="A45" t="s">
        <v>103</v>
      </c>
      <c r="B45" t="s">
        <v>104</v>
      </c>
      <c r="C45" s="1">
        <v>45836</v>
      </c>
      <c r="D45" t="s">
        <v>21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18</v>
      </c>
      <c r="K45">
        <v>80</v>
      </c>
      <c r="L45">
        <v>1</v>
      </c>
      <c r="M45" t="str">
        <v>Full-Time</v>
      </c>
      <c r="N45">
        <v>34</v>
      </c>
      <c r="O45" t="str">
        <f t="shared" si="0"/>
        <v>Employed &gt;2 Years</v>
      </c>
    </row>
    <row r="46" spans="1:15" x14ac:dyDescent="0.25">
      <c r="A46" t="s">
        <v>105</v>
      </c>
      <c r="B46" t="s">
        <v>104</v>
      </c>
      <c r="C46" s="1">
        <v>45834</v>
      </c>
      <c r="D46" t="s">
        <v>21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18</v>
      </c>
      <c r="K46">
        <v>155</v>
      </c>
      <c r="L46">
        <v>1</v>
      </c>
      <c r="M46" t="str">
        <v>Full-Time</v>
      </c>
      <c r="N46">
        <v>34</v>
      </c>
      <c r="O46" t="str">
        <f t="shared" si="0"/>
        <v>Employed &gt;2 Years</v>
      </c>
    </row>
    <row r="47" spans="1:15" x14ac:dyDescent="0.25">
      <c r="A47" t="s">
        <v>106</v>
      </c>
      <c r="B47" t="s">
        <v>107</v>
      </c>
      <c r="C47" s="1">
        <v>45533</v>
      </c>
      <c r="D47" t="s">
        <v>33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62</v>
      </c>
      <c r="K47">
        <v>30</v>
      </c>
      <c r="L47">
        <v>0</v>
      </c>
      <c r="M47" t="str">
        <v>Full-Time</v>
      </c>
      <c r="N47">
        <v>5</v>
      </c>
      <c r="O47" t="str">
        <f t="shared" si="0"/>
        <v>Employed &gt;2 Years</v>
      </c>
    </row>
    <row r="48" spans="1:15" x14ac:dyDescent="0.25">
      <c r="A48" t="s">
        <v>108</v>
      </c>
      <c r="B48" t="s">
        <v>109</v>
      </c>
      <c r="C48" s="1">
        <v>45578</v>
      </c>
      <c r="D48" t="s">
        <v>24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18</v>
      </c>
      <c r="K48">
        <v>117</v>
      </c>
      <c r="L48">
        <v>1</v>
      </c>
      <c r="M48" t="str">
        <v>Full-Time</v>
      </c>
      <c r="N48">
        <v>15</v>
      </c>
      <c r="O48" t="str">
        <f t="shared" si="0"/>
        <v>Employed &gt;2 Years</v>
      </c>
    </row>
    <row r="49" spans="1:15" x14ac:dyDescent="0.25">
      <c r="A49" t="s">
        <v>110</v>
      </c>
      <c r="B49" t="s">
        <v>111</v>
      </c>
      <c r="C49" s="1">
        <v>45524</v>
      </c>
      <c r="D49" t="s">
        <v>33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27</v>
      </c>
      <c r="K49">
        <v>0</v>
      </c>
      <c r="L49">
        <v>0</v>
      </c>
      <c r="M49" t="str">
        <v>Retired</v>
      </c>
      <c r="N49">
        <v>1</v>
      </c>
      <c r="O49" t="str">
        <f t="shared" si="0"/>
        <v>Employed &lt;2 Years</v>
      </c>
    </row>
    <row r="50" spans="1:15" x14ac:dyDescent="0.25">
      <c r="A50" t="s">
        <v>112</v>
      </c>
      <c r="B50" t="s">
        <v>111</v>
      </c>
      <c r="C50" s="1">
        <v>45433</v>
      </c>
      <c r="D50" t="s">
        <v>24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27</v>
      </c>
      <c r="K50">
        <v>0</v>
      </c>
      <c r="L50">
        <v>0</v>
      </c>
      <c r="M50" t="str">
        <v>Retired</v>
      </c>
      <c r="N50">
        <v>1</v>
      </c>
      <c r="O50" t="str">
        <f t="shared" si="0"/>
        <v>Employed &lt;2 Years</v>
      </c>
    </row>
    <row r="51" spans="1:15" x14ac:dyDescent="0.25">
      <c r="A51" t="s">
        <v>113</v>
      </c>
      <c r="B51" t="s">
        <v>114</v>
      </c>
      <c r="C51" s="1">
        <v>45453</v>
      </c>
      <c r="D51" t="s">
        <v>21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15</v>
      </c>
      <c r="K51">
        <v>0</v>
      </c>
      <c r="L51">
        <v>0</v>
      </c>
      <c r="M51" t="str">
        <v>Full-Time</v>
      </c>
      <c r="N51">
        <v>2</v>
      </c>
      <c r="O51" t="str">
        <f t="shared" si="0"/>
        <v>Employed &gt;2 Years</v>
      </c>
    </row>
    <row r="52" spans="1:15" x14ac:dyDescent="0.25">
      <c r="A52" t="s">
        <v>115</v>
      </c>
      <c r="B52" t="s">
        <v>116</v>
      </c>
      <c r="C52" s="1">
        <v>45715</v>
      </c>
      <c r="D52" t="s">
        <v>30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15</v>
      </c>
      <c r="K52">
        <v>0</v>
      </c>
      <c r="L52">
        <v>0</v>
      </c>
      <c r="M52" t="str">
        <v>Full-Time</v>
      </c>
      <c r="N52">
        <v>22</v>
      </c>
      <c r="O52" t="str">
        <f t="shared" si="0"/>
        <v>Employed &gt;2 Years</v>
      </c>
    </row>
    <row r="53" spans="1:15" x14ac:dyDescent="0.25">
      <c r="A53" t="s">
        <v>117</v>
      </c>
      <c r="B53" t="s">
        <v>118</v>
      </c>
      <c r="C53" s="1">
        <v>45565</v>
      </c>
      <c r="D53" t="s">
        <v>24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27</v>
      </c>
      <c r="K53">
        <v>0</v>
      </c>
      <c r="L53">
        <v>0</v>
      </c>
      <c r="M53" t="str">
        <v>Full-Time</v>
      </c>
      <c r="N53">
        <v>18</v>
      </c>
      <c r="O53" t="str">
        <f t="shared" si="0"/>
        <v>Employed &gt;2 Years</v>
      </c>
    </row>
    <row r="54" spans="1:15" x14ac:dyDescent="0.25">
      <c r="A54" t="s">
        <v>119</v>
      </c>
      <c r="B54" t="s">
        <v>118</v>
      </c>
      <c r="C54" s="1">
        <v>45772</v>
      </c>
      <c r="D54" t="s">
        <v>38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15</v>
      </c>
      <c r="K54">
        <v>0</v>
      </c>
      <c r="L54">
        <v>0</v>
      </c>
      <c r="M54" t="str">
        <v>Full-Time</v>
      </c>
      <c r="N54">
        <v>18</v>
      </c>
      <c r="O54" t="str">
        <f t="shared" si="0"/>
        <v>Employed &gt;2 Years</v>
      </c>
    </row>
    <row r="55" spans="1:15" x14ac:dyDescent="0.25">
      <c r="A55" t="s">
        <v>120</v>
      </c>
      <c r="B55" t="s">
        <v>121</v>
      </c>
      <c r="C55" s="1">
        <v>45307</v>
      </c>
      <c r="D55" t="s">
        <v>33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62</v>
      </c>
      <c r="K55">
        <v>30</v>
      </c>
      <c r="L55">
        <v>0</v>
      </c>
      <c r="M55" t="str">
        <v>Full-Time</v>
      </c>
      <c r="N55">
        <v>3</v>
      </c>
      <c r="O55" t="str">
        <f t="shared" si="0"/>
        <v>Employed &gt;2 Years</v>
      </c>
    </row>
    <row r="56" spans="1:15" x14ac:dyDescent="0.25">
      <c r="A56" t="s">
        <v>122</v>
      </c>
      <c r="B56" t="s">
        <v>123</v>
      </c>
      <c r="C56" s="1">
        <v>45793</v>
      </c>
      <c r="D56" t="s">
        <v>38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62</v>
      </c>
      <c r="K56">
        <v>15</v>
      </c>
      <c r="L56">
        <v>0</v>
      </c>
      <c r="M56" t="str">
        <v>Retired</v>
      </c>
      <c r="N56">
        <v>11</v>
      </c>
      <c r="O56" t="str">
        <f t="shared" si="0"/>
        <v>Employed &gt;2 Years</v>
      </c>
    </row>
    <row r="57" spans="1:15" x14ac:dyDescent="0.25">
      <c r="A57" t="s">
        <v>124</v>
      </c>
      <c r="B57" t="s">
        <v>125</v>
      </c>
      <c r="C57" s="1">
        <v>45829</v>
      </c>
      <c r="D57" t="s">
        <v>41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27</v>
      </c>
      <c r="K57">
        <v>0</v>
      </c>
      <c r="L57">
        <v>0</v>
      </c>
      <c r="M57" t="str">
        <v>Self-Employed</v>
      </c>
      <c r="N57">
        <v>26</v>
      </c>
      <c r="O57" t="str">
        <f t="shared" si="0"/>
        <v>Employed &gt;2 Years</v>
      </c>
    </row>
    <row r="58" spans="1:15" x14ac:dyDescent="0.25">
      <c r="A58" t="s">
        <v>126</v>
      </c>
      <c r="B58" t="s">
        <v>127</v>
      </c>
      <c r="C58" s="1">
        <v>45697</v>
      </c>
      <c r="D58" t="s">
        <v>14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27</v>
      </c>
      <c r="K58">
        <v>0</v>
      </c>
      <c r="L58">
        <v>0</v>
      </c>
      <c r="M58" t="str">
        <v>Full-Time</v>
      </c>
      <c r="N58">
        <v>19</v>
      </c>
      <c r="O58" t="str">
        <f t="shared" si="0"/>
        <v>Employed &gt;2 Years</v>
      </c>
    </row>
    <row r="59" spans="1:15" x14ac:dyDescent="0.25">
      <c r="A59" t="s">
        <v>128</v>
      </c>
      <c r="B59" t="s">
        <v>129</v>
      </c>
      <c r="C59" s="1">
        <v>45584</v>
      </c>
      <c r="D59" t="s">
        <v>41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62</v>
      </c>
      <c r="K59">
        <v>0</v>
      </c>
      <c r="L59">
        <v>0</v>
      </c>
      <c r="M59" t="str">
        <v>Self-Employed</v>
      </c>
      <c r="N59">
        <v>14</v>
      </c>
      <c r="O59" t="str">
        <f t="shared" si="0"/>
        <v>Employed &gt;2 Years</v>
      </c>
    </row>
    <row r="60" spans="1:15" x14ac:dyDescent="0.25">
      <c r="A60" t="s">
        <v>130</v>
      </c>
      <c r="B60" t="s">
        <v>131</v>
      </c>
      <c r="C60" s="1">
        <v>45804</v>
      </c>
      <c r="D60" t="s">
        <v>21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15</v>
      </c>
      <c r="K60">
        <v>0</v>
      </c>
      <c r="L60">
        <v>0</v>
      </c>
      <c r="M60" t="str">
        <v>Full-Time</v>
      </c>
      <c r="N60">
        <v>5</v>
      </c>
      <c r="O60" t="str">
        <f t="shared" si="0"/>
        <v>Employed &gt;2 Years</v>
      </c>
    </row>
    <row r="61" spans="1:15" x14ac:dyDescent="0.25">
      <c r="A61" t="s">
        <v>132</v>
      </c>
      <c r="B61" t="s">
        <v>133</v>
      </c>
      <c r="C61" s="1">
        <v>45498</v>
      </c>
      <c r="D61" t="s">
        <v>33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27</v>
      </c>
      <c r="K61">
        <v>0</v>
      </c>
      <c r="L61">
        <v>0</v>
      </c>
      <c r="M61" t="str">
        <v>Full-Time</v>
      </c>
      <c r="N61">
        <v>13</v>
      </c>
      <c r="O61" t="str">
        <f t="shared" si="0"/>
        <v>Employed &gt;2 Years</v>
      </c>
    </row>
    <row r="62" spans="1:15" x14ac:dyDescent="0.25">
      <c r="A62" t="s">
        <v>134</v>
      </c>
      <c r="B62" t="s">
        <v>135</v>
      </c>
      <c r="C62" s="1">
        <v>45663</v>
      </c>
      <c r="D62" t="s">
        <v>33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18</v>
      </c>
      <c r="K62">
        <v>128</v>
      </c>
      <c r="L62">
        <v>1</v>
      </c>
      <c r="M62" t="str">
        <v>Full-Time</v>
      </c>
      <c r="N62">
        <v>10</v>
      </c>
      <c r="O62" t="str">
        <f t="shared" si="0"/>
        <v>Employed &gt;2 Years</v>
      </c>
    </row>
    <row r="63" spans="1:15" x14ac:dyDescent="0.25">
      <c r="A63" t="s">
        <v>136</v>
      </c>
      <c r="B63" t="s">
        <v>137</v>
      </c>
      <c r="C63" s="1">
        <v>45466</v>
      </c>
      <c r="D63" t="s">
        <v>21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62</v>
      </c>
      <c r="K63">
        <v>0</v>
      </c>
      <c r="L63">
        <v>0</v>
      </c>
      <c r="M63" t="str">
        <v>Full-Time</v>
      </c>
      <c r="N63">
        <v>7</v>
      </c>
      <c r="O63" t="str">
        <f t="shared" si="0"/>
        <v>Employed &gt;2 Years</v>
      </c>
    </row>
    <row r="64" spans="1:15" x14ac:dyDescent="0.25">
      <c r="A64" t="s">
        <v>138</v>
      </c>
      <c r="B64" t="s">
        <v>139</v>
      </c>
      <c r="C64" s="1">
        <v>45748</v>
      </c>
      <c r="D64" t="s">
        <v>33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15</v>
      </c>
      <c r="K64">
        <v>0</v>
      </c>
      <c r="L64">
        <v>0</v>
      </c>
      <c r="M64" t="str">
        <v>Self-Employed</v>
      </c>
      <c r="N64">
        <v>5</v>
      </c>
      <c r="O64" t="str">
        <f t="shared" si="0"/>
        <v>Employed &gt;2 Years</v>
      </c>
    </row>
    <row r="65" spans="1:15" x14ac:dyDescent="0.25">
      <c r="A65" t="s">
        <v>140</v>
      </c>
      <c r="B65" t="s">
        <v>141</v>
      </c>
      <c r="C65" s="1">
        <v>45802</v>
      </c>
      <c r="D65" t="s">
        <v>41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15</v>
      </c>
      <c r="K65">
        <v>0</v>
      </c>
      <c r="L65">
        <v>0</v>
      </c>
      <c r="M65" t="str">
        <v>Contract</v>
      </c>
      <c r="N65">
        <v>30</v>
      </c>
      <c r="O65" t="str">
        <f t="shared" si="0"/>
        <v>Employed &gt;2 Years</v>
      </c>
    </row>
    <row r="66" spans="1:15" x14ac:dyDescent="0.25">
      <c r="A66" t="s">
        <v>142</v>
      </c>
      <c r="B66" t="s">
        <v>141</v>
      </c>
      <c r="C66" s="1">
        <v>45373</v>
      </c>
      <c r="D66" t="s">
        <v>38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15</v>
      </c>
      <c r="K66">
        <v>0</v>
      </c>
      <c r="L66">
        <v>0</v>
      </c>
      <c r="M66" t="str">
        <v>Contract</v>
      </c>
      <c r="N66">
        <v>30</v>
      </c>
      <c r="O66" t="str">
        <f t="shared" si="0"/>
        <v>Employed &gt;2 Years</v>
      </c>
    </row>
    <row r="67" spans="1:15" x14ac:dyDescent="0.25">
      <c r="A67" t="s">
        <v>143</v>
      </c>
      <c r="B67" t="s">
        <v>144</v>
      </c>
      <c r="C67" s="1">
        <v>45649</v>
      </c>
      <c r="D67" t="s">
        <v>21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18</v>
      </c>
      <c r="K67">
        <v>38</v>
      </c>
      <c r="L67">
        <v>1</v>
      </c>
      <c r="M67" t="str">
        <v>Full-Time</v>
      </c>
      <c r="N67">
        <v>15</v>
      </c>
      <c r="O67" t="str">
        <f t="shared" ref="O67:O130" si="1">IF(N67&lt;2,"Employed &lt;2 Years","Employed &gt;2 Years")</f>
        <v>Employed &gt;2 Years</v>
      </c>
    </row>
    <row r="68" spans="1:15" x14ac:dyDescent="0.25">
      <c r="A68" t="s">
        <v>145</v>
      </c>
      <c r="B68" t="s">
        <v>146</v>
      </c>
      <c r="C68" s="1">
        <v>45474</v>
      </c>
      <c r="D68" t="s">
        <v>47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18</v>
      </c>
      <c r="K68">
        <v>102</v>
      </c>
      <c r="L68">
        <v>1</v>
      </c>
      <c r="M68" t="str">
        <v>Self-Employed</v>
      </c>
      <c r="N68">
        <v>6</v>
      </c>
      <c r="O68" t="str">
        <f t="shared" si="1"/>
        <v>Employed &gt;2 Years</v>
      </c>
    </row>
    <row r="69" spans="1:15" x14ac:dyDescent="0.25">
      <c r="A69" t="s">
        <v>147</v>
      </c>
      <c r="B69" t="s">
        <v>148</v>
      </c>
      <c r="C69" s="1">
        <v>45660</v>
      </c>
      <c r="D69" t="s">
        <v>47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27</v>
      </c>
      <c r="K69">
        <v>0</v>
      </c>
      <c r="L69">
        <v>0</v>
      </c>
      <c r="M69" t="str">
        <v>Self-Employed</v>
      </c>
      <c r="N69">
        <v>27</v>
      </c>
      <c r="O69" t="str">
        <f t="shared" si="1"/>
        <v>Employed &gt;2 Years</v>
      </c>
    </row>
    <row r="70" spans="1:15" x14ac:dyDescent="0.25">
      <c r="A70" t="s">
        <v>149</v>
      </c>
      <c r="B70" t="s">
        <v>150</v>
      </c>
      <c r="C70" s="1">
        <v>45774</v>
      </c>
      <c r="D70" t="s">
        <v>17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18</v>
      </c>
      <c r="K70">
        <v>100</v>
      </c>
      <c r="L70">
        <v>1</v>
      </c>
      <c r="M70" t="str">
        <v>Full-Time</v>
      </c>
      <c r="N70">
        <v>17</v>
      </c>
      <c r="O70" t="str">
        <f t="shared" si="1"/>
        <v>Employed &gt;2 Years</v>
      </c>
    </row>
    <row r="71" spans="1:15" x14ac:dyDescent="0.25">
      <c r="A71" t="s">
        <v>151</v>
      </c>
      <c r="B71" t="s">
        <v>152</v>
      </c>
      <c r="C71" s="1">
        <v>45833</v>
      </c>
      <c r="D71" t="s">
        <v>17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62</v>
      </c>
      <c r="K71">
        <v>0</v>
      </c>
      <c r="L71">
        <v>0</v>
      </c>
      <c r="M71" t="str">
        <v>Full-Time</v>
      </c>
      <c r="N71">
        <v>25</v>
      </c>
      <c r="O71" t="str">
        <f t="shared" si="1"/>
        <v>Employed &gt;2 Years</v>
      </c>
    </row>
    <row r="72" spans="1:15" x14ac:dyDescent="0.25">
      <c r="A72" t="s">
        <v>153</v>
      </c>
      <c r="B72" t="s">
        <v>154</v>
      </c>
      <c r="C72" s="1">
        <v>45654</v>
      </c>
      <c r="D72" t="s">
        <v>24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27</v>
      </c>
      <c r="K72">
        <v>0</v>
      </c>
      <c r="L72">
        <v>0</v>
      </c>
      <c r="M72" t="str">
        <v>Contract</v>
      </c>
      <c r="N72">
        <v>5</v>
      </c>
      <c r="O72" t="str">
        <f t="shared" si="1"/>
        <v>Employed &gt;2 Years</v>
      </c>
    </row>
    <row r="73" spans="1:15" x14ac:dyDescent="0.25">
      <c r="A73" t="s">
        <v>155</v>
      </c>
      <c r="B73" t="s">
        <v>154</v>
      </c>
      <c r="C73" s="1">
        <v>45589</v>
      </c>
      <c r="D73" t="s">
        <v>14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27</v>
      </c>
      <c r="K73">
        <v>0</v>
      </c>
      <c r="L73">
        <v>0</v>
      </c>
      <c r="M73" t="str">
        <v>Contract</v>
      </c>
      <c r="N73">
        <v>5</v>
      </c>
      <c r="O73" t="str">
        <f t="shared" si="1"/>
        <v>Employed &gt;2 Years</v>
      </c>
    </row>
    <row r="74" spans="1:15" x14ac:dyDescent="0.25">
      <c r="A74" t="s">
        <v>156</v>
      </c>
      <c r="B74" t="s">
        <v>157</v>
      </c>
      <c r="C74" s="1">
        <v>45715</v>
      </c>
      <c r="D74" t="s">
        <v>36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18</v>
      </c>
      <c r="K74">
        <v>119</v>
      </c>
      <c r="L74">
        <v>1</v>
      </c>
      <c r="M74" t="str">
        <v>Full-Time</v>
      </c>
      <c r="N74">
        <v>8</v>
      </c>
      <c r="O74" t="str">
        <f t="shared" si="1"/>
        <v>Employed &gt;2 Years</v>
      </c>
    </row>
    <row r="75" spans="1:15" x14ac:dyDescent="0.25">
      <c r="A75" t="s">
        <v>158</v>
      </c>
      <c r="B75" t="s">
        <v>159</v>
      </c>
      <c r="C75" s="1">
        <v>45361</v>
      </c>
      <c r="D75" t="s">
        <v>38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27</v>
      </c>
      <c r="K75">
        <v>0</v>
      </c>
      <c r="L75">
        <v>0</v>
      </c>
      <c r="M75" t="str">
        <v>Full-Time</v>
      </c>
      <c r="N75">
        <v>14</v>
      </c>
      <c r="O75" t="str">
        <f t="shared" si="1"/>
        <v>Employed &gt;2 Years</v>
      </c>
    </row>
    <row r="76" spans="1:15" x14ac:dyDescent="0.25">
      <c r="A76" t="s">
        <v>160</v>
      </c>
      <c r="B76" t="s">
        <v>161</v>
      </c>
      <c r="C76" s="1">
        <v>45471</v>
      </c>
      <c r="D76" t="s">
        <v>30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18</v>
      </c>
      <c r="K76">
        <v>116</v>
      </c>
      <c r="L76">
        <v>1</v>
      </c>
      <c r="M76" t="str">
        <v>Full-Time</v>
      </c>
      <c r="N76">
        <v>1</v>
      </c>
      <c r="O76" t="str">
        <f t="shared" si="1"/>
        <v>Employed &lt;2 Years</v>
      </c>
    </row>
    <row r="77" spans="1:15" x14ac:dyDescent="0.25">
      <c r="A77" t="s">
        <v>162</v>
      </c>
      <c r="B77" t="s">
        <v>163</v>
      </c>
      <c r="C77" s="1">
        <v>45763</v>
      </c>
      <c r="D77" t="s">
        <v>14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27</v>
      </c>
      <c r="K77">
        <v>0</v>
      </c>
      <c r="L77">
        <v>0</v>
      </c>
      <c r="M77" t="str">
        <v>Self-Employed</v>
      </c>
      <c r="N77">
        <v>7</v>
      </c>
      <c r="O77" t="str">
        <f t="shared" si="1"/>
        <v>Employed &gt;2 Years</v>
      </c>
    </row>
    <row r="78" spans="1:15" x14ac:dyDescent="0.25">
      <c r="A78" t="s">
        <v>164</v>
      </c>
      <c r="B78" t="s">
        <v>163</v>
      </c>
      <c r="C78" s="1">
        <v>45615</v>
      </c>
      <c r="D78" t="s">
        <v>17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27</v>
      </c>
      <c r="K78">
        <v>0</v>
      </c>
      <c r="L78">
        <v>0</v>
      </c>
      <c r="M78" t="str">
        <v>Self-Employed</v>
      </c>
      <c r="N78">
        <v>7</v>
      </c>
      <c r="O78" t="str">
        <f t="shared" si="1"/>
        <v>Employed &gt;2 Years</v>
      </c>
    </row>
    <row r="79" spans="1:15" x14ac:dyDescent="0.25">
      <c r="A79" t="s">
        <v>165</v>
      </c>
      <c r="B79" t="s">
        <v>166</v>
      </c>
      <c r="C79" s="1">
        <v>45676</v>
      </c>
      <c r="D79" t="s">
        <v>30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27</v>
      </c>
      <c r="K79">
        <v>0</v>
      </c>
      <c r="L79">
        <v>0</v>
      </c>
      <c r="M79" t="str">
        <v>Part-Time</v>
      </c>
      <c r="N79">
        <v>3</v>
      </c>
      <c r="O79" t="str">
        <f t="shared" si="1"/>
        <v>Employed &gt;2 Years</v>
      </c>
    </row>
    <row r="80" spans="1:15" x14ac:dyDescent="0.25">
      <c r="A80" t="s">
        <v>167</v>
      </c>
      <c r="B80" t="s">
        <v>168</v>
      </c>
      <c r="C80" s="1">
        <v>45614</v>
      </c>
      <c r="D80" t="s">
        <v>47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27</v>
      </c>
      <c r="K80">
        <v>0</v>
      </c>
      <c r="L80">
        <v>0</v>
      </c>
      <c r="M80" t="str">
        <v>Self-Employed</v>
      </c>
      <c r="N80">
        <v>7</v>
      </c>
      <c r="O80" t="str">
        <f t="shared" si="1"/>
        <v>Employed &gt;2 Years</v>
      </c>
    </row>
    <row r="81" spans="1:15" x14ac:dyDescent="0.25">
      <c r="A81" t="s">
        <v>169</v>
      </c>
      <c r="B81" t="s">
        <v>170</v>
      </c>
      <c r="C81" s="1">
        <v>45471</v>
      </c>
      <c r="D81" t="s">
        <v>30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18</v>
      </c>
      <c r="K81">
        <v>39</v>
      </c>
      <c r="L81">
        <v>1</v>
      </c>
      <c r="M81" t="str">
        <v>Full-Time</v>
      </c>
      <c r="N81">
        <v>27</v>
      </c>
      <c r="O81" t="str">
        <f t="shared" si="1"/>
        <v>Employed &gt;2 Years</v>
      </c>
    </row>
    <row r="82" spans="1:15" x14ac:dyDescent="0.25">
      <c r="A82" t="s">
        <v>171</v>
      </c>
      <c r="B82" t="s">
        <v>170</v>
      </c>
      <c r="C82" s="1">
        <v>45804</v>
      </c>
      <c r="D82" t="s">
        <v>38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18</v>
      </c>
      <c r="K82">
        <v>117</v>
      </c>
      <c r="L82">
        <v>1</v>
      </c>
      <c r="M82" t="str">
        <v>Full-Time</v>
      </c>
      <c r="N82">
        <v>27</v>
      </c>
      <c r="O82" t="str">
        <f t="shared" si="1"/>
        <v>Employed &gt;2 Years</v>
      </c>
    </row>
    <row r="83" spans="1:15" x14ac:dyDescent="0.25">
      <c r="A83" t="s">
        <v>172</v>
      </c>
      <c r="B83" t="s">
        <v>173</v>
      </c>
      <c r="C83" s="1">
        <v>45820</v>
      </c>
      <c r="D83" t="s">
        <v>21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15</v>
      </c>
      <c r="K83">
        <v>0</v>
      </c>
      <c r="L83">
        <v>0</v>
      </c>
      <c r="M83" t="str">
        <v>Full-Time</v>
      </c>
      <c r="N83">
        <v>33</v>
      </c>
      <c r="O83" t="str">
        <f t="shared" si="1"/>
        <v>Employed &gt;2 Years</v>
      </c>
    </row>
    <row r="84" spans="1:15" x14ac:dyDescent="0.25">
      <c r="A84" t="s">
        <v>174</v>
      </c>
      <c r="B84" t="s">
        <v>173</v>
      </c>
      <c r="C84" s="1">
        <v>45337</v>
      </c>
      <c r="D84" t="s">
        <v>14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27</v>
      </c>
      <c r="K84">
        <v>0</v>
      </c>
      <c r="L84">
        <v>0</v>
      </c>
      <c r="M84" t="str">
        <v>Full-Time</v>
      </c>
      <c r="N84">
        <v>33</v>
      </c>
      <c r="O84" t="str">
        <f t="shared" si="1"/>
        <v>Employed &gt;2 Years</v>
      </c>
    </row>
    <row r="85" spans="1:15" x14ac:dyDescent="0.25">
      <c r="A85" t="s">
        <v>175</v>
      </c>
      <c r="B85" t="s">
        <v>176</v>
      </c>
      <c r="C85" s="1">
        <v>45611</v>
      </c>
      <c r="D85" t="s">
        <v>41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27</v>
      </c>
      <c r="K85">
        <v>0</v>
      </c>
      <c r="L85">
        <v>0</v>
      </c>
      <c r="M85" t="str">
        <v>Contract</v>
      </c>
      <c r="N85">
        <v>15</v>
      </c>
      <c r="O85" t="str">
        <f t="shared" si="1"/>
        <v>Employed &gt;2 Years</v>
      </c>
    </row>
    <row r="86" spans="1:15" x14ac:dyDescent="0.25">
      <c r="A86" t="s">
        <v>177</v>
      </c>
      <c r="B86" t="s">
        <v>178</v>
      </c>
      <c r="C86" s="1">
        <v>45453</v>
      </c>
      <c r="D86" t="s">
        <v>21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62</v>
      </c>
      <c r="K86">
        <v>0</v>
      </c>
      <c r="L86">
        <v>0</v>
      </c>
      <c r="M86" t="str">
        <v>Self-Employed</v>
      </c>
      <c r="N86">
        <v>20</v>
      </c>
      <c r="O86" t="str">
        <f t="shared" si="1"/>
        <v>Employed &gt;2 Years</v>
      </c>
    </row>
    <row r="87" spans="1:15" x14ac:dyDescent="0.25">
      <c r="A87" t="s">
        <v>179</v>
      </c>
      <c r="B87" t="s">
        <v>180</v>
      </c>
      <c r="C87" s="1">
        <v>45582</v>
      </c>
      <c r="D87" t="s">
        <v>38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27</v>
      </c>
      <c r="K87">
        <v>0</v>
      </c>
      <c r="L87">
        <v>0</v>
      </c>
      <c r="M87" t="str">
        <v>Self-Employed</v>
      </c>
      <c r="N87">
        <v>16</v>
      </c>
      <c r="O87" t="str">
        <f t="shared" si="1"/>
        <v>Employed &gt;2 Years</v>
      </c>
    </row>
    <row r="88" spans="1:15" x14ac:dyDescent="0.25">
      <c r="A88" t="s">
        <v>181</v>
      </c>
      <c r="B88" t="s">
        <v>182</v>
      </c>
      <c r="C88" s="1">
        <v>45343</v>
      </c>
      <c r="D88" t="s">
        <v>21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27</v>
      </c>
      <c r="K88">
        <v>0</v>
      </c>
      <c r="L88">
        <v>0</v>
      </c>
      <c r="M88" t="str">
        <v>Self-Employed</v>
      </c>
      <c r="N88">
        <v>28</v>
      </c>
      <c r="O88" t="str">
        <f t="shared" si="1"/>
        <v>Employed &gt;2 Years</v>
      </c>
    </row>
    <row r="89" spans="1:15" x14ac:dyDescent="0.25">
      <c r="A89" t="s">
        <v>183</v>
      </c>
      <c r="B89" t="s">
        <v>182</v>
      </c>
      <c r="C89" s="1">
        <v>45611</v>
      </c>
      <c r="D89" t="s">
        <v>33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15</v>
      </c>
      <c r="K89">
        <v>0</v>
      </c>
      <c r="L89">
        <v>0</v>
      </c>
      <c r="M89" t="str">
        <v>Self-Employed</v>
      </c>
      <c r="N89">
        <v>28</v>
      </c>
      <c r="O89" t="str">
        <f t="shared" si="1"/>
        <v>Employed &gt;2 Years</v>
      </c>
    </row>
    <row r="90" spans="1:15" x14ac:dyDescent="0.25">
      <c r="A90" t="s">
        <v>184</v>
      </c>
      <c r="B90" t="s">
        <v>185</v>
      </c>
      <c r="C90" s="1">
        <v>45387</v>
      </c>
      <c r="D90" t="s">
        <v>36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62</v>
      </c>
      <c r="K90">
        <v>15</v>
      </c>
      <c r="L90">
        <v>0</v>
      </c>
      <c r="M90" t="str">
        <v>Part-Time</v>
      </c>
      <c r="N90">
        <v>11</v>
      </c>
      <c r="O90" t="str">
        <f t="shared" si="1"/>
        <v>Employed &gt;2 Years</v>
      </c>
    </row>
    <row r="91" spans="1:15" x14ac:dyDescent="0.25">
      <c r="A91" t="s">
        <v>186</v>
      </c>
      <c r="B91" t="s">
        <v>185</v>
      </c>
      <c r="C91" s="1">
        <v>45521</v>
      </c>
      <c r="D91" t="s">
        <v>14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62</v>
      </c>
      <c r="K91">
        <v>15</v>
      </c>
      <c r="L91">
        <v>0</v>
      </c>
      <c r="M91" t="str">
        <v>Part-Time</v>
      </c>
      <c r="N91">
        <v>11</v>
      </c>
      <c r="O91" t="str">
        <f t="shared" si="1"/>
        <v>Employed &gt;2 Years</v>
      </c>
    </row>
    <row r="92" spans="1:15" x14ac:dyDescent="0.25">
      <c r="A92" t="s">
        <v>187</v>
      </c>
      <c r="B92" t="s">
        <v>188</v>
      </c>
      <c r="C92" s="1">
        <v>45322</v>
      </c>
      <c r="D92" t="s">
        <v>33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18</v>
      </c>
      <c r="K92">
        <v>58</v>
      </c>
      <c r="L92">
        <v>1</v>
      </c>
      <c r="M92" t="str">
        <v>Full-Time</v>
      </c>
      <c r="N92">
        <v>20</v>
      </c>
      <c r="O92" t="str">
        <f t="shared" si="1"/>
        <v>Employed &gt;2 Years</v>
      </c>
    </row>
    <row r="93" spans="1:15" x14ac:dyDescent="0.25">
      <c r="A93" t="s">
        <v>189</v>
      </c>
      <c r="B93" t="s">
        <v>190</v>
      </c>
      <c r="C93" s="1">
        <v>45422</v>
      </c>
      <c r="D93" t="s">
        <v>14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15</v>
      </c>
      <c r="K93">
        <v>0</v>
      </c>
      <c r="L93">
        <v>0</v>
      </c>
      <c r="M93" t="str">
        <v>Full-Time</v>
      </c>
      <c r="N93">
        <v>9</v>
      </c>
      <c r="O93" t="str">
        <f t="shared" si="1"/>
        <v>Employed &gt;2 Years</v>
      </c>
    </row>
    <row r="94" spans="1:15" x14ac:dyDescent="0.25">
      <c r="A94" t="s">
        <v>191</v>
      </c>
      <c r="B94" t="s">
        <v>192</v>
      </c>
      <c r="C94" s="1">
        <v>45715</v>
      </c>
      <c r="D94" t="s">
        <v>21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18</v>
      </c>
      <c r="K94">
        <v>92</v>
      </c>
      <c r="L94">
        <v>1</v>
      </c>
      <c r="M94" t="str">
        <v>Full-Time</v>
      </c>
      <c r="N94">
        <v>1</v>
      </c>
      <c r="O94" t="str">
        <f t="shared" si="1"/>
        <v>Employed &lt;2 Years</v>
      </c>
    </row>
    <row r="95" spans="1:15" x14ac:dyDescent="0.25">
      <c r="A95" t="s">
        <v>193</v>
      </c>
      <c r="B95" t="s">
        <v>194</v>
      </c>
      <c r="C95" s="1">
        <v>45737</v>
      </c>
      <c r="D95" t="s">
        <v>14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62</v>
      </c>
      <c r="K95">
        <v>0</v>
      </c>
      <c r="L95">
        <v>0</v>
      </c>
      <c r="M95" t="str">
        <v>Full-Time</v>
      </c>
      <c r="N95">
        <v>18</v>
      </c>
      <c r="O95" t="str">
        <f t="shared" si="1"/>
        <v>Employed &gt;2 Years</v>
      </c>
    </row>
    <row r="96" spans="1:15" x14ac:dyDescent="0.25">
      <c r="A96" t="s">
        <v>195</v>
      </c>
      <c r="B96" t="s">
        <v>196</v>
      </c>
      <c r="C96" s="1">
        <v>45766</v>
      </c>
      <c r="D96" t="s">
        <v>36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27</v>
      </c>
      <c r="K96">
        <v>0</v>
      </c>
      <c r="L96">
        <v>0</v>
      </c>
      <c r="M96" t="str">
        <v>Full-Time</v>
      </c>
      <c r="N96">
        <v>15</v>
      </c>
      <c r="O96" t="str">
        <f t="shared" si="1"/>
        <v>Employed &gt;2 Years</v>
      </c>
    </row>
    <row r="97" spans="1:15" x14ac:dyDescent="0.25">
      <c r="A97" t="s">
        <v>197</v>
      </c>
      <c r="B97" t="s">
        <v>198</v>
      </c>
      <c r="C97" s="1">
        <v>45680</v>
      </c>
      <c r="D97" t="s">
        <v>17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27</v>
      </c>
      <c r="K97">
        <v>0</v>
      </c>
      <c r="L97">
        <v>0</v>
      </c>
      <c r="M97" t="str">
        <v>Full-Time</v>
      </c>
      <c r="N97">
        <v>26</v>
      </c>
      <c r="O97" t="str">
        <f t="shared" si="1"/>
        <v>Employed &gt;2 Years</v>
      </c>
    </row>
    <row r="98" spans="1:15" x14ac:dyDescent="0.25">
      <c r="A98" t="s">
        <v>199</v>
      </c>
      <c r="B98" t="s">
        <v>200</v>
      </c>
      <c r="C98" s="1">
        <v>45444</v>
      </c>
      <c r="D98" t="s">
        <v>33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62</v>
      </c>
      <c r="K98">
        <v>0</v>
      </c>
      <c r="L98">
        <v>0</v>
      </c>
      <c r="M98" t="str">
        <v>Full-Time</v>
      </c>
      <c r="N98">
        <v>9</v>
      </c>
      <c r="O98" t="str">
        <f t="shared" si="1"/>
        <v>Employed &gt;2 Years</v>
      </c>
    </row>
    <row r="99" spans="1:15" x14ac:dyDescent="0.25">
      <c r="A99" t="s">
        <v>201</v>
      </c>
      <c r="B99" t="s">
        <v>202</v>
      </c>
      <c r="C99" s="1">
        <v>45603</v>
      </c>
      <c r="D99" t="s">
        <v>38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62</v>
      </c>
      <c r="K99">
        <v>15</v>
      </c>
      <c r="L99">
        <v>0</v>
      </c>
      <c r="M99" t="str">
        <v>Full-Time</v>
      </c>
      <c r="N99">
        <v>5</v>
      </c>
      <c r="O99" t="str">
        <f t="shared" si="1"/>
        <v>Employed &gt;2 Years</v>
      </c>
    </row>
    <row r="100" spans="1:15" x14ac:dyDescent="0.25">
      <c r="A100" t="s">
        <v>203</v>
      </c>
      <c r="B100" t="s">
        <v>204</v>
      </c>
      <c r="C100" s="1">
        <v>45422</v>
      </c>
      <c r="D100" t="s">
        <v>36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15</v>
      </c>
      <c r="K100">
        <v>0</v>
      </c>
      <c r="L100">
        <v>0</v>
      </c>
      <c r="M100" t="str">
        <v>Full-Time</v>
      </c>
      <c r="N100">
        <v>29</v>
      </c>
      <c r="O100" t="str">
        <f t="shared" si="1"/>
        <v>Employed &gt;2 Years</v>
      </c>
    </row>
    <row r="101" spans="1:15" x14ac:dyDescent="0.25">
      <c r="A101" t="s">
        <v>205</v>
      </c>
      <c r="B101" t="s">
        <v>204</v>
      </c>
      <c r="C101" s="1">
        <v>45580</v>
      </c>
      <c r="D101" t="s">
        <v>41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15</v>
      </c>
      <c r="K101">
        <v>0</v>
      </c>
      <c r="L101">
        <v>0</v>
      </c>
      <c r="M101" t="str">
        <v>Full-Time</v>
      </c>
      <c r="N101">
        <v>29</v>
      </c>
      <c r="O101" t="str">
        <f t="shared" si="1"/>
        <v>Employed &gt;2 Years</v>
      </c>
    </row>
    <row r="102" spans="1:15" x14ac:dyDescent="0.25">
      <c r="A102" t="s">
        <v>206</v>
      </c>
      <c r="B102" t="s">
        <v>207</v>
      </c>
      <c r="C102" s="1">
        <v>45469</v>
      </c>
      <c r="D102" t="s">
        <v>30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18</v>
      </c>
      <c r="K102">
        <v>78</v>
      </c>
      <c r="L102">
        <v>1</v>
      </c>
      <c r="M102" t="str">
        <v>Contract</v>
      </c>
      <c r="N102">
        <v>34</v>
      </c>
      <c r="O102" t="str">
        <f t="shared" si="1"/>
        <v>Employed &gt;2 Years</v>
      </c>
    </row>
    <row r="103" spans="1:15" x14ac:dyDescent="0.25">
      <c r="A103" t="s">
        <v>208</v>
      </c>
      <c r="B103" t="s">
        <v>209</v>
      </c>
      <c r="C103" s="1">
        <v>45365</v>
      </c>
      <c r="D103" t="s">
        <v>30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15</v>
      </c>
      <c r="K103">
        <v>0</v>
      </c>
      <c r="L103">
        <v>0</v>
      </c>
      <c r="M103" t="str">
        <v>Self-Employed</v>
      </c>
      <c r="N103">
        <v>2</v>
      </c>
      <c r="O103" t="str">
        <f t="shared" si="1"/>
        <v>Employed &gt;2 Years</v>
      </c>
    </row>
    <row r="104" spans="1:15" x14ac:dyDescent="0.25">
      <c r="A104" t="s">
        <v>210</v>
      </c>
      <c r="B104" t="s">
        <v>211</v>
      </c>
      <c r="C104" s="1">
        <v>45727</v>
      </c>
      <c r="D104" t="s">
        <v>33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27</v>
      </c>
      <c r="K104">
        <v>0</v>
      </c>
      <c r="L104">
        <v>0</v>
      </c>
      <c r="M104" t="str">
        <v>Full-Time</v>
      </c>
      <c r="N104">
        <v>13</v>
      </c>
      <c r="O104" t="str">
        <f t="shared" si="1"/>
        <v>Employed &gt;2 Years</v>
      </c>
    </row>
    <row r="105" spans="1:15" x14ac:dyDescent="0.25">
      <c r="A105" t="s">
        <v>212</v>
      </c>
      <c r="B105" t="s">
        <v>213</v>
      </c>
      <c r="C105" s="1">
        <v>45802</v>
      </c>
      <c r="D105" t="s">
        <v>17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27</v>
      </c>
      <c r="K105">
        <v>0</v>
      </c>
      <c r="L105">
        <v>0</v>
      </c>
      <c r="M105" t="str">
        <v>Part-Time</v>
      </c>
      <c r="N105">
        <v>2</v>
      </c>
      <c r="O105" t="str">
        <f t="shared" si="1"/>
        <v>Employed &gt;2 Years</v>
      </c>
    </row>
    <row r="106" spans="1:15" x14ac:dyDescent="0.25">
      <c r="A106" t="s">
        <v>214</v>
      </c>
      <c r="B106" t="s">
        <v>213</v>
      </c>
      <c r="C106" s="1">
        <v>45786</v>
      </c>
      <c r="D106" t="s">
        <v>17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27</v>
      </c>
      <c r="K106">
        <v>0</v>
      </c>
      <c r="L106">
        <v>0</v>
      </c>
      <c r="M106" t="str">
        <v>Part-Time</v>
      </c>
      <c r="N106">
        <v>2</v>
      </c>
      <c r="O106" t="str">
        <f t="shared" si="1"/>
        <v>Employed &gt;2 Years</v>
      </c>
    </row>
    <row r="107" spans="1:15" x14ac:dyDescent="0.25">
      <c r="A107" t="s">
        <v>215</v>
      </c>
      <c r="B107" t="s">
        <v>216</v>
      </c>
      <c r="C107" s="1">
        <v>45372</v>
      </c>
      <c r="D107" t="s">
        <v>33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27</v>
      </c>
      <c r="K107">
        <v>0</v>
      </c>
      <c r="L107">
        <v>0</v>
      </c>
      <c r="M107" t="str">
        <v>Part-Time</v>
      </c>
      <c r="N107">
        <v>2</v>
      </c>
      <c r="O107" t="str">
        <f t="shared" si="1"/>
        <v>Employed &gt;2 Years</v>
      </c>
    </row>
    <row r="108" spans="1:15" x14ac:dyDescent="0.25">
      <c r="A108" t="s">
        <v>217</v>
      </c>
      <c r="B108" t="s">
        <v>218</v>
      </c>
      <c r="C108" s="1">
        <v>45346</v>
      </c>
      <c r="D108" t="s">
        <v>36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27</v>
      </c>
      <c r="K108">
        <v>0</v>
      </c>
      <c r="L108">
        <v>0</v>
      </c>
      <c r="M108" t="str">
        <v>Self-Employed</v>
      </c>
      <c r="N108">
        <v>12</v>
      </c>
      <c r="O108" t="str">
        <f t="shared" si="1"/>
        <v>Employed &gt;2 Years</v>
      </c>
    </row>
    <row r="109" spans="1:15" x14ac:dyDescent="0.25">
      <c r="A109" t="s">
        <v>219</v>
      </c>
      <c r="B109" t="s">
        <v>220</v>
      </c>
      <c r="C109" s="1">
        <v>45593</v>
      </c>
      <c r="D109" t="s">
        <v>14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18</v>
      </c>
      <c r="K109">
        <v>39</v>
      </c>
      <c r="L109">
        <v>1</v>
      </c>
      <c r="M109" t="str">
        <v>Full-Time</v>
      </c>
      <c r="N109">
        <v>8</v>
      </c>
      <c r="O109" t="str">
        <f t="shared" si="1"/>
        <v>Employed &gt;2 Years</v>
      </c>
    </row>
    <row r="110" spans="1:15" x14ac:dyDescent="0.25">
      <c r="A110" t="s">
        <v>221</v>
      </c>
      <c r="B110" t="s">
        <v>222</v>
      </c>
      <c r="C110" s="1">
        <v>45776</v>
      </c>
      <c r="D110" t="s">
        <v>47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62</v>
      </c>
      <c r="K110">
        <v>0</v>
      </c>
      <c r="L110">
        <v>0</v>
      </c>
      <c r="M110" t="str">
        <v>Self-Employed</v>
      </c>
      <c r="N110">
        <v>8</v>
      </c>
      <c r="O110" t="str">
        <f t="shared" si="1"/>
        <v>Employed &gt;2 Years</v>
      </c>
    </row>
    <row r="111" spans="1:15" x14ac:dyDescent="0.25">
      <c r="A111" t="s">
        <v>223</v>
      </c>
      <c r="B111" t="s">
        <v>224</v>
      </c>
      <c r="C111" s="1">
        <v>45576</v>
      </c>
      <c r="D111" t="s">
        <v>47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18</v>
      </c>
      <c r="K111">
        <v>101</v>
      </c>
      <c r="L111">
        <v>1</v>
      </c>
      <c r="M111" t="str">
        <v>Part-Time</v>
      </c>
      <c r="N111">
        <v>2</v>
      </c>
      <c r="O111" t="str">
        <f t="shared" si="1"/>
        <v>Employed &gt;2 Years</v>
      </c>
    </row>
    <row r="112" spans="1:15" x14ac:dyDescent="0.25">
      <c r="A112" t="s">
        <v>225</v>
      </c>
      <c r="B112" t="s">
        <v>226</v>
      </c>
      <c r="C112" s="1">
        <v>45446</v>
      </c>
      <c r="D112" t="s">
        <v>24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27</v>
      </c>
      <c r="K112">
        <v>0</v>
      </c>
      <c r="L112">
        <v>0</v>
      </c>
      <c r="M112" t="str">
        <v>Full-Time</v>
      </c>
      <c r="N112">
        <v>4</v>
      </c>
      <c r="O112" t="str">
        <f t="shared" si="1"/>
        <v>Employed &gt;2 Years</v>
      </c>
    </row>
    <row r="113" spans="1:15" x14ac:dyDescent="0.25">
      <c r="A113" t="s">
        <v>227</v>
      </c>
      <c r="B113" t="s">
        <v>228</v>
      </c>
      <c r="C113" s="1">
        <v>45378</v>
      </c>
      <c r="D113" t="s">
        <v>38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15</v>
      </c>
      <c r="K113">
        <v>0</v>
      </c>
      <c r="L113">
        <v>0</v>
      </c>
      <c r="M113" t="str">
        <v>Part-Time</v>
      </c>
      <c r="N113">
        <v>32</v>
      </c>
      <c r="O113" t="str">
        <f t="shared" si="1"/>
        <v>Employed &gt;2 Years</v>
      </c>
    </row>
    <row r="114" spans="1:15" x14ac:dyDescent="0.25">
      <c r="A114" t="s">
        <v>229</v>
      </c>
      <c r="B114" t="s">
        <v>230</v>
      </c>
      <c r="C114" s="1">
        <v>45463</v>
      </c>
      <c r="D114" t="s">
        <v>17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18</v>
      </c>
      <c r="K114">
        <v>118</v>
      </c>
      <c r="L114">
        <v>1</v>
      </c>
      <c r="M114" t="str">
        <v>Self-Employed</v>
      </c>
      <c r="N114">
        <v>9</v>
      </c>
      <c r="O114" t="str">
        <f t="shared" si="1"/>
        <v>Employed &gt;2 Years</v>
      </c>
    </row>
    <row r="115" spans="1:15" x14ac:dyDescent="0.25">
      <c r="A115" t="s">
        <v>231</v>
      </c>
      <c r="B115" t="s">
        <v>230</v>
      </c>
      <c r="C115" s="1">
        <v>45767</v>
      </c>
      <c r="D115" t="s">
        <v>41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18</v>
      </c>
      <c r="K115">
        <v>107</v>
      </c>
      <c r="L115">
        <v>1</v>
      </c>
      <c r="M115" t="str">
        <v>Self-Employed</v>
      </c>
      <c r="N115">
        <v>9</v>
      </c>
      <c r="O115" t="str">
        <f t="shared" si="1"/>
        <v>Employed &gt;2 Years</v>
      </c>
    </row>
    <row r="116" spans="1:15" x14ac:dyDescent="0.25">
      <c r="A116" t="s">
        <v>232</v>
      </c>
      <c r="B116" t="s">
        <v>233</v>
      </c>
      <c r="C116" s="1">
        <v>45440</v>
      </c>
      <c r="D116" t="s">
        <v>21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27</v>
      </c>
      <c r="K116">
        <v>0</v>
      </c>
      <c r="L116">
        <v>0</v>
      </c>
      <c r="M116" t="str">
        <v>Full-Time</v>
      </c>
      <c r="N116">
        <v>24</v>
      </c>
      <c r="O116" t="str">
        <f t="shared" si="1"/>
        <v>Employed &gt;2 Years</v>
      </c>
    </row>
    <row r="117" spans="1:15" x14ac:dyDescent="0.25">
      <c r="A117" t="s">
        <v>234</v>
      </c>
      <c r="B117" t="s">
        <v>235</v>
      </c>
      <c r="C117" s="1">
        <v>45836</v>
      </c>
      <c r="D117" t="s">
        <v>17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62</v>
      </c>
      <c r="K117">
        <v>30</v>
      </c>
      <c r="L117">
        <v>0</v>
      </c>
      <c r="M117" t="str">
        <v>Full-Time</v>
      </c>
      <c r="N117">
        <v>10</v>
      </c>
      <c r="O117" t="str">
        <f t="shared" si="1"/>
        <v>Employed &gt;2 Years</v>
      </c>
    </row>
    <row r="118" spans="1:15" x14ac:dyDescent="0.25">
      <c r="A118" t="s">
        <v>236</v>
      </c>
      <c r="B118" t="s">
        <v>237</v>
      </c>
      <c r="C118" s="1">
        <v>45692</v>
      </c>
      <c r="D118" t="s">
        <v>24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27</v>
      </c>
      <c r="K118">
        <v>0</v>
      </c>
      <c r="L118">
        <v>0</v>
      </c>
      <c r="M118" t="str">
        <v>Self-Employed</v>
      </c>
      <c r="N118">
        <v>8</v>
      </c>
      <c r="O118" t="str">
        <f t="shared" si="1"/>
        <v>Employed &gt;2 Years</v>
      </c>
    </row>
    <row r="119" spans="1:15" x14ac:dyDescent="0.25">
      <c r="A119" t="s">
        <v>238</v>
      </c>
      <c r="B119" t="s">
        <v>237</v>
      </c>
      <c r="C119" s="1">
        <v>45302</v>
      </c>
      <c r="D119" t="s">
        <v>47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27</v>
      </c>
      <c r="K119">
        <v>0</v>
      </c>
      <c r="L119">
        <v>0</v>
      </c>
      <c r="M119" t="str">
        <v>Self-Employed</v>
      </c>
      <c r="N119">
        <v>8</v>
      </c>
      <c r="O119" t="str">
        <f t="shared" si="1"/>
        <v>Employed &gt;2 Years</v>
      </c>
    </row>
    <row r="120" spans="1:15" x14ac:dyDescent="0.25">
      <c r="A120" t="s">
        <v>239</v>
      </c>
      <c r="B120" t="s">
        <v>240</v>
      </c>
      <c r="C120" s="1">
        <v>45326</v>
      </c>
      <c r="D120" t="s">
        <v>36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18</v>
      </c>
      <c r="K120">
        <v>53</v>
      </c>
      <c r="L120">
        <v>1</v>
      </c>
      <c r="M120" t="str">
        <v>Contract</v>
      </c>
      <c r="N120">
        <v>13</v>
      </c>
      <c r="O120" t="str">
        <f t="shared" si="1"/>
        <v>Employed &gt;2 Years</v>
      </c>
    </row>
    <row r="121" spans="1:15" x14ac:dyDescent="0.25">
      <c r="A121" t="s">
        <v>241</v>
      </c>
      <c r="B121" t="s">
        <v>242</v>
      </c>
      <c r="C121" s="1">
        <v>45414</v>
      </c>
      <c r="D121" t="s">
        <v>47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18</v>
      </c>
      <c r="K121">
        <v>63</v>
      </c>
      <c r="L121">
        <v>1</v>
      </c>
      <c r="M121" t="str">
        <v>Self-Employed</v>
      </c>
      <c r="N121">
        <v>17</v>
      </c>
      <c r="O121" t="str">
        <f t="shared" si="1"/>
        <v>Employed &gt;2 Years</v>
      </c>
    </row>
    <row r="122" spans="1:15" x14ac:dyDescent="0.25">
      <c r="A122" t="s">
        <v>243</v>
      </c>
      <c r="B122" t="s">
        <v>244</v>
      </c>
      <c r="C122" s="1">
        <v>45551</v>
      </c>
      <c r="D122" t="s">
        <v>47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27</v>
      </c>
      <c r="K122">
        <v>0</v>
      </c>
      <c r="L122">
        <v>0</v>
      </c>
      <c r="M122" t="str">
        <v>Full-Time</v>
      </c>
      <c r="N122">
        <v>18</v>
      </c>
      <c r="O122" t="str">
        <f t="shared" si="1"/>
        <v>Employed &gt;2 Years</v>
      </c>
    </row>
    <row r="123" spans="1:15" x14ac:dyDescent="0.25">
      <c r="A123" t="s">
        <v>245</v>
      </c>
      <c r="B123" t="s">
        <v>246</v>
      </c>
      <c r="C123" s="1">
        <v>45367</v>
      </c>
      <c r="D123" t="s">
        <v>24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18</v>
      </c>
      <c r="K123">
        <v>45</v>
      </c>
      <c r="L123">
        <v>1</v>
      </c>
      <c r="M123" t="str">
        <v>Full-Time</v>
      </c>
      <c r="N123">
        <v>1</v>
      </c>
      <c r="O123" t="str">
        <f t="shared" si="1"/>
        <v>Employed &lt;2 Years</v>
      </c>
    </row>
    <row r="124" spans="1:15" x14ac:dyDescent="0.25">
      <c r="A124" t="s">
        <v>247</v>
      </c>
      <c r="B124" t="s">
        <v>248</v>
      </c>
      <c r="C124" s="1">
        <v>45363</v>
      </c>
      <c r="D124" t="s">
        <v>30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62</v>
      </c>
      <c r="K124">
        <v>15</v>
      </c>
      <c r="L124">
        <v>0</v>
      </c>
      <c r="M124" t="str">
        <v>Full-Time</v>
      </c>
      <c r="N124">
        <v>5</v>
      </c>
      <c r="O124" t="str">
        <f t="shared" si="1"/>
        <v>Employed &gt;2 Years</v>
      </c>
    </row>
    <row r="125" spans="1:15" x14ac:dyDescent="0.25">
      <c r="A125" t="s">
        <v>249</v>
      </c>
      <c r="B125" t="s">
        <v>250</v>
      </c>
      <c r="C125" s="1">
        <v>45400</v>
      </c>
      <c r="D125" t="s">
        <v>14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27</v>
      </c>
      <c r="K125">
        <v>0</v>
      </c>
      <c r="L125">
        <v>0</v>
      </c>
      <c r="M125" t="str">
        <v>Part-Time</v>
      </c>
      <c r="N125">
        <v>8</v>
      </c>
      <c r="O125" t="str">
        <f t="shared" si="1"/>
        <v>Employed &gt;2 Years</v>
      </c>
    </row>
    <row r="126" spans="1:15" x14ac:dyDescent="0.25">
      <c r="A126" t="s">
        <v>251</v>
      </c>
      <c r="B126" t="s">
        <v>252</v>
      </c>
      <c r="C126" s="1">
        <v>45444</v>
      </c>
      <c r="D126" t="s">
        <v>47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27</v>
      </c>
      <c r="K126">
        <v>0</v>
      </c>
      <c r="L126">
        <v>0</v>
      </c>
      <c r="M126" t="str">
        <v>Full-Time</v>
      </c>
      <c r="N126">
        <v>18</v>
      </c>
      <c r="O126" t="str">
        <f t="shared" si="1"/>
        <v>Employed &gt;2 Years</v>
      </c>
    </row>
    <row r="127" spans="1:15" x14ac:dyDescent="0.25">
      <c r="A127" t="s">
        <v>253</v>
      </c>
      <c r="B127" t="s">
        <v>254</v>
      </c>
      <c r="C127" s="1">
        <v>45794</v>
      </c>
      <c r="D127" t="s">
        <v>33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15</v>
      </c>
      <c r="K127">
        <v>0</v>
      </c>
      <c r="L127">
        <v>0</v>
      </c>
      <c r="M127" t="str">
        <v>Full-Time</v>
      </c>
      <c r="N127">
        <v>12</v>
      </c>
      <c r="O127" t="str">
        <f t="shared" si="1"/>
        <v>Employed &gt;2 Years</v>
      </c>
    </row>
    <row r="128" spans="1:15" x14ac:dyDescent="0.25">
      <c r="A128" t="s">
        <v>255</v>
      </c>
      <c r="B128" t="s">
        <v>256</v>
      </c>
      <c r="C128" s="1">
        <v>45659</v>
      </c>
      <c r="D128" t="s">
        <v>36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27</v>
      </c>
      <c r="K128">
        <v>0</v>
      </c>
      <c r="L128">
        <v>0</v>
      </c>
      <c r="M128" t="str">
        <v>Self-Employed</v>
      </c>
      <c r="N128">
        <v>0</v>
      </c>
      <c r="O128" t="str">
        <f t="shared" si="1"/>
        <v>Employed &lt;2 Years</v>
      </c>
    </row>
    <row r="129" spans="1:15" x14ac:dyDescent="0.25">
      <c r="A129" t="s">
        <v>257</v>
      </c>
      <c r="B129" t="s">
        <v>256</v>
      </c>
      <c r="C129" s="1">
        <v>45762</v>
      </c>
      <c r="D129" t="s">
        <v>36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27</v>
      </c>
      <c r="K129">
        <v>0</v>
      </c>
      <c r="L129">
        <v>0</v>
      </c>
      <c r="M129" t="str">
        <v>Self-Employed</v>
      </c>
      <c r="N129">
        <v>0</v>
      </c>
      <c r="O129" t="str">
        <f t="shared" si="1"/>
        <v>Employed &lt;2 Years</v>
      </c>
    </row>
    <row r="130" spans="1:15" x14ac:dyDescent="0.25">
      <c r="A130" t="s">
        <v>258</v>
      </c>
      <c r="B130" t="s">
        <v>259</v>
      </c>
      <c r="C130" s="1">
        <v>45659</v>
      </c>
      <c r="D130" t="s">
        <v>17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62</v>
      </c>
      <c r="K130">
        <v>15</v>
      </c>
      <c r="L130">
        <v>0</v>
      </c>
      <c r="M130" t="str">
        <v>Full-Time</v>
      </c>
      <c r="N130">
        <v>20</v>
      </c>
      <c r="O130" t="str">
        <f t="shared" si="1"/>
        <v>Employed &gt;2 Years</v>
      </c>
    </row>
    <row r="131" spans="1:15" x14ac:dyDescent="0.25">
      <c r="A131" t="s">
        <v>260</v>
      </c>
      <c r="B131" t="s">
        <v>261</v>
      </c>
      <c r="C131" s="1">
        <v>45690</v>
      </c>
      <c r="D131" t="s">
        <v>41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18</v>
      </c>
      <c r="K131">
        <v>168</v>
      </c>
      <c r="L131">
        <v>1</v>
      </c>
      <c r="M131" t="str">
        <v>Full-Time</v>
      </c>
      <c r="N131">
        <v>2</v>
      </c>
      <c r="O131" t="str">
        <f t="shared" ref="O131:O194" si="2">IF(N131&lt;2,"Employed &lt;2 Years","Employed &gt;2 Years")</f>
        <v>Employed &gt;2 Years</v>
      </c>
    </row>
    <row r="132" spans="1:15" x14ac:dyDescent="0.25">
      <c r="A132" t="s">
        <v>262</v>
      </c>
      <c r="B132" t="s">
        <v>263</v>
      </c>
      <c r="C132" s="1">
        <v>45308</v>
      </c>
      <c r="D132" t="s">
        <v>14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18</v>
      </c>
      <c r="K132">
        <v>44</v>
      </c>
      <c r="L132">
        <v>1</v>
      </c>
      <c r="M132" t="str">
        <v>Full-Time</v>
      </c>
      <c r="N132">
        <v>3</v>
      </c>
      <c r="O132" t="str">
        <f t="shared" si="2"/>
        <v>Employed &gt;2 Years</v>
      </c>
    </row>
    <row r="133" spans="1:15" x14ac:dyDescent="0.25">
      <c r="A133" t="s">
        <v>264</v>
      </c>
      <c r="B133" t="s">
        <v>265</v>
      </c>
      <c r="C133" s="1">
        <v>45444</v>
      </c>
      <c r="D133" t="s">
        <v>41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27</v>
      </c>
      <c r="K133">
        <v>0</v>
      </c>
      <c r="L133">
        <v>0</v>
      </c>
      <c r="M133" t="str">
        <v>Contract</v>
      </c>
      <c r="N133">
        <v>18</v>
      </c>
      <c r="O133" t="str">
        <f t="shared" si="2"/>
        <v>Employed &gt;2 Years</v>
      </c>
    </row>
    <row r="134" spans="1:15" x14ac:dyDescent="0.25">
      <c r="A134" t="s">
        <v>266</v>
      </c>
      <c r="B134" t="s">
        <v>267</v>
      </c>
      <c r="C134" s="1">
        <v>45425</v>
      </c>
      <c r="D134" t="s">
        <v>14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18</v>
      </c>
      <c r="K134">
        <v>42</v>
      </c>
      <c r="L134">
        <v>1</v>
      </c>
      <c r="M134" t="str">
        <v>Retired</v>
      </c>
      <c r="N134">
        <v>6</v>
      </c>
      <c r="O134" t="str">
        <f t="shared" si="2"/>
        <v>Employed &gt;2 Years</v>
      </c>
    </row>
    <row r="135" spans="1:15" x14ac:dyDescent="0.25">
      <c r="A135" t="s">
        <v>268</v>
      </c>
      <c r="B135" t="s">
        <v>269</v>
      </c>
      <c r="C135" s="1">
        <v>45400</v>
      </c>
      <c r="D135" t="s">
        <v>36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18</v>
      </c>
      <c r="K135">
        <v>86</v>
      </c>
      <c r="L135">
        <v>1</v>
      </c>
      <c r="M135" t="str">
        <v>Full-Time</v>
      </c>
      <c r="N135">
        <v>18</v>
      </c>
      <c r="O135" t="str">
        <f t="shared" si="2"/>
        <v>Employed &gt;2 Years</v>
      </c>
    </row>
    <row r="136" spans="1:15" x14ac:dyDescent="0.25">
      <c r="A136" t="s">
        <v>270</v>
      </c>
      <c r="B136" t="s">
        <v>269</v>
      </c>
      <c r="C136" s="1">
        <v>45432</v>
      </c>
      <c r="D136" t="s">
        <v>36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62</v>
      </c>
      <c r="K136">
        <v>30</v>
      </c>
      <c r="L136">
        <v>0</v>
      </c>
      <c r="M136" t="str">
        <v>Full-Time</v>
      </c>
      <c r="N136">
        <v>18</v>
      </c>
      <c r="O136" t="str">
        <f t="shared" si="2"/>
        <v>Employed &gt;2 Years</v>
      </c>
    </row>
    <row r="137" spans="1:15" x14ac:dyDescent="0.25">
      <c r="A137" t="s">
        <v>271</v>
      </c>
      <c r="B137" t="s">
        <v>272</v>
      </c>
      <c r="C137" s="1">
        <v>45464</v>
      </c>
      <c r="D137" t="s">
        <v>33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27</v>
      </c>
      <c r="K137">
        <v>0</v>
      </c>
      <c r="L137">
        <v>0</v>
      </c>
      <c r="M137" t="str">
        <v>Part-Time</v>
      </c>
      <c r="N137">
        <v>7</v>
      </c>
      <c r="O137" t="str">
        <f t="shared" si="2"/>
        <v>Employed &gt;2 Years</v>
      </c>
    </row>
    <row r="138" spans="1:15" x14ac:dyDescent="0.25">
      <c r="A138" t="s">
        <v>273</v>
      </c>
      <c r="B138" t="s">
        <v>274</v>
      </c>
      <c r="C138" s="1">
        <v>45453</v>
      </c>
      <c r="D138" t="s">
        <v>41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18</v>
      </c>
      <c r="K138">
        <v>154</v>
      </c>
      <c r="L138">
        <v>1</v>
      </c>
      <c r="M138" t="str">
        <v>Full-Time</v>
      </c>
      <c r="N138">
        <v>9</v>
      </c>
      <c r="O138" t="str">
        <f t="shared" si="2"/>
        <v>Employed &gt;2 Years</v>
      </c>
    </row>
    <row r="139" spans="1:15" x14ac:dyDescent="0.25">
      <c r="A139" t="s">
        <v>275</v>
      </c>
      <c r="B139" t="s">
        <v>274</v>
      </c>
      <c r="C139" s="1">
        <v>45582</v>
      </c>
      <c r="D139" t="s">
        <v>36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18</v>
      </c>
      <c r="K139">
        <v>151</v>
      </c>
      <c r="L139">
        <v>1</v>
      </c>
      <c r="M139" t="str">
        <v>Full-Time</v>
      </c>
      <c r="N139">
        <v>9</v>
      </c>
      <c r="O139" t="str">
        <f t="shared" si="2"/>
        <v>Employed &gt;2 Years</v>
      </c>
    </row>
    <row r="140" spans="1:15" x14ac:dyDescent="0.25">
      <c r="A140" t="s">
        <v>276</v>
      </c>
      <c r="B140" t="s">
        <v>277</v>
      </c>
      <c r="C140" s="1">
        <v>45470</v>
      </c>
      <c r="D140" t="s">
        <v>38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27</v>
      </c>
      <c r="K140">
        <v>0</v>
      </c>
      <c r="L140">
        <v>0</v>
      </c>
      <c r="M140" t="str">
        <v>Full-Time</v>
      </c>
      <c r="N140">
        <v>6</v>
      </c>
      <c r="O140" t="str">
        <f t="shared" si="2"/>
        <v>Employed &gt;2 Years</v>
      </c>
    </row>
    <row r="141" spans="1:15" x14ac:dyDescent="0.25">
      <c r="A141" t="s">
        <v>278</v>
      </c>
      <c r="B141" t="s">
        <v>279</v>
      </c>
      <c r="C141" s="1">
        <v>45533</v>
      </c>
      <c r="D141" t="s">
        <v>36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18</v>
      </c>
      <c r="K141">
        <v>165</v>
      </c>
      <c r="L141">
        <v>1</v>
      </c>
      <c r="M141" t="str">
        <v>Part-Time</v>
      </c>
      <c r="N141">
        <v>0</v>
      </c>
      <c r="O141" t="str">
        <f t="shared" si="2"/>
        <v>Employed &lt;2 Years</v>
      </c>
    </row>
    <row r="142" spans="1:15" x14ac:dyDescent="0.25">
      <c r="A142" t="s">
        <v>280</v>
      </c>
      <c r="B142" t="s">
        <v>281</v>
      </c>
      <c r="C142" s="1">
        <v>45767</v>
      </c>
      <c r="D142" t="s">
        <v>47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27</v>
      </c>
      <c r="K142">
        <v>0</v>
      </c>
      <c r="L142">
        <v>0</v>
      </c>
      <c r="M142" t="str">
        <v>Self-Employed</v>
      </c>
      <c r="N142">
        <v>11</v>
      </c>
      <c r="O142" t="str">
        <f t="shared" si="2"/>
        <v>Employed &gt;2 Years</v>
      </c>
    </row>
    <row r="143" spans="1:15" x14ac:dyDescent="0.25">
      <c r="A143" t="s">
        <v>282</v>
      </c>
      <c r="B143" t="s">
        <v>281</v>
      </c>
      <c r="C143" s="1">
        <v>45455</v>
      </c>
      <c r="D143" t="s">
        <v>38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62</v>
      </c>
      <c r="K143">
        <v>0</v>
      </c>
      <c r="L143">
        <v>0</v>
      </c>
      <c r="M143" t="str">
        <v>Self-Employed</v>
      </c>
      <c r="N143">
        <v>11</v>
      </c>
      <c r="O143" t="str">
        <f t="shared" si="2"/>
        <v>Employed &gt;2 Years</v>
      </c>
    </row>
    <row r="144" spans="1:15" x14ac:dyDescent="0.25">
      <c r="A144" t="s">
        <v>283</v>
      </c>
      <c r="B144" t="s">
        <v>284</v>
      </c>
      <c r="C144" s="1">
        <v>45345</v>
      </c>
      <c r="D144" t="s">
        <v>17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15</v>
      </c>
      <c r="K144">
        <v>0</v>
      </c>
      <c r="L144">
        <v>0</v>
      </c>
      <c r="M144" t="str">
        <v>Full-Time</v>
      </c>
      <c r="N144">
        <v>3</v>
      </c>
      <c r="O144" t="str">
        <f t="shared" si="2"/>
        <v>Employed &gt;2 Years</v>
      </c>
    </row>
    <row r="145" spans="1:15" x14ac:dyDescent="0.25">
      <c r="A145" t="s">
        <v>285</v>
      </c>
      <c r="B145" t="s">
        <v>286</v>
      </c>
      <c r="C145" s="1">
        <v>45625</v>
      </c>
      <c r="D145" t="s">
        <v>36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15</v>
      </c>
      <c r="K145">
        <v>0</v>
      </c>
      <c r="L145">
        <v>0</v>
      </c>
      <c r="M145" t="str">
        <v>Self-Employed</v>
      </c>
      <c r="N145">
        <v>7</v>
      </c>
      <c r="O145" t="str">
        <f t="shared" si="2"/>
        <v>Employed &gt;2 Years</v>
      </c>
    </row>
    <row r="146" spans="1:15" x14ac:dyDescent="0.25">
      <c r="A146" t="s">
        <v>287</v>
      </c>
      <c r="B146" t="s">
        <v>288</v>
      </c>
      <c r="C146" s="1">
        <v>45676</v>
      </c>
      <c r="D146" t="s">
        <v>36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27</v>
      </c>
      <c r="K146">
        <v>0</v>
      </c>
      <c r="L146">
        <v>0</v>
      </c>
      <c r="M146" t="str">
        <v>Full-Time</v>
      </c>
      <c r="N146">
        <v>5</v>
      </c>
      <c r="O146" t="str">
        <f t="shared" si="2"/>
        <v>Employed &gt;2 Years</v>
      </c>
    </row>
    <row r="147" spans="1:15" x14ac:dyDescent="0.25">
      <c r="A147" t="s">
        <v>289</v>
      </c>
      <c r="B147" t="s">
        <v>290</v>
      </c>
      <c r="C147" s="1">
        <v>45674</v>
      </c>
      <c r="D147" t="s">
        <v>17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18</v>
      </c>
      <c r="K147">
        <v>79</v>
      </c>
      <c r="L147">
        <v>1</v>
      </c>
      <c r="M147" t="str">
        <v>Full-Time</v>
      </c>
      <c r="N147">
        <v>13</v>
      </c>
      <c r="O147" t="str">
        <f t="shared" si="2"/>
        <v>Employed &gt;2 Years</v>
      </c>
    </row>
    <row r="148" spans="1:15" x14ac:dyDescent="0.25">
      <c r="A148" t="s">
        <v>291</v>
      </c>
      <c r="B148" t="s">
        <v>292</v>
      </c>
      <c r="C148" s="1">
        <v>45431</v>
      </c>
      <c r="D148" t="s">
        <v>24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18</v>
      </c>
      <c r="K148">
        <v>149</v>
      </c>
      <c r="L148">
        <v>1</v>
      </c>
      <c r="M148" t="str">
        <v>Full-Time</v>
      </c>
      <c r="N148">
        <v>1</v>
      </c>
      <c r="O148" t="str">
        <f t="shared" si="2"/>
        <v>Employed &lt;2 Years</v>
      </c>
    </row>
    <row r="149" spans="1:15" x14ac:dyDescent="0.25">
      <c r="A149" t="s">
        <v>293</v>
      </c>
      <c r="B149" t="s">
        <v>294</v>
      </c>
      <c r="C149" s="1">
        <v>45466</v>
      </c>
      <c r="D149" t="s">
        <v>33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27</v>
      </c>
      <c r="K149">
        <v>0</v>
      </c>
      <c r="L149">
        <v>0</v>
      </c>
      <c r="M149" t="str">
        <v>Full-Time</v>
      </c>
      <c r="N149">
        <v>27</v>
      </c>
      <c r="O149" t="str">
        <f t="shared" si="2"/>
        <v>Employed &gt;2 Years</v>
      </c>
    </row>
    <row r="150" spans="1:15" x14ac:dyDescent="0.25">
      <c r="A150" t="s">
        <v>295</v>
      </c>
      <c r="B150" t="s">
        <v>296</v>
      </c>
      <c r="C150" s="1">
        <v>45765</v>
      </c>
      <c r="D150" t="s">
        <v>21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15</v>
      </c>
      <c r="K150">
        <v>0</v>
      </c>
      <c r="L150">
        <v>0</v>
      </c>
      <c r="M150" t="str">
        <v>Full-Time</v>
      </c>
      <c r="N150">
        <v>5</v>
      </c>
      <c r="O150" t="str">
        <f t="shared" si="2"/>
        <v>Employed &gt;2 Years</v>
      </c>
    </row>
    <row r="151" spans="1:15" x14ac:dyDescent="0.25">
      <c r="A151" t="s">
        <v>297</v>
      </c>
      <c r="B151" t="s">
        <v>298</v>
      </c>
      <c r="C151" s="1">
        <v>45297</v>
      </c>
      <c r="D151" t="s">
        <v>30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15</v>
      </c>
      <c r="K151">
        <v>0</v>
      </c>
      <c r="L151">
        <v>0</v>
      </c>
      <c r="M151" t="str">
        <v>Self-Employed</v>
      </c>
      <c r="N151">
        <v>13</v>
      </c>
      <c r="O151" t="str">
        <f t="shared" si="2"/>
        <v>Employed &gt;2 Years</v>
      </c>
    </row>
    <row r="152" spans="1:15" x14ac:dyDescent="0.25">
      <c r="A152" t="s">
        <v>299</v>
      </c>
      <c r="B152" t="s">
        <v>300</v>
      </c>
      <c r="C152" s="1">
        <v>45392</v>
      </c>
      <c r="D152" t="s">
        <v>21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27</v>
      </c>
      <c r="K152">
        <v>0</v>
      </c>
      <c r="L152">
        <v>0</v>
      </c>
      <c r="M152" t="str">
        <v>Self-Employed</v>
      </c>
      <c r="N152">
        <v>16</v>
      </c>
      <c r="O152" t="str">
        <f t="shared" si="2"/>
        <v>Employed &gt;2 Years</v>
      </c>
    </row>
    <row r="153" spans="1:15" x14ac:dyDescent="0.25">
      <c r="A153" t="s">
        <v>301</v>
      </c>
      <c r="B153" t="s">
        <v>302</v>
      </c>
      <c r="C153" s="1">
        <v>45384</v>
      </c>
      <c r="D153" t="s">
        <v>17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18</v>
      </c>
      <c r="K153">
        <v>108</v>
      </c>
      <c r="L153">
        <v>1</v>
      </c>
      <c r="M153" t="str">
        <v>Full-Time</v>
      </c>
      <c r="N153">
        <v>2</v>
      </c>
      <c r="O153" t="str">
        <f t="shared" si="2"/>
        <v>Employed &gt;2 Years</v>
      </c>
    </row>
    <row r="154" spans="1:15" x14ac:dyDescent="0.25">
      <c r="A154" t="s">
        <v>303</v>
      </c>
      <c r="B154" t="s">
        <v>304</v>
      </c>
      <c r="C154" s="1">
        <v>45766</v>
      </c>
      <c r="D154" t="s">
        <v>14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62</v>
      </c>
      <c r="K154">
        <v>15</v>
      </c>
      <c r="L154">
        <v>0</v>
      </c>
      <c r="M154" t="str">
        <v>Full-Time</v>
      </c>
      <c r="N154">
        <v>3</v>
      </c>
      <c r="O154" t="str">
        <f t="shared" si="2"/>
        <v>Employed &gt;2 Years</v>
      </c>
    </row>
    <row r="155" spans="1:15" x14ac:dyDescent="0.25">
      <c r="A155" t="s">
        <v>305</v>
      </c>
      <c r="B155" t="s">
        <v>306</v>
      </c>
      <c r="C155" s="1">
        <v>45364</v>
      </c>
      <c r="D155" t="s">
        <v>30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18</v>
      </c>
      <c r="K155">
        <v>115</v>
      </c>
      <c r="L155">
        <v>1</v>
      </c>
      <c r="M155" t="str">
        <v>Self-Employed</v>
      </c>
      <c r="N155">
        <v>22</v>
      </c>
      <c r="O155" t="str">
        <f t="shared" si="2"/>
        <v>Employed &gt;2 Years</v>
      </c>
    </row>
    <row r="156" spans="1:15" x14ac:dyDescent="0.25">
      <c r="A156" t="s">
        <v>307</v>
      </c>
      <c r="B156" t="s">
        <v>308</v>
      </c>
      <c r="C156" s="1">
        <v>45504</v>
      </c>
      <c r="D156" t="s">
        <v>24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15</v>
      </c>
      <c r="K156">
        <v>0</v>
      </c>
      <c r="L156">
        <v>0</v>
      </c>
      <c r="M156" t="str">
        <v>Contract</v>
      </c>
      <c r="N156">
        <v>0</v>
      </c>
      <c r="O156" t="str">
        <f t="shared" si="2"/>
        <v>Employed &lt;2 Years</v>
      </c>
    </row>
    <row r="157" spans="1:15" x14ac:dyDescent="0.25">
      <c r="A157" t="s">
        <v>309</v>
      </c>
      <c r="B157" t="s">
        <v>310</v>
      </c>
      <c r="C157" s="1">
        <v>45405</v>
      </c>
      <c r="D157" t="s">
        <v>41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27</v>
      </c>
      <c r="K157">
        <v>0</v>
      </c>
      <c r="L157">
        <v>0</v>
      </c>
      <c r="M157" t="str">
        <v>Self-Employed</v>
      </c>
      <c r="N157">
        <v>0</v>
      </c>
      <c r="O157" t="str">
        <f t="shared" si="2"/>
        <v>Employed &lt;2 Years</v>
      </c>
    </row>
    <row r="158" spans="1:15" x14ac:dyDescent="0.25">
      <c r="A158" t="s">
        <v>311</v>
      </c>
      <c r="B158" t="s">
        <v>312</v>
      </c>
      <c r="C158" s="1">
        <v>45634</v>
      </c>
      <c r="D158" t="s">
        <v>21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27</v>
      </c>
      <c r="K158">
        <v>0</v>
      </c>
      <c r="L158">
        <v>0</v>
      </c>
      <c r="M158" t="str">
        <v>Retired</v>
      </c>
      <c r="N158">
        <v>3</v>
      </c>
      <c r="O158" t="str">
        <f t="shared" si="2"/>
        <v>Employed &gt;2 Years</v>
      </c>
    </row>
    <row r="159" spans="1:15" x14ac:dyDescent="0.25">
      <c r="A159" t="s">
        <v>313</v>
      </c>
      <c r="B159" t="s">
        <v>314</v>
      </c>
      <c r="C159" s="1">
        <v>45565</v>
      </c>
      <c r="D159" t="s">
        <v>47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27</v>
      </c>
      <c r="K159">
        <v>0</v>
      </c>
      <c r="L159">
        <v>0</v>
      </c>
      <c r="M159" t="str">
        <v>Retired</v>
      </c>
      <c r="N159">
        <v>9</v>
      </c>
      <c r="O159" t="str">
        <f t="shared" si="2"/>
        <v>Employed &gt;2 Years</v>
      </c>
    </row>
    <row r="160" spans="1:15" x14ac:dyDescent="0.25">
      <c r="A160" t="s">
        <v>315</v>
      </c>
      <c r="B160" t="s">
        <v>314</v>
      </c>
      <c r="C160" s="1">
        <v>45773</v>
      </c>
      <c r="D160" t="s">
        <v>30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27</v>
      </c>
      <c r="K160">
        <v>0</v>
      </c>
      <c r="L160">
        <v>0</v>
      </c>
      <c r="M160" t="str">
        <v>Retired</v>
      </c>
      <c r="N160">
        <v>9</v>
      </c>
      <c r="O160" t="str">
        <f t="shared" si="2"/>
        <v>Employed &gt;2 Years</v>
      </c>
    </row>
    <row r="161" spans="1:15" x14ac:dyDescent="0.25">
      <c r="A161" t="s">
        <v>316</v>
      </c>
      <c r="B161" t="s">
        <v>317</v>
      </c>
      <c r="C161" s="1">
        <v>45760</v>
      </c>
      <c r="D161" t="s">
        <v>47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18</v>
      </c>
      <c r="K161">
        <v>130</v>
      </c>
      <c r="L161">
        <v>1</v>
      </c>
      <c r="M161" t="str">
        <v>Full-Time</v>
      </c>
      <c r="N161">
        <v>6</v>
      </c>
      <c r="O161" t="str">
        <f t="shared" si="2"/>
        <v>Employed &gt;2 Years</v>
      </c>
    </row>
    <row r="162" spans="1:15" x14ac:dyDescent="0.25">
      <c r="A162" t="s">
        <v>318</v>
      </c>
      <c r="B162" t="s">
        <v>319</v>
      </c>
      <c r="C162" s="1">
        <v>45443</v>
      </c>
      <c r="D162" t="s">
        <v>24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62</v>
      </c>
      <c r="K162">
        <v>15</v>
      </c>
      <c r="L162">
        <v>0</v>
      </c>
      <c r="M162" t="str">
        <v>Full-Time</v>
      </c>
      <c r="N162">
        <v>14</v>
      </c>
      <c r="O162" t="str">
        <f t="shared" si="2"/>
        <v>Employed &gt;2 Years</v>
      </c>
    </row>
    <row r="163" spans="1:15" x14ac:dyDescent="0.25">
      <c r="A163" t="s">
        <v>320</v>
      </c>
      <c r="B163" t="s">
        <v>319</v>
      </c>
      <c r="C163" s="1">
        <v>45777</v>
      </c>
      <c r="D163" t="s">
        <v>41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62</v>
      </c>
      <c r="K163">
        <v>0</v>
      </c>
      <c r="L163">
        <v>0</v>
      </c>
      <c r="M163" t="str">
        <v>Full-Time</v>
      </c>
      <c r="N163">
        <v>14</v>
      </c>
      <c r="O163" t="str">
        <f t="shared" si="2"/>
        <v>Employed &gt;2 Years</v>
      </c>
    </row>
    <row r="164" spans="1:15" x14ac:dyDescent="0.25">
      <c r="A164" t="s">
        <v>321</v>
      </c>
      <c r="B164" t="s">
        <v>322</v>
      </c>
      <c r="C164" s="1">
        <v>45713</v>
      </c>
      <c r="D164" t="s">
        <v>36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15</v>
      </c>
      <c r="K164">
        <v>0</v>
      </c>
      <c r="L164">
        <v>0</v>
      </c>
      <c r="M164" t="str">
        <v>Self-Employed</v>
      </c>
      <c r="N164">
        <v>0</v>
      </c>
      <c r="O164" t="str">
        <f t="shared" si="2"/>
        <v>Employed &lt;2 Years</v>
      </c>
    </row>
    <row r="165" spans="1:15" x14ac:dyDescent="0.25">
      <c r="A165" t="s">
        <v>323</v>
      </c>
      <c r="B165" t="s">
        <v>324</v>
      </c>
      <c r="C165" s="1">
        <v>45605</v>
      </c>
      <c r="D165" t="s">
        <v>21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27</v>
      </c>
      <c r="K165">
        <v>0</v>
      </c>
      <c r="L165">
        <v>0</v>
      </c>
      <c r="M165" t="str">
        <v>Part-Time</v>
      </c>
      <c r="N165">
        <v>4</v>
      </c>
      <c r="O165" t="str">
        <f t="shared" si="2"/>
        <v>Employed &gt;2 Years</v>
      </c>
    </row>
    <row r="166" spans="1:15" x14ac:dyDescent="0.25">
      <c r="A166" t="s">
        <v>325</v>
      </c>
      <c r="B166" t="s">
        <v>326</v>
      </c>
      <c r="C166" s="1">
        <v>45456</v>
      </c>
      <c r="D166" t="s">
        <v>41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15</v>
      </c>
      <c r="K166">
        <v>0</v>
      </c>
      <c r="L166">
        <v>0</v>
      </c>
      <c r="M166" t="str">
        <v>Part-Time</v>
      </c>
      <c r="N166">
        <v>3</v>
      </c>
      <c r="O166" t="str">
        <f t="shared" si="2"/>
        <v>Employed &gt;2 Years</v>
      </c>
    </row>
    <row r="167" spans="1:15" x14ac:dyDescent="0.25">
      <c r="A167" t="s">
        <v>327</v>
      </c>
      <c r="B167" t="s">
        <v>326</v>
      </c>
      <c r="C167" s="1">
        <v>45743</v>
      </c>
      <c r="D167" t="s">
        <v>33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27</v>
      </c>
      <c r="K167">
        <v>0</v>
      </c>
      <c r="L167">
        <v>0</v>
      </c>
      <c r="M167" t="str">
        <v>Part-Time</v>
      </c>
      <c r="N167">
        <v>3</v>
      </c>
      <c r="O167" t="str">
        <f t="shared" si="2"/>
        <v>Employed &gt;2 Years</v>
      </c>
    </row>
    <row r="168" spans="1:15" x14ac:dyDescent="0.25">
      <c r="A168" t="s">
        <v>328</v>
      </c>
      <c r="B168" t="s">
        <v>329</v>
      </c>
      <c r="C168" s="1">
        <v>45458</v>
      </c>
      <c r="D168" t="s">
        <v>30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27</v>
      </c>
      <c r="K168">
        <v>0</v>
      </c>
      <c r="L168">
        <v>0</v>
      </c>
      <c r="M168" t="str">
        <v>Self-Employed</v>
      </c>
      <c r="N168">
        <v>6</v>
      </c>
      <c r="O168" t="str">
        <f t="shared" si="2"/>
        <v>Employed &gt;2 Years</v>
      </c>
    </row>
    <row r="169" spans="1:15" x14ac:dyDescent="0.25">
      <c r="A169" t="s">
        <v>330</v>
      </c>
      <c r="B169" t="s">
        <v>331</v>
      </c>
      <c r="C169" s="1">
        <v>45811</v>
      </c>
      <c r="D169" t="s">
        <v>33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18</v>
      </c>
      <c r="K169">
        <v>105</v>
      </c>
      <c r="L169">
        <v>1</v>
      </c>
      <c r="M169" t="str">
        <v>Full-Time</v>
      </c>
      <c r="N169">
        <v>16</v>
      </c>
      <c r="O169" t="str">
        <f t="shared" si="2"/>
        <v>Employed &gt;2 Years</v>
      </c>
    </row>
    <row r="170" spans="1:15" x14ac:dyDescent="0.25">
      <c r="A170" t="s">
        <v>332</v>
      </c>
      <c r="B170" t="s">
        <v>331</v>
      </c>
      <c r="C170" s="1">
        <v>45744</v>
      </c>
      <c r="D170" t="s">
        <v>14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18</v>
      </c>
      <c r="K170">
        <v>58</v>
      </c>
      <c r="L170">
        <v>1</v>
      </c>
      <c r="M170" t="str">
        <v>Full-Time</v>
      </c>
      <c r="N170">
        <v>16</v>
      </c>
      <c r="O170" t="str">
        <f t="shared" si="2"/>
        <v>Employed &gt;2 Years</v>
      </c>
    </row>
    <row r="171" spans="1:15" x14ac:dyDescent="0.25">
      <c r="A171" t="s">
        <v>333</v>
      </c>
      <c r="B171" t="s">
        <v>334</v>
      </c>
      <c r="C171" s="1">
        <v>45517</v>
      </c>
      <c r="D171" t="s">
        <v>41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27</v>
      </c>
      <c r="K171">
        <v>0</v>
      </c>
      <c r="L171">
        <v>0</v>
      </c>
      <c r="M171" t="str">
        <v>Retired</v>
      </c>
      <c r="N171">
        <v>7</v>
      </c>
      <c r="O171" t="str">
        <f t="shared" si="2"/>
        <v>Employed &gt;2 Years</v>
      </c>
    </row>
    <row r="172" spans="1:15" x14ac:dyDescent="0.25">
      <c r="A172" t="s">
        <v>335</v>
      </c>
      <c r="B172" t="s">
        <v>336</v>
      </c>
      <c r="C172" s="1">
        <v>45377</v>
      </c>
      <c r="D172" t="s">
        <v>47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62</v>
      </c>
      <c r="K172">
        <v>0</v>
      </c>
      <c r="L172">
        <v>0</v>
      </c>
      <c r="M172" t="str">
        <v>Retired</v>
      </c>
      <c r="N172">
        <v>28</v>
      </c>
      <c r="O172" t="str">
        <f t="shared" si="2"/>
        <v>Employed &gt;2 Years</v>
      </c>
    </row>
    <row r="173" spans="1:15" x14ac:dyDescent="0.25">
      <c r="A173" t="s">
        <v>337</v>
      </c>
      <c r="B173" t="s">
        <v>338</v>
      </c>
      <c r="C173" s="1">
        <v>45349</v>
      </c>
      <c r="D173" t="s">
        <v>21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27</v>
      </c>
      <c r="K173">
        <v>0</v>
      </c>
      <c r="L173">
        <v>0</v>
      </c>
      <c r="M173" t="str">
        <v>Retired</v>
      </c>
      <c r="N173">
        <v>4</v>
      </c>
      <c r="O173" t="str">
        <f t="shared" si="2"/>
        <v>Employed &gt;2 Years</v>
      </c>
    </row>
    <row r="174" spans="1:15" x14ac:dyDescent="0.25">
      <c r="A174" t="s">
        <v>339</v>
      </c>
      <c r="B174" t="s">
        <v>340</v>
      </c>
      <c r="C174" s="1">
        <v>45748</v>
      </c>
      <c r="D174" t="s">
        <v>30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15</v>
      </c>
      <c r="K174">
        <v>0</v>
      </c>
      <c r="L174">
        <v>0</v>
      </c>
      <c r="M174" t="str">
        <v>Full-Time</v>
      </c>
      <c r="N174">
        <v>0</v>
      </c>
      <c r="O174" t="str">
        <f t="shared" si="2"/>
        <v>Employed &lt;2 Years</v>
      </c>
    </row>
    <row r="175" spans="1:15" x14ac:dyDescent="0.25">
      <c r="A175" t="s">
        <v>341</v>
      </c>
      <c r="B175" t="s">
        <v>340</v>
      </c>
      <c r="C175" s="1">
        <v>45726</v>
      </c>
      <c r="D175" t="s">
        <v>14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15</v>
      </c>
      <c r="K175">
        <v>0</v>
      </c>
      <c r="L175">
        <v>0</v>
      </c>
      <c r="M175" t="str">
        <v>Full-Time</v>
      </c>
      <c r="N175">
        <v>0</v>
      </c>
      <c r="O175" t="str">
        <f t="shared" si="2"/>
        <v>Employed &lt;2 Years</v>
      </c>
    </row>
    <row r="176" spans="1:15" x14ac:dyDescent="0.25">
      <c r="A176" t="s">
        <v>342</v>
      </c>
      <c r="B176" t="s">
        <v>343</v>
      </c>
      <c r="C176" s="1">
        <v>45359</v>
      </c>
      <c r="D176" t="s">
        <v>33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27</v>
      </c>
      <c r="K176">
        <v>0</v>
      </c>
      <c r="L176">
        <v>0</v>
      </c>
      <c r="M176" t="str">
        <v>Full-Time</v>
      </c>
      <c r="N176">
        <v>0</v>
      </c>
      <c r="O176" t="str">
        <f t="shared" si="2"/>
        <v>Employed &lt;2 Years</v>
      </c>
    </row>
    <row r="177" spans="1:15" x14ac:dyDescent="0.25">
      <c r="A177" t="s">
        <v>344</v>
      </c>
      <c r="B177" t="s">
        <v>345</v>
      </c>
      <c r="C177" s="1">
        <v>45432</v>
      </c>
      <c r="D177" t="s">
        <v>24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18</v>
      </c>
      <c r="K177">
        <v>127</v>
      </c>
      <c r="L177">
        <v>1</v>
      </c>
      <c r="M177" t="str">
        <v>Full-Time</v>
      </c>
      <c r="N177">
        <v>21</v>
      </c>
      <c r="O177" t="str">
        <f t="shared" si="2"/>
        <v>Employed &gt;2 Years</v>
      </c>
    </row>
    <row r="178" spans="1:15" x14ac:dyDescent="0.25">
      <c r="A178" t="s">
        <v>346</v>
      </c>
      <c r="B178" t="s">
        <v>347</v>
      </c>
      <c r="C178" s="1">
        <v>45766</v>
      </c>
      <c r="D178" t="s">
        <v>14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27</v>
      </c>
      <c r="K178">
        <v>0</v>
      </c>
      <c r="L178">
        <v>0</v>
      </c>
      <c r="M178" t="str">
        <v>Retired</v>
      </c>
      <c r="N178">
        <v>5</v>
      </c>
      <c r="O178" t="str">
        <f t="shared" si="2"/>
        <v>Employed &gt;2 Years</v>
      </c>
    </row>
    <row r="179" spans="1:15" x14ac:dyDescent="0.25">
      <c r="A179" t="s">
        <v>348</v>
      </c>
      <c r="B179" t="s">
        <v>349</v>
      </c>
      <c r="C179" s="1">
        <v>45795</v>
      </c>
      <c r="D179" t="s">
        <v>14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27</v>
      </c>
      <c r="K179">
        <v>0</v>
      </c>
      <c r="L179">
        <v>0</v>
      </c>
      <c r="M179" t="str">
        <v>Full-Time</v>
      </c>
      <c r="N179">
        <v>2</v>
      </c>
      <c r="O179" t="str">
        <f t="shared" si="2"/>
        <v>Employed &gt;2 Years</v>
      </c>
    </row>
    <row r="180" spans="1:15" x14ac:dyDescent="0.25">
      <c r="A180" t="s">
        <v>350</v>
      </c>
      <c r="B180" t="s">
        <v>351</v>
      </c>
      <c r="C180" s="1">
        <v>45738</v>
      </c>
      <c r="D180" t="s">
        <v>14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27</v>
      </c>
      <c r="K180">
        <v>0</v>
      </c>
      <c r="L180">
        <v>0</v>
      </c>
      <c r="M180" t="str">
        <v>Retired</v>
      </c>
      <c r="N180">
        <v>21</v>
      </c>
      <c r="O180" t="str">
        <f t="shared" si="2"/>
        <v>Employed &gt;2 Years</v>
      </c>
    </row>
    <row r="181" spans="1:15" x14ac:dyDescent="0.25">
      <c r="A181" t="s">
        <v>352</v>
      </c>
      <c r="B181" t="s">
        <v>353</v>
      </c>
      <c r="C181" s="1">
        <v>45458</v>
      </c>
      <c r="D181" t="s">
        <v>36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27</v>
      </c>
      <c r="K181">
        <v>0</v>
      </c>
      <c r="L181">
        <v>0</v>
      </c>
      <c r="M181" t="str">
        <v>Full-Time</v>
      </c>
      <c r="N181">
        <v>19</v>
      </c>
      <c r="O181" t="str">
        <f t="shared" si="2"/>
        <v>Employed &gt;2 Years</v>
      </c>
    </row>
    <row r="182" spans="1:15" x14ac:dyDescent="0.25">
      <c r="A182" t="s">
        <v>354</v>
      </c>
      <c r="B182" t="s">
        <v>355</v>
      </c>
      <c r="C182" s="1">
        <v>45656</v>
      </c>
      <c r="D182" t="s">
        <v>30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18</v>
      </c>
      <c r="K182">
        <v>104</v>
      </c>
      <c r="L182">
        <v>1</v>
      </c>
      <c r="M182" t="str">
        <v>Retired</v>
      </c>
      <c r="N182">
        <v>5</v>
      </c>
      <c r="O182" t="str">
        <f t="shared" si="2"/>
        <v>Employed &gt;2 Years</v>
      </c>
    </row>
    <row r="183" spans="1:15" x14ac:dyDescent="0.25">
      <c r="A183" t="s">
        <v>356</v>
      </c>
      <c r="B183" t="s">
        <v>357</v>
      </c>
      <c r="C183" s="1">
        <v>45463</v>
      </c>
      <c r="D183" t="s">
        <v>36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62</v>
      </c>
      <c r="K183">
        <v>15</v>
      </c>
      <c r="L183">
        <v>0</v>
      </c>
      <c r="M183" t="str">
        <v>Full-Time</v>
      </c>
      <c r="N183">
        <v>6</v>
      </c>
      <c r="O183" t="str">
        <f t="shared" si="2"/>
        <v>Employed &gt;2 Years</v>
      </c>
    </row>
    <row r="184" spans="1:15" x14ac:dyDescent="0.25">
      <c r="A184" t="s">
        <v>358</v>
      </c>
      <c r="B184" t="s">
        <v>359</v>
      </c>
      <c r="C184" s="1">
        <v>45652</v>
      </c>
      <c r="D184" t="s">
        <v>24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27</v>
      </c>
      <c r="K184">
        <v>0</v>
      </c>
      <c r="L184">
        <v>0</v>
      </c>
      <c r="M184" t="str">
        <v>Full-Time</v>
      </c>
      <c r="N184">
        <v>0</v>
      </c>
      <c r="O184" t="str">
        <f t="shared" si="2"/>
        <v>Employed &lt;2 Years</v>
      </c>
    </row>
    <row r="185" spans="1:15" x14ac:dyDescent="0.25">
      <c r="A185" t="s">
        <v>360</v>
      </c>
      <c r="B185" t="s">
        <v>361</v>
      </c>
      <c r="C185" s="1">
        <v>45450</v>
      </c>
      <c r="D185" t="s">
        <v>14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15</v>
      </c>
      <c r="K185">
        <v>0</v>
      </c>
      <c r="L185">
        <v>0</v>
      </c>
      <c r="M185" t="str">
        <v>Full-Time</v>
      </c>
      <c r="N185">
        <v>25</v>
      </c>
      <c r="O185" t="str">
        <f t="shared" si="2"/>
        <v>Employed &gt;2 Years</v>
      </c>
    </row>
    <row r="186" spans="1:15" x14ac:dyDescent="0.25">
      <c r="A186" t="s">
        <v>362</v>
      </c>
      <c r="B186" t="s">
        <v>363</v>
      </c>
      <c r="C186" s="1">
        <v>45370</v>
      </c>
      <c r="D186" t="s">
        <v>21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18</v>
      </c>
      <c r="K186">
        <v>63</v>
      </c>
      <c r="L186">
        <v>1</v>
      </c>
      <c r="M186" t="str">
        <v>Retired</v>
      </c>
      <c r="N186">
        <v>14</v>
      </c>
      <c r="O186" t="str">
        <f t="shared" si="2"/>
        <v>Employed &gt;2 Years</v>
      </c>
    </row>
    <row r="187" spans="1:15" x14ac:dyDescent="0.25">
      <c r="A187" t="s">
        <v>364</v>
      </c>
      <c r="B187" t="s">
        <v>365</v>
      </c>
      <c r="C187" s="1">
        <v>45827</v>
      </c>
      <c r="D187" t="s">
        <v>14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15</v>
      </c>
      <c r="K187">
        <v>0</v>
      </c>
      <c r="L187">
        <v>0</v>
      </c>
      <c r="M187" t="str">
        <v>Retired</v>
      </c>
      <c r="N187">
        <v>12</v>
      </c>
      <c r="O187" t="str">
        <f t="shared" si="2"/>
        <v>Employed &gt;2 Years</v>
      </c>
    </row>
    <row r="188" spans="1:15" x14ac:dyDescent="0.25">
      <c r="A188" t="s">
        <v>366</v>
      </c>
      <c r="B188" t="s">
        <v>365</v>
      </c>
      <c r="C188" s="1">
        <v>45437</v>
      </c>
      <c r="D188" t="s">
        <v>41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27</v>
      </c>
      <c r="K188">
        <v>0</v>
      </c>
      <c r="L188">
        <v>0</v>
      </c>
      <c r="M188" t="str">
        <v>Retired</v>
      </c>
      <c r="N188">
        <v>12</v>
      </c>
      <c r="O188" t="str">
        <f t="shared" si="2"/>
        <v>Employed &gt;2 Years</v>
      </c>
    </row>
    <row r="189" spans="1:15" x14ac:dyDescent="0.25">
      <c r="A189" t="s">
        <v>367</v>
      </c>
      <c r="B189" t="s">
        <v>368</v>
      </c>
      <c r="C189" s="1">
        <v>45787</v>
      </c>
      <c r="D189" t="s">
        <v>17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27</v>
      </c>
      <c r="K189">
        <v>0</v>
      </c>
      <c r="L189">
        <v>0</v>
      </c>
      <c r="M189" t="str">
        <v>Contract</v>
      </c>
      <c r="N189">
        <v>0</v>
      </c>
      <c r="O189" t="str">
        <f t="shared" si="2"/>
        <v>Employed &lt;2 Years</v>
      </c>
    </row>
    <row r="190" spans="1:15" x14ac:dyDescent="0.25">
      <c r="A190" t="s">
        <v>369</v>
      </c>
      <c r="B190" t="s">
        <v>368</v>
      </c>
      <c r="C190" s="1">
        <v>45600</v>
      </c>
      <c r="D190" t="s">
        <v>21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15</v>
      </c>
      <c r="K190">
        <v>0</v>
      </c>
      <c r="L190">
        <v>0</v>
      </c>
      <c r="M190" t="str">
        <v>Contract</v>
      </c>
      <c r="N190">
        <v>0</v>
      </c>
      <c r="O190" t="str">
        <f t="shared" si="2"/>
        <v>Employed &lt;2 Years</v>
      </c>
    </row>
    <row r="191" spans="1:15" x14ac:dyDescent="0.25">
      <c r="A191" t="s">
        <v>370</v>
      </c>
      <c r="B191" t="s">
        <v>371</v>
      </c>
      <c r="C191" s="1">
        <v>45441</v>
      </c>
      <c r="D191" t="s">
        <v>38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62</v>
      </c>
      <c r="K191">
        <v>15</v>
      </c>
      <c r="L191">
        <v>0</v>
      </c>
      <c r="M191" t="str">
        <v>Contract</v>
      </c>
      <c r="N191">
        <v>17</v>
      </c>
      <c r="O191" t="str">
        <f t="shared" si="2"/>
        <v>Employed &gt;2 Years</v>
      </c>
    </row>
    <row r="192" spans="1:15" x14ac:dyDescent="0.25">
      <c r="A192" t="s">
        <v>372</v>
      </c>
      <c r="B192" t="s">
        <v>371</v>
      </c>
      <c r="C192" s="1">
        <v>45361</v>
      </c>
      <c r="D192" t="s">
        <v>30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18</v>
      </c>
      <c r="K192">
        <v>178</v>
      </c>
      <c r="L192">
        <v>1</v>
      </c>
      <c r="M192" t="str">
        <v>Contract</v>
      </c>
      <c r="N192">
        <v>17</v>
      </c>
      <c r="O192" t="str">
        <f t="shared" si="2"/>
        <v>Employed &gt;2 Years</v>
      </c>
    </row>
    <row r="193" spans="1:15" x14ac:dyDescent="0.25">
      <c r="A193" t="s">
        <v>373</v>
      </c>
      <c r="B193" t="s">
        <v>374</v>
      </c>
      <c r="C193" s="1">
        <v>45296</v>
      </c>
      <c r="D193" t="s">
        <v>21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27</v>
      </c>
      <c r="K193">
        <v>0</v>
      </c>
      <c r="L193">
        <v>0</v>
      </c>
      <c r="M193" t="str">
        <v>Contract</v>
      </c>
      <c r="N193">
        <v>1</v>
      </c>
      <c r="O193" t="str">
        <f t="shared" si="2"/>
        <v>Employed &lt;2 Years</v>
      </c>
    </row>
    <row r="194" spans="1:15" x14ac:dyDescent="0.25">
      <c r="A194" t="s">
        <v>375</v>
      </c>
      <c r="B194" t="s">
        <v>376</v>
      </c>
      <c r="C194" s="1">
        <v>45401</v>
      </c>
      <c r="D194" t="s">
        <v>14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18</v>
      </c>
      <c r="K194">
        <v>120</v>
      </c>
      <c r="L194">
        <v>1</v>
      </c>
      <c r="M194" t="str">
        <v>Full-Time</v>
      </c>
      <c r="N194">
        <v>25</v>
      </c>
      <c r="O194" t="str">
        <f t="shared" si="2"/>
        <v>Employed &gt;2 Years</v>
      </c>
    </row>
    <row r="195" spans="1:15" x14ac:dyDescent="0.25">
      <c r="A195" t="s">
        <v>377</v>
      </c>
      <c r="B195" t="s">
        <v>378</v>
      </c>
      <c r="C195" s="1">
        <v>45613</v>
      </c>
      <c r="D195" t="s">
        <v>17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18</v>
      </c>
      <c r="K195">
        <v>58</v>
      </c>
      <c r="L195">
        <v>1</v>
      </c>
      <c r="M195" t="str">
        <v>Self-Employed</v>
      </c>
      <c r="N195">
        <v>0</v>
      </c>
      <c r="O195" t="str">
        <f t="shared" ref="O195:O258" si="3">IF(N195&lt;2,"Employed &lt;2 Years","Employed &gt;2 Years")</f>
        <v>Employed &lt;2 Years</v>
      </c>
    </row>
    <row r="196" spans="1:15" x14ac:dyDescent="0.25">
      <c r="A196" t="s">
        <v>379</v>
      </c>
      <c r="B196" t="s">
        <v>378</v>
      </c>
      <c r="C196" s="1">
        <v>45333</v>
      </c>
      <c r="D196" t="s">
        <v>21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18</v>
      </c>
      <c r="K196">
        <v>156</v>
      </c>
      <c r="L196">
        <v>1</v>
      </c>
      <c r="M196" t="str">
        <v>Self-Employed</v>
      </c>
      <c r="N196">
        <v>0</v>
      </c>
      <c r="O196" t="str">
        <f t="shared" si="3"/>
        <v>Employed &lt;2 Years</v>
      </c>
    </row>
    <row r="197" spans="1:15" x14ac:dyDescent="0.25">
      <c r="A197" t="s">
        <v>380</v>
      </c>
      <c r="B197" t="s">
        <v>381</v>
      </c>
      <c r="C197" s="1">
        <v>45709</v>
      </c>
      <c r="D197" t="s">
        <v>24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18</v>
      </c>
      <c r="K197">
        <v>139</v>
      </c>
      <c r="L197">
        <v>1</v>
      </c>
      <c r="M197" t="str">
        <v>Part-Time</v>
      </c>
      <c r="N197">
        <v>15</v>
      </c>
      <c r="O197" t="str">
        <f t="shared" si="3"/>
        <v>Employed &gt;2 Years</v>
      </c>
    </row>
    <row r="198" spans="1:15" x14ac:dyDescent="0.25">
      <c r="A198" t="s">
        <v>382</v>
      </c>
      <c r="B198" t="s">
        <v>383</v>
      </c>
      <c r="C198" s="1">
        <v>45795</v>
      </c>
      <c r="D198" t="s">
        <v>36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27</v>
      </c>
      <c r="K198">
        <v>0</v>
      </c>
      <c r="L198">
        <v>0</v>
      </c>
      <c r="M198" t="str">
        <v>Full-Time</v>
      </c>
      <c r="N198">
        <v>34</v>
      </c>
      <c r="O198" t="str">
        <f t="shared" si="3"/>
        <v>Employed &gt;2 Years</v>
      </c>
    </row>
    <row r="199" spans="1:15" x14ac:dyDescent="0.25">
      <c r="A199" t="s">
        <v>384</v>
      </c>
      <c r="B199" t="s">
        <v>385</v>
      </c>
      <c r="C199" s="1">
        <v>45464</v>
      </c>
      <c r="D199" t="s">
        <v>36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18</v>
      </c>
      <c r="K199">
        <v>80</v>
      </c>
      <c r="L199">
        <v>1</v>
      </c>
      <c r="M199" t="str">
        <v>Part-Time</v>
      </c>
      <c r="N199">
        <v>5</v>
      </c>
      <c r="O199" t="str">
        <f t="shared" si="3"/>
        <v>Employed &gt;2 Years</v>
      </c>
    </row>
    <row r="200" spans="1:15" x14ac:dyDescent="0.25">
      <c r="A200" t="s">
        <v>386</v>
      </c>
      <c r="B200" t="s">
        <v>387</v>
      </c>
      <c r="C200" s="1">
        <v>45803</v>
      </c>
      <c r="D200" t="s">
        <v>47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18</v>
      </c>
      <c r="K200">
        <v>178</v>
      </c>
      <c r="L200">
        <v>1</v>
      </c>
      <c r="M200" t="str">
        <v>Self-Employed</v>
      </c>
      <c r="N200">
        <v>24</v>
      </c>
      <c r="O200" t="str">
        <f t="shared" si="3"/>
        <v>Employed &gt;2 Years</v>
      </c>
    </row>
    <row r="201" spans="1:15" x14ac:dyDescent="0.25">
      <c r="A201" t="s">
        <v>388</v>
      </c>
      <c r="B201" t="s">
        <v>389</v>
      </c>
      <c r="C201" s="1">
        <v>45815</v>
      </c>
      <c r="D201" t="s">
        <v>17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27</v>
      </c>
      <c r="K201">
        <v>0</v>
      </c>
      <c r="L201">
        <v>0</v>
      </c>
      <c r="M201" t="str">
        <v>Full-Time</v>
      </c>
      <c r="N201">
        <v>3</v>
      </c>
      <c r="O201" t="str">
        <f t="shared" si="3"/>
        <v>Employed &gt;2 Years</v>
      </c>
    </row>
    <row r="202" spans="1:15" x14ac:dyDescent="0.25">
      <c r="A202" t="s">
        <v>390</v>
      </c>
      <c r="B202" t="s">
        <v>391</v>
      </c>
      <c r="C202" s="1">
        <v>45346</v>
      </c>
      <c r="D202" t="s">
        <v>14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27</v>
      </c>
      <c r="K202">
        <v>0</v>
      </c>
      <c r="L202">
        <v>0</v>
      </c>
      <c r="M202" t="str">
        <v>Contract</v>
      </c>
      <c r="N202">
        <v>22</v>
      </c>
      <c r="O202" t="str">
        <f t="shared" si="3"/>
        <v>Employed &gt;2 Years</v>
      </c>
    </row>
    <row r="203" spans="1:15" x14ac:dyDescent="0.25">
      <c r="A203" t="s">
        <v>392</v>
      </c>
      <c r="B203" t="s">
        <v>393</v>
      </c>
      <c r="C203" s="1">
        <v>45370</v>
      </c>
      <c r="D203" t="s">
        <v>47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27</v>
      </c>
      <c r="K203">
        <v>0</v>
      </c>
      <c r="L203">
        <v>0</v>
      </c>
      <c r="M203" t="str">
        <v>Full-Time</v>
      </c>
      <c r="N203">
        <v>20</v>
      </c>
      <c r="O203" t="str">
        <f t="shared" si="3"/>
        <v>Employed &gt;2 Years</v>
      </c>
    </row>
    <row r="204" spans="1:15" x14ac:dyDescent="0.25">
      <c r="A204" t="s">
        <v>394</v>
      </c>
      <c r="B204" t="s">
        <v>395</v>
      </c>
      <c r="C204" s="1">
        <v>45310</v>
      </c>
      <c r="D204" t="s">
        <v>24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27</v>
      </c>
      <c r="K204">
        <v>0</v>
      </c>
      <c r="L204">
        <v>0</v>
      </c>
      <c r="M204" t="str">
        <v>Self-Employed</v>
      </c>
      <c r="N204">
        <v>3</v>
      </c>
      <c r="O204" t="str">
        <f t="shared" si="3"/>
        <v>Employed &gt;2 Years</v>
      </c>
    </row>
    <row r="205" spans="1:15" x14ac:dyDescent="0.25">
      <c r="A205" t="s">
        <v>396</v>
      </c>
      <c r="B205" t="s">
        <v>397</v>
      </c>
      <c r="C205" s="1">
        <v>45325</v>
      </c>
      <c r="D205" t="s">
        <v>17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15</v>
      </c>
      <c r="K205">
        <v>0</v>
      </c>
      <c r="L205">
        <v>0</v>
      </c>
      <c r="M205" t="str">
        <v>Self-Employed</v>
      </c>
      <c r="N205">
        <v>10</v>
      </c>
      <c r="O205" t="str">
        <f t="shared" si="3"/>
        <v>Employed &gt;2 Years</v>
      </c>
    </row>
    <row r="206" spans="1:15" x14ac:dyDescent="0.25">
      <c r="A206" t="s">
        <v>398</v>
      </c>
      <c r="B206" t="s">
        <v>397</v>
      </c>
      <c r="C206" s="1">
        <v>45404</v>
      </c>
      <c r="D206" t="s">
        <v>33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27</v>
      </c>
      <c r="K206">
        <v>0</v>
      </c>
      <c r="L206">
        <v>0</v>
      </c>
      <c r="M206" t="str">
        <v>Self-Employed</v>
      </c>
      <c r="N206">
        <v>10</v>
      </c>
      <c r="O206" t="str">
        <f t="shared" si="3"/>
        <v>Employed &gt;2 Years</v>
      </c>
    </row>
    <row r="207" spans="1:15" x14ac:dyDescent="0.25">
      <c r="A207" t="s">
        <v>399</v>
      </c>
      <c r="B207" t="s">
        <v>400</v>
      </c>
      <c r="C207" s="1">
        <v>45561</v>
      </c>
      <c r="D207" t="s">
        <v>14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62</v>
      </c>
      <c r="K207">
        <v>30</v>
      </c>
      <c r="L207">
        <v>0</v>
      </c>
      <c r="M207" t="str">
        <v>Full-Time</v>
      </c>
      <c r="N207">
        <v>11</v>
      </c>
      <c r="O207" t="str">
        <f t="shared" si="3"/>
        <v>Employed &gt;2 Years</v>
      </c>
    </row>
    <row r="208" spans="1:15" x14ac:dyDescent="0.25">
      <c r="A208" t="s">
        <v>401</v>
      </c>
      <c r="B208" t="s">
        <v>402</v>
      </c>
      <c r="C208" s="1">
        <v>45667</v>
      </c>
      <c r="D208" t="s">
        <v>24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27</v>
      </c>
      <c r="K208">
        <v>0</v>
      </c>
      <c r="L208">
        <v>0</v>
      </c>
      <c r="M208" t="str">
        <v>Part-Time</v>
      </c>
      <c r="N208">
        <v>11</v>
      </c>
      <c r="O208" t="str">
        <f t="shared" si="3"/>
        <v>Employed &gt;2 Years</v>
      </c>
    </row>
    <row r="209" spans="1:15" x14ac:dyDescent="0.25">
      <c r="A209" t="s">
        <v>403</v>
      </c>
      <c r="B209" t="s">
        <v>404</v>
      </c>
      <c r="C209" s="1">
        <v>45349</v>
      </c>
      <c r="D209" t="s">
        <v>30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62</v>
      </c>
      <c r="K209">
        <v>0</v>
      </c>
      <c r="L209">
        <v>0</v>
      </c>
      <c r="M209" t="str">
        <v>Retired</v>
      </c>
      <c r="N209">
        <v>21</v>
      </c>
      <c r="O209" t="str">
        <f t="shared" si="3"/>
        <v>Employed &gt;2 Years</v>
      </c>
    </row>
    <row r="210" spans="1:15" x14ac:dyDescent="0.25">
      <c r="A210" t="s">
        <v>405</v>
      </c>
      <c r="B210" t="s">
        <v>404</v>
      </c>
      <c r="C210" s="1">
        <v>45465</v>
      </c>
      <c r="D210" t="s">
        <v>47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18</v>
      </c>
      <c r="K210">
        <v>113</v>
      </c>
      <c r="L210">
        <v>1</v>
      </c>
      <c r="M210" t="str">
        <v>Retired</v>
      </c>
      <c r="N210">
        <v>21</v>
      </c>
      <c r="O210" t="str">
        <f t="shared" si="3"/>
        <v>Employed &gt;2 Years</v>
      </c>
    </row>
    <row r="211" spans="1:15" x14ac:dyDescent="0.25">
      <c r="A211" t="s">
        <v>406</v>
      </c>
      <c r="B211" t="s">
        <v>407</v>
      </c>
      <c r="C211" s="1">
        <v>45772</v>
      </c>
      <c r="D211" t="s">
        <v>17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62</v>
      </c>
      <c r="K211">
        <v>30</v>
      </c>
      <c r="L211">
        <v>0</v>
      </c>
      <c r="M211" t="str">
        <v>Full-Time</v>
      </c>
      <c r="N211">
        <v>0</v>
      </c>
      <c r="O211" t="str">
        <f t="shared" si="3"/>
        <v>Employed &lt;2 Years</v>
      </c>
    </row>
    <row r="212" spans="1:15" x14ac:dyDescent="0.25">
      <c r="A212" t="s">
        <v>408</v>
      </c>
      <c r="B212" t="s">
        <v>409</v>
      </c>
      <c r="C212" s="1">
        <v>45806</v>
      </c>
      <c r="D212" t="s">
        <v>47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27</v>
      </c>
      <c r="K212">
        <v>0</v>
      </c>
      <c r="L212">
        <v>0</v>
      </c>
      <c r="M212" t="str">
        <v>Full-Time</v>
      </c>
      <c r="N212">
        <v>11</v>
      </c>
      <c r="O212" t="str">
        <f t="shared" si="3"/>
        <v>Employed &gt;2 Years</v>
      </c>
    </row>
    <row r="213" spans="1:15" x14ac:dyDescent="0.25">
      <c r="A213" t="s">
        <v>410</v>
      </c>
      <c r="B213" t="s">
        <v>411</v>
      </c>
      <c r="C213" s="1">
        <v>45511</v>
      </c>
      <c r="D213" t="s">
        <v>17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18</v>
      </c>
      <c r="K213">
        <v>42</v>
      </c>
      <c r="L213">
        <v>1</v>
      </c>
      <c r="M213" t="str">
        <v>Part-Time</v>
      </c>
      <c r="N213">
        <v>0</v>
      </c>
      <c r="O213" t="str">
        <f t="shared" si="3"/>
        <v>Employed &lt;2 Years</v>
      </c>
    </row>
    <row r="214" spans="1:15" x14ac:dyDescent="0.25">
      <c r="A214" t="s">
        <v>412</v>
      </c>
      <c r="B214" t="s">
        <v>413</v>
      </c>
      <c r="C214" s="1">
        <v>45389</v>
      </c>
      <c r="D214" t="s">
        <v>47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27</v>
      </c>
      <c r="K214">
        <v>0</v>
      </c>
      <c r="L214">
        <v>0</v>
      </c>
      <c r="M214" t="str">
        <v>Full-Time</v>
      </c>
      <c r="N214">
        <v>4</v>
      </c>
      <c r="O214" t="str">
        <f t="shared" si="3"/>
        <v>Employed &gt;2 Years</v>
      </c>
    </row>
    <row r="215" spans="1:15" x14ac:dyDescent="0.25">
      <c r="A215" t="s">
        <v>414</v>
      </c>
      <c r="B215" t="s">
        <v>415</v>
      </c>
      <c r="C215" s="1">
        <v>45599</v>
      </c>
      <c r="D215" t="s">
        <v>17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18</v>
      </c>
      <c r="K215">
        <v>168</v>
      </c>
      <c r="L215">
        <v>1</v>
      </c>
      <c r="M215" t="str">
        <v>Contract</v>
      </c>
      <c r="N215">
        <v>6</v>
      </c>
      <c r="O215" t="str">
        <f t="shared" si="3"/>
        <v>Employed &gt;2 Years</v>
      </c>
    </row>
    <row r="216" spans="1:15" x14ac:dyDescent="0.25">
      <c r="A216" t="s">
        <v>416</v>
      </c>
      <c r="B216" t="s">
        <v>417</v>
      </c>
      <c r="C216" s="1">
        <v>45476</v>
      </c>
      <c r="D216" t="s">
        <v>17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27</v>
      </c>
      <c r="K216">
        <v>0</v>
      </c>
      <c r="L216">
        <v>0</v>
      </c>
      <c r="M216" t="str">
        <v>Full-Time</v>
      </c>
      <c r="N216">
        <v>11</v>
      </c>
      <c r="O216" t="str">
        <f t="shared" si="3"/>
        <v>Employed &gt;2 Years</v>
      </c>
    </row>
    <row r="217" spans="1:15" x14ac:dyDescent="0.25">
      <c r="A217" t="s">
        <v>418</v>
      </c>
      <c r="B217" t="s">
        <v>419</v>
      </c>
      <c r="C217" s="1">
        <v>45837</v>
      </c>
      <c r="D217" t="s">
        <v>14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62</v>
      </c>
      <c r="K217">
        <v>15</v>
      </c>
      <c r="L217">
        <v>0</v>
      </c>
      <c r="M217" t="str">
        <v>Full-Time</v>
      </c>
      <c r="N217">
        <v>5</v>
      </c>
      <c r="O217" t="str">
        <f t="shared" si="3"/>
        <v>Employed &gt;2 Years</v>
      </c>
    </row>
    <row r="218" spans="1:15" x14ac:dyDescent="0.25">
      <c r="A218" t="s">
        <v>420</v>
      </c>
      <c r="B218" t="s">
        <v>421</v>
      </c>
      <c r="C218" s="1">
        <v>45599</v>
      </c>
      <c r="D218" t="s">
        <v>41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15</v>
      </c>
      <c r="K218">
        <v>0</v>
      </c>
      <c r="L218">
        <v>0</v>
      </c>
      <c r="M218" t="str">
        <v>Retired</v>
      </c>
      <c r="N218">
        <v>3</v>
      </c>
      <c r="O218" t="str">
        <f t="shared" si="3"/>
        <v>Employed &gt;2 Years</v>
      </c>
    </row>
    <row r="219" spans="1:15" x14ac:dyDescent="0.25">
      <c r="A219" t="s">
        <v>422</v>
      </c>
      <c r="B219" t="s">
        <v>421</v>
      </c>
      <c r="C219" s="1">
        <v>45456</v>
      </c>
      <c r="D219" t="s">
        <v>36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27</v>
      </c>
      <c r="K219">
        <v>0</v>
      </c>
      <c r="L219">
        <v>0</v>
      </c>
      <c r="M219" t="str">
        <v>Retired</v>
      </c>
      <c r="N219">
        <v>3</v>
      </c>
      <c r="O219" t="str">
        <f t="shared" si="3"/>
        <v>Employed &gt;2 Years</v>
      </c>
    </row>
    <row r="220" spans="1:15" x14ac:dyDescent="0.25">
      <c r="A220" t="s">
        <v>423</v>
      </c>
      <c r="B220" t="s">
        <v>424</v>
      </c>
      <c r="C220" s="1">
        <v>45738</v>
      </c>
      <c r="D220" t="s">
        <v>38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62</v>
      </c>
      <c r="K220">
        <v>15</v>
      </c>
      <c r="L220">
        <v>0</v>
      </c>
      <c r="M220" t="str">
        <v>Full-Time</v>
      </c>
      <c r="N220">
        <v>4</v>
      </c>
      <c r="O220" t="str">
        <f t="shared" si="3"/>
        <v>Employed &gt;2 Years</v>
      </c>
    </row>
    <row r="221" spans="1:15" x14ac:dyDescent="0.25">
      <c r="A221" t="s">
        <v>425</v>
      </c>
      <c r="B221" t="s">
        <v>426</v>
      </c>
      <c r="C221" s="1">
        <v>45335</v>
      </c>
      <c r="D221" t="s">
        <v>41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27</v>
      </c>
      <c r="K221">
        <v>0</v>
      </c>
      <c r="L221">
        <v>0</v>
      </c>
      <c r="M221" t="str">
        <v>Contract</v>
      </c>
      <c r="N221">
        <v>8</v>
      </c>
      <c r="O221" t="str">
        <f t="shared" si="3"/>
        <v>Employed &gt;2 Years</v>
      </c>
    </row>
    <row r="222" spans="1:15" x14ac:dyDescent="0.25">
      <c r="A222" t="s">
        <v>427</v>
      </c>
      <c r="B222" t="s">
        <v>428</v>
      </c>
      <c r="C222" s="1">
        <v>45708</v>
      </c>
      <c r="D222" t="s">
        <v>36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15</v>
      </c>
      <c r="K222">
        <v>0</v>
      </c>
      <c r="L222">
        <v>0</v>
      </c>
      <c r="M222" t="str">
        <v>Retired</v>
      </c>
      <c r="N222">
        <v>8</v>
      </c>
      <c r="O222" t="str">
        <f t="shared" si="3"/>
        <v>Employed &gt;2 Years</v>
      </c>
    </row>
    <row r="223" spans="1:15" x14ac:dyDescent="0.25">
      <c r="A223" t="s">
        <v>429</v>
      </c>
      <c r="B223" t="s">
        <v>428</v>
      </c>
      <c r="C223" s="1">
        <v>45804</v>
      </c>
      <c r="D223" t="s">
        <v>17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15</v>
      </c>
      <c r="K223">
        <v>0</v>
      </c>
      <c r="L223">
        <v>0</v>
      </c>
      <c r="M223" t="str">
        <v>Retired</v>
      </c>
      <c r="N223">
        <v>8</v>
      </c>
      <c r="O223" t="str">
        <f t="shared" si="3"/>
        <v>Employed &gt;2 Years</v>
      </c>
    </row>
    <row r="224" spans="1:15" x14ac:dyDescent="0.25">
      <c r="A224" t="s">
        <v>430</v>
      </c>
      <c r="B224" t="s">
        <v>431</v>
      </c>
      <c r="C224" s="1">
        <v>45612</v>
      </c>
      <c r="D224" t="s">
        <v>21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27</v>
      </c>
      <c r="K224">
        <v>0</v>
      </c>
      <c r="L224">
        <v>0</v>
      </c>
      <c r="M224" t="str">
        <v>Full-Time</v>
      </c>
      <c r="N224">
        <v>9</v>
      </c>
      <c r="O224" t="str">
        <f t="shared" si="3"/>
        <v>Employed &gt;2 Years</v>
      </c>
    </row>
    <row r="225" spans="1:15" x14ac:dyDescent="0.25">
      <c r="A225" t="s">
        <v>432</v>
      </c>
      <c r="B225" t="s">
        <v>431</v>
      </c>
      <c r="C225" s="1">
        <v>45573</v>
      </c>
      <c r="D225" t="s">
        <v>38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27</v>
      </c>
      <c r="K225">
        <v>0</v>
      </c>
      <c r="L225">
        <v>0</v>
      </c>
      <c r="M225" t="str">
        <v>Full-Time</v>
      </c>
      <c r="N225">
        <v>9</v>
      </c>
      <c r="O225" t="str">
        <f t="shared" si="3"/>
        <v>Employed &gt;2 Years</v>
      </c>
    </row>
    <row r="226" spans="1:15" x14ac:dyDescent="0.25">
      <c r="A226" t="s">
        <v>433</v>
      </c>
      <c r="B226" t="s">
        <v>434</v>
      </c>
      <c r="C226" s="1">
        <v>45544</v>
      </c>
      <c r="D226" t="s">
        <v>30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62</v>
      </c>
      <c r="K226">
        <v>15</v>
      </c>
      <c r="L226">
        <v>0</v>
      </c>
      <c r="M226" t="str">
        <v>Contract</v>
      </c>
      <c r="N226">
        <v>16</v>
      </c>
      <c r="O226" t="str">
        <f t="shared" si="3"/>
        <v>Employed &gt;2 Years</v>
      </c>
    </row>
    <row r="227" spans="1:15" x14ac:dyDescent="0.25">
      <c r="A227" t="s">
        <v>435</v>
      </c>
      <c r="B227" t="s">
        <v>436</v>
      </c>
      <c r="C227" s="1">
        <v>45347</v>
      </c>
      <c r="D227" t="s">
        <v>30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27</v>
      </c>
      <c r="K227">
        <v>0</v>
      </c>
      <c r="L227">
        <v>0</v>
      </c>
      <c r="M227" t="str">
        <v>Part-Time</v>
      </c>
      <c r="N227">
        <v>3</v>
      </c>
      <c r="O227" t="str">
        <f t="shared" si="3"/>
        <v>Employed &gt;2 Years</v>
      </c>
    </row>
    <row r="228" spans="1:15" x14ac:dyDescent="0.25">
      <c r="A228" t="s">
        <v>437</v>
      </c>
      <c r="B228" t="s">
        <v>438</v>
      </c>
      <c r="C228" s="1">
        <v>45534</v>
      </c>
      <c r="D228" t="s">
        <v>24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15</v>
      </c>
      <c r="K228">
        <v>0</v>
      </c>
      <c r="L228">
        <v>0</v>
      </c>
      <c r="M228" t="str">
        <v>Full-Time</v>
      </c>
      <c r="N228">
        <v>1</v>
      </c>
      <c r="O228" t="str">
        <f t="shared" si="3"/>
        <v>Employed &lt;2 Years</v>
      </c>
    </row>
    <row r="229" spans="1:15" x14ac:dyDescent="0.25">
      <c r="A229" t="s">
        <v>439</v>
      </c>
      <c r="B229" t="s">
        <v>440</v>
      </c>
      <c r="C229" s="1">
        <v>45456</v>
      </c>
      <c r="D229" t="s">
        <v>24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15</v>
      </c>
      <c r="K229">
        <v>0</v>
      </c>
      <c r="L229">
        <v>0</v>
      </c>
      <c r="M229" t="str">
        <v>Full-Time</v>
      </c>
      <c r="N229">
        <v>32</v>
      </c>
      <c r="O229" t="str">
        <f t="shared" si="3"/>
        <v>Employed &gt;2 Years</v>
      </c>
    </row>
    <row r="230" spans="1:15" x14ac:dyDescent="0.25">
      <c r="A230" t="s">
        <v>441</v>
      </c>
      <c r="B230" t="s">
        <v>442</v>
      </c>
      <c r="C230" s="1">
        <v>45795</v>
      </c>
      <c r="D230" t="s">
        <v>17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15</v>
      </c>
      <c r="K230">
        <v>0</v>
      </c>
      <c r="L230">
        <v>0</v>
      </c>
      <c r="M230" t="str">
        <v>Full-Time</v>
      </c>
      <c r="N230">
        <v>27</v>
      </c>
      <c r="O230" t="str">
        <f t="shared" si="3"/>
        <v>Employed &gt;2 Years</v>
      </c>
    </row>
    <row r="231" spans="1:15" x14ac:dyDescent="0.25">
      <c r="A231" t="s">
        <v>443</v>
      </c>
      <c r="B231" t="s">
        <v>444</v>
      </c>
      <c r="C231" s="1">
        <v>45722</v>
      </c>
      <c r="D231" t="s">
        <v>36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15</v>
      </c>
      <c r="K231">
        <v>0</v>
      </c>
      <c r="L231">
        <v>0</v>
      </c>
      <c r="M231" t="str">
        <v>Self-Employed</v>
      </c>
      <c r="N231">
        <v>15</v>
      </c>
      <c r="O231" t="str">
        <f t="shared" si="3"/>
        <v>Employed &gt;2 Years</v>
      </c>
    </row>
    <row r="232" spans="1:15" x14ac:dyDescent="0.25">
      <c r="A232" t="s">
        <v>445</v>
      </c>
      <c r="B232" t="s">
        <v>446</v>
      </c>
      <c r="C232" s="1">
        <v>45431</v>
      </c>
      <c r="D232" t="s">
        <v>41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18</v>
      </c>
      <c r="K232">
        <v>81</v>
      </c>
      <c r="L232">
        <v>1</v>
      </c>
      <c r="M232" t="str">
        <v>Full-Time</v>
      </c>
      <c r="N232">
        <v>1</v>
      </c>
      <c r="O232" t="str">
        <f t="shared" si="3"/>
        <v>Employed &lt;2 Years</v>
      </c>
    </row>
    <row r="233" spans="1:15" x14ac:dyDescent="0.25">
      <c r="A233" t="s">
        <v>447</v>
      </c>
      <c r="B233" t="s">
        <v>448</v>
      </c>
      <c r="C233" s="1">
        <v>45425</v>
      </c>
      <c r="D233" t="s">
        <v>30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15</v>
      </c>
      <c r="K233">
        <v>0</v>
      </c>
      <c r="L233">
        <v>0</v>
      </c>
      <c r="M233" t="str">
        <v>Full-Time</v>
      </c>
      <c r="N233">
        <v>27</v>
      </c>
      <c r="O233" t="str">
        <f t="shared" si="3"/>
        <v>Employed &gt;2 Years</v>
      </c>
    </row>
    <row r="234" spans="1:15" x14ac:dyDescent="0.25">
      <c r="A234" t="s">
        <v>449</v>
      </c>
      <c r="B234" t="s">
        <v>450</v>
      </c>
      <c r="C234" s="1">
        <v>45627</v>
      </c>
      <c r="D234" t="s">
        <v>14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27</v>
      </c>
      <c r="K234">
        <v>0</v>
      </c>
      <c r="L234">
        <v>0</v>
      </c>
      <c r="M234" t="str">
        <v>Full-Time</v>
      </c>
      <c r="N234">
        <v>17</v>
      </c>
      <c r="O234" t="str">
        <f t="shared" si="3"/>
        <v>Employed &gt;2 Years</v>
      </c>
    </row>
    <row r="235" spans="1:15" x14ac:dyDescent="0.25">
      <c r="A235" t="s">
        <v>451</v>
      </c>
      <c r="B235" t="s">
        <v>452</v>
      </c>
      <c r="C235" s="1">
        <v>45315</v>
      </c>
      <c r="D235" t="s">
        <v>17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62</v>
      </c>
      <c r="K235">
        <v>0</v>
      </c>
      <c r="L235">
        <v>0</v>
      </c>
      <c r="M235" t="str">
        <v>Part-Time</v>
      </c>
      <c r="N235">
        <v>3</v>
      </c>
      <c r="O235" t="str">
        <f t="shared" si="3"/>
        <v>Employed &gt;2 Years</v>
      </c>
    </row>
    <row r="236" spans="1:15" x14ac:dyDescent="0.25">
      <c r="A236" t="s">
        <v>453</v>
      </c>
      <c r="B236" t="s">
        <v>454</v>
      </c>
      <c r="C236" s="1">
        <v>45731</v>
      </c>
      <c r="D236" t="s">
        <v>14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15</v>
      </c>
      <c r="K236">
        <v>0</v>
      </c>
      <c r="L236">
        <v>0</v>
      </c>
      <c r="M236" t="str">
        <v>Full-Time</v>
      </c>
      <c r="N236">
        <v>1</v>
      </c>
      <c r="O236" t="str">
        <f t="shared" si="3"/>
        <v>Employed &lt;2 Years</v>
      </c>
    </row>
    <row r="237" spans="1:15" x14ac:dyDescent="0.25">
      <c r="A237" t="s">
        <v>455</v>
      </c>
      <c r="B237" t="s">
        <v>454</v>
      </c>
      <c r="C237" s="1">
        <v>45756</v>
      </c>
      <c r="D237" t="s">
        <v>33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27</v>
      </c>
      <c r="K237">
        <v>0</v>
      </c>
      <c r="L237">
        <v>0</v>
      </c>
      <c r="M237" t="str">
        <v>Full-Time</v>
      </c>
      <c r="N237">
        <v>1</v>
      </c>
      <c r="O237" t="str">
        <f t="shared" si="3"/>
        <v>Employed &lt;2 Years</v>
      </c>
    </row>
    <row r="238" spans="1:15" x14ac:dyDescent="0.25">
      <c r="A238" t="s">
        <v>456</v>
      </c>
      <c r="B238" t="s">
        <v>457</v>
      </c>
      <c r="C238" s="1">
        <v>45503</v>
      </c>
      <c r="D238" t="s">
        <v>24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62</v>
      </c>
      <c r="K238">
        <v>30</v>
      </c>
      <c r="L238">
        <v>0</v>
      </c>
      <c r="M238" t="str">
        <v>Part-Time</v>
      </c>
      <c r="N238">
        <v>20</v>
      </c>
      <c r="O238" t="str">
        <f t="shared" si="3"/>
        <v>Employed &gt;2 Years</v>
      </c>
    </row>
    <row r="239" spans="1:15" x14ac:dyDescent="0.25">
      <c r="A239" t="s">
        <v>458</v>
      </c>
      <c r="B239" t="s">
        <v>459</v>
      </c>
      <c r="C239" s="1">
        <v>45560</v>
      </c>
      <c r="D239" t="s">
        <v>17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27</v>
      </c>
      <c r="K239">
        <v>0</v>
      </c>
      <c r="L239">
        <v>0</v>
      </c>
      <c r="M239" t="str">
        <v>Full-Time</v>
      </c>
      <c r="N239">
        <v>9</v>
      </c>
      <c r="O239" t="str">
        <f t="shared" si="3"/>
        <v>Employed &gt;2 Years</v>
      </c>
    </row>
    <row r="240" spans="1:15" x14ac:dyDescent="0.25">
      <c r="A240" t="s">
        <v>460</v>
      </c>
      <c r="B240" t="s">
        <v>461</v>
      </c>
      <c r="C240" s="1">
        <v>45699</v>
      </c>
      <c r="D240" t="s">
        <v>14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15</v>
      </c>
      <c r="K240">
        <v>0</v>
      </c>
      <c r="L240">
        <v>0</v>
      </c>
      <c r="M240" t="str">
        <v>Self-Employed</v>
      </c>
      <c r="N240">
        <v>0</v>
      </c>
      <c r="O240" t="str">
        <f t="shared" si="3"/>
        <v>Employed &lt;2 Years</v>
      </c>
    </row>
    <row r="241" spans="1:15" x14ac:dyDescent="0.25">
      <c r="A241" t="s">
        <v>462</v>
      </c>
      <c r="B241" t="s">
        <v>463</v>
      </c>
      <c r="C241" s="1">
        <v>45532</v>
      </c>
      <c r="D241" t="s">
        <v>24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62</v>
      </c>
      <c r="K241">
        <v>0</v>
      </c>
      <c r="L241">
        <v>0</v>
      </c>
      <c r="M241" t="str">
        <v>Self-Employed</v>
      </c>
      <c r="N241">
        <v>33</v>
      </c>
      <c r="O241" t="str">
        <f t="shared" si="3"/>
        <v>Employed &gt;2 Years</v>
      </c>
    </row>
    <row r="242" spans="1:15" x14ac:dyDescent="0.25">
      <c r="A242" t="s">
        <v>464</v>
      </c>
      <c r="B242" t="s">
        <v>465</v>
      </c>
      <c r="C242" s="1">
        <v>45682</v>
      </c>
      <c r="D242" t="s">
        <v>47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18</v>
      </c>
      <c r="K242">
        <v>131</v>
      </c>
      <c r="L242">
        <v>1</v>
      </c>
      <c r="M242" t="str">
        <v>Part-Time</v>
      </c>
      <c r="N242">
        <v>1</v>
      </c>
      <c r="O242" t="str">
        <f t="shared" si="3"/>
        <v>Employed &lt;2 Years</v>
      </c>
    </row>
    <row r="243" spans="1:15" x14ac:dyDescent="0.25">
      <c r="A243" t="s">
        <v>466</v>
      </c>
      <c r="B243" t="s">
        <v>467</v>
      </c>
      <c r="C243" s="1">
        <v>45465</v>
      </c>
      <c r="D243" t="s">
        <v>33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18</v>
      </c>
      <c r="K243">
        <v>116</v>
      </c>
      <c r="L243">
        <v>1</v>
      </c>
      <c r="M243" t="str">
        <v>Part-Time</v>
      </c>
      <c r="N243">
        <v>22</v>
      </c>
      <c r="O243" t="str">
        <f t="shared" si="3"/>
        <v>Employed &gt;2 Years</v>
      </c>
    </row>
    <row r="244" spans="1:15" x14ac:dyDescent="0.25">
      <c r="A244" t="s">
        <v>468</v>
      </c>
      <c r="B244" t="s">
        <v>469</v>
      </c>
      <c r="C244" s="1">
        <v>45411</v>
      </c>
      <c r="D244" t="s">
        <v>33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62</v>
      </c>
      <c r="K244">
        <v>30</v>
      </c>
      <c r="L244">
        <v>0</v>
      </c>
      <c r="M244" t="str">
        <v>Full-Time</v>
      </c>
      <c r="N244">
        <v>21</v>
      </c>
      <c r="O244" t="str">
        <f t="shared" si="3"/>
        <v>Employed &gt;2 Years</v>
      </c>
    </row>
    <row r="245" spans="1:15" x14ac:dyDescent="0.25">
      <c r="A245" t="s">
        <v>470</v>
      </c>
      <c r="B245" t="s">
        <v>469</v>
      </c>
      <c r="C245" s="1">
        <v>45561</v>
      </c>
      <c r="D245" t="s">
        <v>24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27</v>
      </c>
      <c r="K245">
        <v>0</v>
      </c>
      <c r="L245">
        <v>0</v>
      </c>
      <c r="M245" t="str">
        <v>Full-Time</v>
      </c>
      <c r="N245">
        <v>21</v>
      </c>
      <c r="O245" t="str">
        <f t="shared" si="3"/>
        <v>Employed &gt;2 Years</v>
      </c>
    </row>
    <row r="246" spans="1:15" x14ac:dyDescent="0.25">
      <c r="A246" t="s">
        <v>471</v>
      </c>
      <c r="B246" t="s">
        <v>472</v>
      </c>
      <c r="C246" s="1">
        <v>45742</v>
      </c>
      <c r="D246" t="s">
        <v>33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18</v>
      </c>
      <c r="K246">
        <v>68</v>
      </c>
      <c r="L246">
        <v>1</v>
      </c>
      <c r="M246" t="str">
        <v>Full-Time</v>
      </c>
      <c r="N246">
        <v>17</v>
      </c>
      <c r="O246" t="str">
        <f t="shared" si="3"/>
        <v>Employed &gt;2 Years</v>
      </c>
    </row>
    <row r="247" spans="1:15" x14ac:dyDescent="0.25">
      <c r="A247" t="s">
        <v>473</v>
      </c>
      <c r="B247" t="s">
        <v>474</v>
      </c>
      <c r="C247" s="1">
        <v>45798</v>
      </c>
      <c r="D247" t="s">
        <v>33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18</v>
      </c>
      <c r="K247">
        <v>121</v>
      </c>
      <c r="L247">
        <v>1</v>
      </c>
      <c r="M247" t="str">
        <v>Self-Employed</v>
      </c>
      <c r="N247">
        <v>11</v>
      </c>
      <c r="O247" t="str">
        <f t="shared" si="3"/>
        <v>Employed &gt;2 Years</v>
      </c>
    </row>
    <row r="248" spans="1:15" x14ac:dyDescent="0.25">
      <c r="A248" t="s">
        <v>475</v>
      </c>
      <c r="B248" t="s">
        <v>476</v>
      </c>
      <c r="C248" s="1">
        <v>45387</v>
      </c>
      <c r="D248" t="s">
        <v>21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15</v>
      </c>
      <c r="K248">
        <v>0</v>
      </c>
      <c r="L248">
        <v>0</v>
      </c>
      <c r="M248" t="str">
        <v>Full-Time</v>
      </c>
      <c r="N248">
        <v>5</v>
      </c>
      <c r="O248" t="str">
        <f t="shared" si="3"/>
        <v>Employed &gt;2 Years</v>
      </c>
    </row>
    <row r="249" spans="1:15" x14ac:dyDescent="0.25">
      <c r="A249" t="s">
        <v>477</v>
      </c>
      <c r="B249" t="s">
        <v>476</v>
      </c>
      <c r="C249" s="1">
        <v>45296</v>
      </c>
      <c r="D249" t="s">
        <v>21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27</v>
      </c>
      <c r="K249">
        <v>0</v>
      </c>
      <c r="L249">
        <v>0</v>
      </c>
      <c r="M249" t="str">
        <v>Full-Time</v>
      </c>
      <c r="N249">
        <v>5</v>
      </c>
      <c r="O249" t="str">
        <f t="shared" si="3"/>
        <v>Employed &gt;2 Years</v>
      </c>
    </row>
    <row r="250" spans="1:15" x14ac:dyDescent="0.25">
      <c r="A250" t="s">
        <v>478</v>
      </c>
      <c r="B250" t="s">
        <v>479</v>
      </c>
      <c r="C250" s="1">
        <v>45416</v>
      </c>
      <c r="D250" t="s">
        <v>14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15</v>
      </c>
      <c r="K250">
        <v>0</v>
      </c>
      <c r="L250">
        <v>0</v>
      </c>
      <c r="M250" t="str">
        <v>Retired</v>
      </c>
      <c r="N250">
        <v>13</v>
      </c>
      <c r="O250" t="str">
        <f t="shared" si="3"/>
        <v>Employed &gt;2 Years</v>
      </c>
    </row>
    <row r="251" spans="1:15" x14ac:dyDescent="0.25">
      <c r="A251" t="s">
        <v>480</v>
      </c>
      <c r="B251" t="s">
        <v>481</v>
      </c>
      <c r="C251" s="1">
        <v>45567</v>
      </c>
      <c r="D251" t="s">
        <v>33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15</v>
      </c>
      <c r="K251">
        <v>0</v>
      </c>
      <c r="L251">
        <v>0</v>
      </c>
      <c r="M251" t="str">
        <v>Part-Time</v>
      </c>
      <c r="N251">
        <v>1</v>
      </c>
      <c r="O251" t="str">
        <f t="shared" si="3"/>
        <v>Employed &lt;2 Years</v>
      </c>
    </row>
    <row r="252" spans="1:15" x14ac:dyDescent="0.25">
      <c r="A252" t="s">
        <v>482</v>
      </c>
      <c r="B252" t="s">
        <v>481</v>
      </c>
      <c r="C252" s="1">
        <v>45341</v>
      </c>
      <c r="D252" t="s">
        <v>47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15</v>
      </c>
      <c r="K252">
        <v>0</v>
      </c>
      <c r="L252">
        <v>0</v>
      </c>
      <c r="M252" t="str">
        <v>Part-Time</v>
      </c>
      <c r="N252">
        <v>1</v>
      </c>
      <c r="O252" t="str">
        <f t="shared" si="3"/>
        <v>Employed &lt;2 Years</v>
      </c>
    </row>
    <row r="253" spans="1:15" x14ac:dyDescent="0.25">
      <c r="A253" t="s">
        <v>483</v>
      </c>
      <c r="B253" t="s">
        <v>484</v>
      </c>
      <c r="C253" s="1">
        <v>45537</v>
      </c>
      <c r="D253" t="s">
        <v>21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62</v>
      </c>
      <c r="K253">
        <v>15</v>
      </c>
      <c r="L253">
        <v>0</v>
      </c>
      <c r="M253" t="str">
        <v>Self-Employed</v>
      </c>
      <c r="N253">
        <v>0</v>
      </c>
      <c r="O253" t="str">
        <f t="shared" si="3"/>
        <v>Employed &lt;2 Years</v>
      </c>
    </row>
    <row r="254" spans="1:15" x14ac:dyDescent="0.25">
      <c r="A254" t="s">
        <v>485</v>
      </c>
      <c r="B254" t="s">
        <v>486</v>
      </c>
      <c r="C254" s="1">
        <v>45794</v>
      </c>
      <c r="D254" t="s">
        <v>33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15</v>
      </c>
      <c r="K254">
        <v>0</v>
      </c>
      <c r="L254">
        <v>0</v>
      </c>
      <c r="M254" t="str">
        <v>Full-Time</v>
      </c>
      <c r="N254">
        <v>18</v>
      </c>
      <c r="O254" t="str">
        <f t="shared" si="3"/>
        <v>Employed &gt;2 Years</v>
      </c>
    </row>
    <row r="255" spans="1:15" x14ac:dyDescent="0.25">
      <c r="A255" t="s">
        <v>487</v>
      </c>
      <c r="B255" t="s">
        <v>486</v>
      </c>
      <c r="C255" s="1">
        <v>45793</v>
      </c>
      <c r="D255" t="s">
        <v>47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27</v>
      </c>
      <c r="K255">
        <v>0</v>
      </c>
      <c r="L255">
        <v>0</v>
      </c>
      <c r="M255" t="str">
        <v>Full-Time</v>
      </c>
      <c r="N255">
        <v>18</v>
      </c>
      <c r="O255" t="str">
        <f t="shared" si="3"/>
        <v>Employed &gt;2 Years</v>
      </c>
    </row>
    <row r="256" spans="1:15" x14ac:dyDescent="0.25">
      <c r="A256" t="s">
        <v>488</v>
      </c>
      <c r="B256" t="s">
        <v>489</v>
      </c>
      <c r="C256" s="1">
        <v>45728</v>
      </c>
      <c r="D256" t="s">
        <v>36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18</v>
      </c>
      <c r="K256">
        <v>161</v>
      </c>
      <c r="L256">
        <v>1</v>
      </c>
      <c r="M256" t="str">
        <v>Self-Employed</v>
      </c>
      <c r="N256">
        <v>13</v>
      </c>
      <c r="O256" t="str">
        <f t="shared" si="3"/>
        <v>Employed &gt;2 Years</v>
      </c>
    </row>
    <row r="257" spans="1:15" x14ac:dyDescent="0.25">
      <c r="A257" t="s">
        <v>490</v>
      </c>
      <c r="B257" t="s">
        <v>491</v>
      </c>
      <c r="C257" s="1">
        <v>45831</v>
      </c>
      <c r="D257" t="s">
        <v>14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27</v>
      </c>
      <c r="K257">
        <v>0</v>
      </c>
      <c r="L257">
        <v>0</v>
      </c>
      <c r="M257" t="str">
        <v>Full-Time</v>
      </c>
      <c r="N257">
        <v>1</v>
      </c>
      <c r="O257" t="str">
        <f t="shared" si="3"/>
        <v>Employed &lt;2 Years</v>
      </c>
    </row>
    <row r="258" spans="1:15" x14ac:dyDescent="0.25">
      <c r="A258" t="s">
        <v>492</v>
      </c>
      <c r="B258" t="s">
        <v>493</v>
      </c>
      <c r="C258" s="1">
        <v>45827</v>
      </c>
      <c r="D258" t="s">
        <v>14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27</v>
      </c>
      <c r="K258">
        <v>0</v>
      </c>
      <c r="L258">
        <v>0</v>
      </c>
      <c r="M258" t="str">
        <v>Retired</v>
      </c>
      <c r="N258">
        <v>4</v>
      </c>
      <c r="O258" t="str">
        <f t="shared" si="3"/>
        <v>Employed &gt;2 Years</v>
      </c>
    </row>
    <row r="259" spans="1:15" x14ac:dyDescent="0.25">
      <c r="A259" t="s">
        <v>494</v>
      </c>
      <c r="B259" t="s">
        <v>495</v>
      </c>
      <c r="C259" s="1">
        <v>45551</v>
      </c>
      <c r="D259" t="s">
        <v>21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18</v>
      </c>
      <c r="K259">
        <v>179</v>
      </c>
      <c r="L259">
        <v>1</v>
      </c>
      <c r="M259" t="str">
        <v>Full-Time</v>
      </c>
      <c r="N259">
        <v>0</v>
      </c>
      <c r="O259" t="str">
        <f t="shared" ref="O259:O322" si="4">IF(N259&lt;2,"Employed &lt;2 Years","Employed &gt;2 Years")</f>
        <v>Employed &lt;2 Years</v>
      </c>
    </row>
    <row r="260" spans="1:15" x14ac:dyDescent="0.25">
      <c r="A260" t="s">
        <v>496</v>
      </c>
      <c r="B260" t="s">
        <v>495</v>
      </c>
      <c r="C260" s="1">
        <v>45478</v>
      </c>
      <c r="D260" t="s">
        <v>36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27</v>
      </c>
      <c r="K260">
        <v>0</v>
      </c>
      <c r="L260">
        <v>0</v>
      </c>
      <c r="M260" t="str">
        <v>Full-Time</v>
      </c>
      <c r="N260">
        <v>0</v>
      </c>
      <c r="O260" t="str">
        <f t="shared" si="4"/>
        <v>Employed &lt;2 Years</v>
      </c>
    </row>
    <row r="261" spans="1:15" x14ac:dyDescent="0.25">
      <c r="A261" t="s">
        <v>497</v>
      </c>
      <c r="B261" t="s">
        <v>498</v>
      </c>
      <c r="C261" s="1">
        <v>45563</v>
      </c>
      <c r="D261" t="s">
        <v>30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62</v>
      </c>
      <c r="K261">
        <v>15</v>
      </c>
      <c r="L261">
        <v>0</v>
      </c>
      <c r="M261" t="str">
        <v>Contract</v>
      </c>
      <c r="N261">
        <v>8</v>
      </c>
      <c r="O261" t="str">
        <f t="shared" si="4"/>
        <v>Employed &gt;2 Years</v>
      </c>
    </row>
    <row r="262" spans="1:15" x14ac:dyDescent="0.25">
      <c r="A262" t="s">
        <v>499</v>
      </c>
      <c r="B262" t="s">
        <v>500</v>
      </c>
      <c r="C262" s="1">
        <v>45310</v>
      </c>
      <c r="D262" t="s">
        <v>36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18</v>
      </c>
      <c r="K262">
        <v>59</v>
      </c>
      <c r="L262">
        <v>1</v>
      </c>
      <c r="M262" t="str">
        <v>Retired</v>
      </c>
      <c r="N262">
        <v>3</v>
      </c>
      <c r="O262" t="str">
        <f t="shared" si="4"/>
        <v>Employed &gt;2 Years</v>
      </c>
    </row>
    <row r="263" spans="1:15" x14ac:dyDescent="0.25">
      <c r="A263" t="s">
        <v>501</v>
      </c>
      <c r="B263" t="s">
        <v>502</v>
      </c>
      <c r="C263" s="1">
        <v>45602</v>
      </c>
      <c r="D263" t="s">
        <v>14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62</v>
      </c>
      <c r="K263">
        <v>30</v>
      </c>
      <c r="L263">
        <v>0</v>
      </c>
      <c r="M263" t="str">
        <v>Full-Time</v>
      </c>
      <c r="N263">
        <v>3</v>
      </c>
      <c r="O263" t="str">
        <f t="shared" si="4"/>
        <v>Employed &gt;2 Years</v>
      </c>
    </row>
    <row r="264" spans="1:15" x14ac:dyDescent="0.25">
      <c r="A264" t="s">
        <v>503</v>
      </c>
      <c r="B264" t="s">
        <v>504</v>
      </c>
      <c r="C264" s="1">
        <v>45406</v>
      </c>
      <c r="D264" t="s">
        <v>17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27</v>
      </c>
      <c r="K264">
        <v>0</v>
      </c>
      <c r="L264">
        <v>0</v>
      </c>
      <c r="M264" t="str">
        <v>Contract</v>
      </c>
      <c r="N264">
        <v>18</v>
      </c>
      <c r="O264" t="str">
        <f t="shared" si="4"/>
        <v>Employed &gt;2 Years</v>
      </c>
    </row>
    <row r="265" spans="1:15" x14ac:dyDescent="0.25">
      <c r="A265" t="s">
        <v>505</v>
      </c>
      <c r="B265" t="s">
        <v>506</v>
      </c>
      <c r="C265" s="1">
        <v>45487</v>
      </c>
      <c r="D265" t="s">
        <v>14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27</v>
      </c>
      <c r="K265">
        <v>0</v>
      </c>
      <c r="L265">
        <v>0</v>
      </c>
      <c r="M265" t="str">
        <v>Retired</v>
      </c>
      <c r="N265">
        <v>7</v>
      </c>
      <c r="O265" t="str">
        <f t="shared" si="4"/>
        <v>Employed &gt;2 Years</v>
      </c>
    </row>
    <row r="266" spans="1:15" x14ac:dyDescent="0.25">
      <c r="A266" t="s">
        <v>507</v>
      </c>
      <c r="B266" t="s">
        <v>508</v>
      </c>
      <c r="C266" s="1">
        <v>45774</v>
      </c>
      <c r="D266" t="s">
        <v>36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18</v>
      </c>
      <c r="K266">
        <v>145</v>
      </c>
      <c r="L266">
        <v>1</v>
      </c>
      <c r="M266" t="str">
        <v>Part-Time</v>
      </c>
      <c r="N266">
        <v>14</v>
      </c>
      <c r="O266" t="str">
        <f t="shared" si="4"/>
        <v>Employed &gt;2 Years</v>
      </c>
    </row>
    <row r="267" spans="1:15" x14ac:dyDescent="0.25">
      <c r="A267" t="s">
        <v>509</v>
      </c>
      <c r="B267" t="s">
        <v>510</v>
      </c>
      <c r="C267" s="1">
        <v>45300</v>
      </c>
      <c r="D267" t="s">
        <v>38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18</v>
      </c>
      <c r="K267">
        <v>140</v>
      </c>
      <c r="L267">
        <v>1</v>
      </c>
      <c r="M267" t="str">
        <v>Contract</v>
      </c>
      <c r="N267">
        <v>1</v>
      </c>
      <c r="O267" t="str">
        <f t="shared" si="4"/>
        <v>Employed &lt;2 Years</v>
      </c>
    </row>
    <row r="268" spans="1:15" x14ac:dyDescent="0.25">
      <c r="A268" t="s">
        <v>511</v>
      </c>
      <c r="B268" t="s">
        <v>512</v>
      </c>
      <c r="C268" s="1">
        <v>45329</v>
      </c>
      <c r="D268" t="s">
        <v>14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27</v>
      </c>
      <c r="K268">
        <v>0</v>
      </c>
      <c r="L268">
        <v>0</v>
      </c>
      <c r="M268" t="str">
        <v>Full-Time</v>
      </c>
      <c r="N268">
        <v>1</v>
      </c>
      <c r="O268" t="str">
        <f t="shared" si="4"/>
        <v>Employed &lt;2 Years</v>
      </c>
    </row>
    <row r="269" spans="1:15" x14ac:dyDescent="0.25">
      <c r="A269" t="s">
        <v>513</v>
      </c>
      <c r="B269" t="s">
        <v>512</v>
      </c>
      <c r="C269" s="1">
        <v>45354</v>
      </c>
      <c r="D269" t="s">
        <v>47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27</v>
      </c>
      <c r="K269">
        <v>0</v>
      </c>
      <c r="L269">
        <v>0</v>
      </c>
      <c r="M269" t="str">
        <v>Full-Time</v>
      </c>
      <c r="N269">
        <v>1</v>
      </c>
      <c r="O269" t="str">
        <f t="shared" si="4"/>
        <v>Employed &lt;2 Years</v>
      </c>
    </row>
    <row r="270" spans="1:15" x14ac:dyDescent="0.25">
      <c r="A270" t="s">
        <v>514</v>
      </c>
      <c r="B270" t="s">
        <v>515</v>
      </c>
      <c r="C270" s="1">
        <v>45647</v>
      </c>
      <c r="D270" t="s">
        <v>17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27</v>
      </c>
      <c r="K270">
        <v>0</v>
      </c>
      <c r="L270">
        <v>0</v>
      </c>
      <c r="M270" t="str">
        <v>Contract</v>
      </c>
      <c r="N270">
        <v>16</v>
      </c>
      <c r="O270" t="str">
        <f t="shared" si="4"/>
        <v>Employed &gt;2 Years</v>
      </c>
    </row>
    <row r="271" spans="1:15" x14ac:dyDescent="0.25">
      <c r="A271" t="s">
        <v>516</v>
      </c>
      <c r="B271" t="s">
        <v>517</v>
      </c>
      <c r="C271" s="1">
        <v>45639</v>
      </c>
      <c r="D271" t="s">
        <v>14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62</v>
      </c>
      <c r="K271">
        <v>15</v>
      </c>
      <c r="L271">
        <v>0</v>
      </c>
      <c r="M271" t="str">
        <v>Full-Time</v>
      </c>
      <c r="N271">
        <v>29</v>
      </c>
      <c r="O271" t="str">
        <f t="shared" si="4"/>
        <v>Employed &gt;2 Years</v>
      </c>
    </row>
    <row r="272" spans="1:15" x14ac:dyDescent="0.25">
      <c r="A272" t="s">
        <v>518</v>
      </c>
      <c r="B272" t="s">
        <v>519</v>
      </c>
      <c r="C272" s="1">
        <v>45660</v>
      </c>
      <c r="D272" t="s">
        <v>24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15</v>
      </c>
      <c r="K272">
        <v>0</v>
      </c>
      <c r="L272">
        <v>0</v>
      </c>
      <c r="M272" t="str">
        <v>Part-Time</v>
      </c>
      <c r="N272">
        <v>28</v>
      </c>
      <c r="O272" t="str">
        <f t="shared" si="4"/>
        <v>Employed &gt;2 Years</v>
      </c>
    </row>
    <row r="273" spans="1:15" x14ac:dyDescent="0.25">
      <c r="A273" t="s">
        <v>520</v>
      </c>
      <c r="B273" t="s">
        <v>521</v>
      </c>
      <c r="C273" s="1">
        <v>45496</v>
      </c>
      <c r="D273" t="s">
        <v>24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18</v>
      </c>
      <c r="K273">
        <v>155</v>
      </c>
      <c r="L273">
        <v>1</v>
      </c>
      <c r="M273" t="str">
        <v>Full-Time</v>
      </c>
      <c r="N273">
        <v>11</v>
      </c>
      <c r="O273" t="str">
        <f t="shared" si="4"/>
        <v>Employed &gt;2 Years</v>
      </c>
    </row>
    <row r="274" spans="1:15" x14ac:dyDescent="0.25">
      <c r="A274" t="s">
        <v>522</v>
      </c>
      <c r="B274" t="s">
        <v>523</v>
      </c>
      <c r="C274" s="1">
        <v>45340</v>
      </c>
      <c r="D274" t="s">
        <v>17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27</v>
      </c>
      <c r="K274">
        <v>0</v>
      </c>
      <c r="L274">
        <v>0</v>
      </c>
      <c r="M274" t="str">
        <v>Self-Employed</v>
      </c>
      <c r="N274">
        <v>13</v>
      </c>
      <c r="O274" t="str">
        <f t="shared" si="4"/>
        <v>Employed &gt;2 Years</v>
      </c>
    </row>
    <row r="275" spans="1:15" x14ac:dyDescent="0.25">
      <c r="A275" t="s">
        <v>524</v>
      </c>
      <c r="B275" t="s">
        <v>525</v>
      </c>
      <c r="C275" s="1">
        <v>45637</v>
      </c>
      <c r="D275" t="s">
        <v>33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18</v>
      </c>
      <c r="K275">
        <v>88</v>
      </c>
      <c r="L275">
        <v>1</v>
      </c>
      <c r="M275" t="str">
        <v>Retired</v>
      </c>
      <c r="N275">
        <v>0</v>
      </c>
      <c r="O275" t="str">
        <f t="shared" si="4"/>
        <v>Employed &lt;2 Years</v>
      </c>
    </row>
    <row r="276" spans="1:15" x14ac:dyDescent="0.25">
      <c r="A276" t="s">
        <v>526</v>
      </c>
      <c r="B276" t="s">
        <v>527</v>
      </c>
      <c r="C276" s="1">
        <v>45565</v>
      </c>
      <c r="D276" t="s">
        <v>38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62</v>
      </c>
      <c r="K276">
        <v>15</v>
      </c>
      <c r="L276">
        <v>0</v>
      </c>
      <c r="M276" t="str">
        <v>Full-Time</v>
      </c>
      <c r="N276">
        <v>0</v>
      </c>
      <c r="O276" t="str">
        <f t="shared" si="4"/>
        <v>Employed &lt;2 Years</v>
      </c>
    </row>
    <row r="277" spans="1:15" x14ac:dyDescent="0.25">
      <c r="A277" t="s">
        <v>528</v>
      </c>
      <c r="B277" t="s">
        <v>529</v>
      </c>
      <c r="C277" s="1">
        <v>45405</v>
      </c>
      <c r="D277" t="s">
        <v>36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62</v>
      </c>
      <c r="K277">
        <v>0</v>
      </c>
      <c r="L277">
        <v>0</v>
      </c>
      <c r="M277" t="str">
        <v>Self-Employed</v>
      </c>
      <c r="N277">
        <v>7</v>
      </c>
      <c r="O277" t="str">
        <f t="shared" si="4"/>
        <v>Employed &gt;2 Years</v>
      </c>
    </row>
    <row r="278" spans="1:15" x14ac:dyDescent="0.25">
      <c r="A278" t="s">
        <v>530</v>
      </c>
      <c r="B278" t="s">
        <v>531</v>
      </c>
      <c r="C278" s="1">
        <v>45412</v>
      </c>
      <c r="D278" t="s">
        <v>36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62</v>
      </c>
      <c r="K278">
        <v>15</v>
      </c>
      <c r="L278">
        <v>0</v>
      </c>
      <c r="M278" t="str">
        <v>Full-Time</v>
      </c>
      <c r="N278">
        <v>14</v>
      </c>
      <c r="O278" t="str">
        <f t="shared" si="4"/>
        <v>Employed &gt;2 Years</v>
      </c>
    </row>
    <row r="279" spans="1:15" x14ac:dyDescent="0.25">
      <c r="A279" t="s">
        <v>532</v>
      </c>
      <c r="B279" t="s">
        <v>531</v>
      </c>
      <c r="C279" s="1">
        <v>45393</v>
      </c>
      <c r="D279" t="s">
        <v>24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18</v>
      </c>
      <c r="K279">
        <v>123</v>
      </c>
      <c r="L279">
        <v>1</v>
      </c>
      <c r="M279" t="str">
        <v>Full-Time</v>
      </c>
      <c r="N279">
        <v>14</v>
      </c>
      <c r="O279" t="str">
        <f t="shared" si="4"/>
        <v>Employed &gt;2 Years</v>
      </c>
    </row>
    <row r="280" spans="1:15" x14ac:dyDescent="0.25">
      <c r="A280" t="s">
        <v>533</v>
      </c>
      <c r="B280" t="s">
        <v>534</v>
      </c>
      <c r="C280" s="1">
        <v>45298</v>
      </c>
      <c r="D280" t="s">
        <v>33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27</v>
      </c>
      <c r="K280">
        <v>0</v>
      </c>
      <c r="L280">
        <v>0</v>
      </c>
      <c r="M280" t="str">
        <v>Full-Time</v>
      </c>
      <c r="N280">
        <v>10</v>
      </c>
      <c r="O280" t="str">
        <f t="shared" si="4"/>
        <v>Employed &gt;2 Years</v>
      </c>
    </row>
    <row r="281" spans="1:15" x14ac:dyDescent="0.25">
      <c r="A281" t="s">
        <v>535</v>
      </c>
      <c r="B281" t="s">
        <v>536</v>
      </c>
      <c r="C281" s="1">
        <v>45543</v>
      </c>
      <c r="D281" t="s">
        <v>36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27</v>
      </c>
      <c r="K281">
        <v>0</v>
      </c>
      <c r="L281">
        <v>0</v>
      </c>
      <c r="M281" t="str">
        <v>Full-Time</v>
      </c>
      <c r="N281">
        <v>7</v>
      </c>
      <c r="O281" t="str">
        <f t="shared" si="4"/>
        <v>Employed &gt;2 Years</v>
      </c>
    </row>
    <row r="282" spans="1:15" x14ac:dyDescent="0.25">
      <c r="A282" t="s">
        <v>537</v>
      </c>
      <c r="B282" t="s">
        <v>538</v>
      </c>
      <c r="C282" s="1">
        <v>45820</v>
      </c>
      <c r="D282" t="s">
        <v>17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27</v>
      </c>
      <c r="K282">
        <v>0</v>
      </c>
      <c r="L282">
        <v>0</v>
      </c>
      <c r="M282" t="str">
        <v>Part-Time</v>
      </c>
      <c r="N282">
        <v>8</v>
      </c>
      <c r="O282" t="str">
        <f t="shared" si="4"/>
        <v>Employed &gt;2 Years</v>
      </c>
    </row>
    <row r="283" spans="1:15" x14ac:dyDescent="0.25">
      <c r="A283" t="s">
        <v>539</v>
      </c>
      <c r="B283" t="s">
        <v>540</v>
      </c>
      <c r="C283" s="1">
        <v>45614</v>
      </c>
      <c r="D283" t="s">
        <v>41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27</v>
      </c>
      <c r="K283">
        <v>0</v>
      </c>
      <c r="L283">
        <v>0</v>
      </c>
      <c r="M283" t="str">
        <v>Full-Time</v>
      </c>
      <c r="N283">
        <v>1</v>
      </c>
      <c r="O283" t="str">
        <f t="shared" si="4"/>
        <v>Employed &lt;2 Years</v>
      </c>
    </row>
    <row r="284" spans="1:15" x14ac:dyDescent="0.25">
      <c r="A284" t="s">
        <v>541</v>
      </c>
      <c r="B284" t="s">
        <v>542</v>
      </c>
      <c r="C284" s="1">
        <v>45824</v>
      </c>
      <c r="D284" t="s">
        <v>41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15</v>
      </c>
      <c r="K284">
        <v>0</v>
      </c>
      <c r="L284">
        <v>0</v>
      </c>
      <c r="M284" t="str">
        <v>Self-Employed</v>
      </c>
      <c r="N284">
        <v>1</v>
      </c>
      <c r="O284" t="str">
        <f t="shared" si="4"/>
        <v>Employed &lt;2 Years</v>
      </c>
    </row>
    <row r="285" spans="1:15" x14ac:dyDescent="0.25">
      <c r="A285" t="s">
        <v>543</v>
      </c>
      <c r="B285" t="s">
        <v>544</v>
      </c>
      <c r="C285" s="1">
        <v>45578</v>
      </c>
      <c r="D285" t="s">
        <v>24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27</v>
      </c>
      <c r="K285">
        <v>0</v>
      </c>
      <c r="L285">
        <v>0</v>
      </c>
      <c r="M285" t="str">
        <v>Full-Time</v>
      </c>
      <c r="N285">
        <v>0</v>
      </c>
      <c r="O285" t="str">
        <f t="shared" si="4"/>
        <v>Employed &lt;2 Years</v>
      </c>
    </row>
    <row r="286" spans="1:15" x14ac:dyDescent="0.25">
      <c r="A286" t="s">
        <v>545</v>
      </c>
      <c r="B286" t="s">
        <v>546</v>
      </c>
      <c r="C286" s="1">
        <v>45645</v>
      </c>
      <c r="D286" t="s">
        <v>38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27</v>
      </c>
      <c r="K286">
        <v>0</v>
      </c>
      <c r="L286">
        <v>0</v>
      </c>
      <c r="M286" t="str">
        <v>Full-Time</v>
      </c>
      <c r="N286">
        <v>19</v>
      </c>
      <c r="O286" t="str">
        <f t="shared" si="4"/>
        <v>Employed &gt;2 Years</v>
      </c>
    </row>
    <row r="287" spans="1:15" x14ac:dyDescent="0.25">
      <c r="A287" t="s">
        <v>547</v>
      </c>
      <c r="B287" t="s">
        <v>548</v>
      </c>
      <c r="C287" s="1">
        <v>45421</v>
      </c>
      <c r="D287" t="s">
        <v>24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27</v>
      </c>
      <c r="K287">
        <v>0</v>
      </c>
      <c r="L287">
        <v>0</v>
      </c>
      <c r="M287" t="str">
        <v>Contract</v>
      </c>
      <c r="N287">
        <v>20</v>
      </c>
      <c r="O287" t="str">
        <f t="shared" si="4"/>
        <v>Employed &gt;2 Years</v>
      </c>
    </row>
    <row r="288" spans="1:15" x14ac:dyDescent="0.25">
      <c r="A288" t="s">
        <v>549</v>
      </c>
      <c r="B288" t="s">
        <v>550</v>
      </c>
      <c r="C288" s="1">
        <v>45556</v>
      </c>
      <c r="D288" t="s">
        <v>24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15</v>
      </c>
      <c r="K288">
        <v>0</v>
      </c>
      <c r="L288">
        <v>0</v>
      </c>
      <c r="M288" t="str">
        <v>Retired</v>
      </c>
      <c r="N288">
        <v>2</v>
      </c>
      <c r="O288" t="str">
        <f t="shared" si="4"/>
        <v>Employed &gt;2 Years</v>
      </c>
    </row>
    <row r="289" spans="1:15" x14ac:dyDescent="0.25">
      <c r="A289" t="s">
        <v>551</v>
      </c>
      <c r="B289" t="s">
        <v>552</v>
      </c>
      <c r="C289" s="1">
        <v>45654</v>
      </c>
      <c r="D289" t="s">
        <v>36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18</v>
      </c>
      <c r="K289">
        <v>61</v>
      </c>
      <c r="L289">
        <v>1</v>
      </c>
      <c r="M289" t="str">
        <v>Self-Employed</v>
      </c>
      <c r="N289">
        <v>15</v>
      </c>
      <c r="O289" t="str">
        <f t="shared" si="4"/>
        <v>Employed &gt;2 Years</v>
      </c>
    </row>
    <row r="290" spans="1:15" x14ac:dyDescent="0.25">
      <c r="A290" t="s">
        <v>553</v>
      </c>
      <c r="B290" t="s">
        <v>552</v>
      </c>
      <c r="C290" s="1">
        <v>45533</v>
      </c>
      <c r="D290" t="s">
        <v>14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62</v>
      </c>
      <c r="K290">
        <v>30</v>
      </c>
      <c r="L290">
        <v>0</v>
      </c>
      <c r="M290" t="str">
        <v>Self-Employed</v>
      </c>
      <c r="N290">
        <v>15</v>
      </c>
      <c r="O290" t="str">
        <f t="shared" si="4"/>
        <v>Employed &gt;2 Years</v>
      </c>
    </row>
    <row r="291" spans="1:15" x14ac:dyDescent="0.25">
      <c r="A291" t="s">
        <v>554</v>
      </c>
      <c r="B291" t="s">
        <v>555</v>
      </c>
      <c r="C291" s="1">
        <v>45435</v>
      </c>
      <c r="D291" t="s">
        <v>21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27</v>
      </c>
      <c r="K291">
        <v>0</v>
      </c>
      <c r="L291">
        <v>0</v>
      </c>
      <c r="M291" t="str">
        <v>Full-Time</v>
      </c>
      <c r="N291">
        <v>11</v>
      </c>
      <c r="O291" t="str">
        <f t="shared" si="4"/>
        <v>Employed &gt;2 Years</v>
      </c>
    </row>
    <row r="292" spans="1:15" x14ac:dyDescent="0.25">
      <c r="A292" t="s">
        <v>556</v>
      </c>
      <c r="B292" t="s">
        <v>555</v>
      </c>
      <c r="C292" s="1">
        <v>45442</v>
      </c>
      <c r="D292" t="s">
        <v>30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27</v>
      </c>
      <c r="K292">
        <v>0</v>
      </c>
      <c r="L292">
        <v>0</v>
      </c>
      <c r="M292" t="str">
        <v>Full-Time</v>
      </c>
      <c r="N292">
        <v>11</v>
      </c>
      <c r="O292" t="str">
        <f t="shared" si="4"/>
        <v>Employed &gt;2 Years</v>
      </c>
    </row>
    <row r="293" spans="1:15" x14ac:dyDescent="0.25">
      <c r="A293" t="s">
        <v>557</v>
      </c>
      <c r="B293" t="s">
        <v>558</v>
      </c>
      <c r="C293" s="1">
        <v>45704</v>
      </c>
      <c r="D293" t="s">
        <v>33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27</v>
      </c>
      <c r="K293">
        <v>0</v>
      </c>
      <c r="L293">
        <v>0</v>
      </c>
      <c r="M293" t="str">
        <v>Contract</v>
      </c>
      <c r="N293">
        <v>0</v>
      </c>
      <c r="O293" t="str">
        <f t="shared" si="4"/>
        <v>Employed &lt;2 Years</v>
      </c>
    </row>
    <row r="294" spans="1:15" x14ac:dyDescent="0.25">
      <c r="A294" t="s">
        <v>559</v>
      </c>
      <c r="B294" t="s">
        <v>560</v>
      </c>
      <c r="C294" s="1">
        <v>45718</v>
      </c>
      <c r="D294" t="s">
        <v>14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27</v>
      </c>
      <c r="K294">
        <v>0</v>
      </c>
      <c r="L294">
        <v>0</v>
      </c>
      <c r="M294" t="str">
        <v>Full-Time</v>
      </c>
      <c r="N294">
        <v>10</v>
      </c>
      <c r="O294" t="str">
        <f t="shared" si="4"/>
        <v>Employed &gt;2 Years</v>
      </c>
    </row>
    <row r="295" spans="1:15" x14ac:dyDescent="0.25">
      <c r="A295" t="s">
        <v>561</v>
      </c>
      <c r="B295" t="s">
        <v>562</v>
      </c>
      <c r="C295" s="1">
        <v>45509</v>
      </c>
      <c r="D295" t="s">
        <v>33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27</v>
      </c>
      <c r="K295">
        <v>0</v>
      </c>
      <c r="L295">
        <v>0</v>
      </c>
      <c r="M295" t="str">
        <v>Part-Time</v>
      </c>
      <c r="N295">
        <v>2</v>
      </c>
      <c r="O295" t="str">
        <f t="shared" si="4"/>
        <v>Employed &gt;2 Years</v>
      </c>
    </row>
    <row r="296" spans="1:15" x14ac:dyDescent="0.25">
      <c r="A296" t="s">
        <v>563</v>
      </c>
      <c r="B296" t="s">
        <v>564</v>
      </c>
      <c r="C296" s="1">
        <v>45588</v>
      </c>
      <c r="D296" t="s">
        <v>36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18</v>
      </c>
      <c r="K296">
        <v>69</v>
      </c>
      <c r="L296">
        <v>1</v>
      </c>
      <c r="M296" t="str">
        <v>Retired</v>
      </c>
      <c r="N296">
        <v>33</v>
      </c>
      <c r="O296" t="str">
        <f t="shared" si="4"/>
        <v>Employed &gt;2 Years</v>
      </c>
    </row>
    <row r="297" spans="1:15" x14ac:dyDescent="0.25">
      <c r="A297" t="s">
        <v>565</v>
      </c>
      <c r="B297" t="s">
        <v>566</v>
      </c>
      <c r="C297" s="1">
        <v>45438</v>
      </c>
      <c r="D297" t="s">
        <v>24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27</v>
      </c>
      <c r="K297">
        <v>0</v>
      </c>
      <c r="L297">
        <v>0</v>
      </c>
      <c r="M297" t="str">
        <v>Full-Time</v>
      </c>
      <c r="N297">
        <v>14</v>
      </c>
      <c r="O297" t="str">
        <f t="shared" si="4"/>
        <v>Employed &gt;2 Years</v>
      </c>
    </row>
    <row r="298" spans="1:15" x14ac:dyDescent="0.25">
      <c r="A298" t="s">
        <v>567</v>
      </c>
      <c r="B298" t="s">
        <v>568</v>
      </c>
      <c r="C298" s="1">
        <v>45649</v>
      </c>
      <c r="D298" t="s">
        <v>24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18</v>
      </c>
      <c r="K298">
        <v>41</v>
      </c>
      <c r="L298">
        <v>1</v>
      </c>
      <c r="M298" t="str">
        <v>Contract</v>
      </c>
      <c r="N298">
        <v>6</v>
      </c>
      <c r="O298" t="str">
        <f t="shared" si="4"/>
        <v>Employed &gt;2 Years</v>
      </c>
    </row>
    <row r="299" spans="1:15" x14ac:dyDescent="0.25">
      <c r="A299" t="s">
        <v>569</v>
      </c>
      <c r="B299" t="s">
        <v>568</v>
      </c>
      <c r="C299" s="1">
        <v>45678</v>
      </c>
      <c r="D299" t="s">
        <v>17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62</v>
      </c>
      <c r="K299">
        <v>0</v>
      </c>
      <c r="L299">
        <v>0</v>
      </c>
      <c r="M299" t="str">
        <v>Contract</v>
      </c>
      <c r="N299">
        <v>6</v>
      </c>
      <c r="O299" t="str">
        <f t="shared" si="4"/>
        <v>Employed &gt;2 Years</v>
      </c>
    </row>
    <row r="300" spans="1:15" x14ac:dyDescent="0.25">
      <c r="A300" t="s">
        <v>570</v>
      </c>
      <c r="B300" t="s">
        <v>571</v>
      </c>
      <c r="C300" s="1">
        <v>45625</v>
      </c>
      <c r="D300" t="s">
        <v>21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18</v>
      </c>
      <c r="K300">
        <v>134</v>
      </c>
      <c r="L300">
        <v>1</v>
      </c>
      <c r="M300" t="str">
        <v>Full-Time</v>
      </c>
      <c r="N300">
        <v>6</v>
      </c>
      <c r="O300" t="str">
        <f t="shared" si="4"/>
        <v>Employed &gt;2 Years</v>
      </c>
    </row>
    <row r="301" spans="1:15" x14ac:dyDescent="0.25">
      <c r="A301" t="s">
        <v>572</v>
      </c>
      <c r="B301" t="s">
        <v>573</v>
      </c>
      <c r="C301" s="1">
        <v>45382</v>
      </c>
      <c r="D301" t="s">
        <v>17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27</v>
      </c>
      <c r="K301">
        <v>0</v>
      </c>
      <c r="L301">
        <v>0</v>
      </c>
      <c r="M301" t="str">
        <v>Full-Time</v>
      </c>
      <c r="N301">
        <v>17</v>
      </c>
      <c r="O301" t="str">
        <f t="shared" si="4"/>
        <v>Employed &gt;2 Years</v>
      </c>
    </row>
    <row r="302" spans="1:15" x14ac:dyDescent="0.25">
      <c r="A302" t="s">
        <v>574</v>
      </c>
      <c r="B302" t="s">
        <v>575</v>
      </c>
      <c r="C302" s="1">
        <v>45346</v>
      </c>
      <c r="D302" t="s">
        <v>24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15</v>
      </c>
      <c r="K302">
        <v>0</v>
      </c>
      <c r="L302">
        <v>0</v>
      </c>
      <c r="M302" t="str">
        <v>Full-Time</v>
      </c>
      <c r="N302">
        <v>2</v>
      </c>
      <c r="O302" t="str">
        <f t="shared" si="4"/>
        <v>Employed &gt;2 Years</v>
      </c>
    </row>
    <row r="303" spans="1:15" x14ac:dyDescent="0.25">
      <c r="A303" t="s">
        <v>576</v>
      </c>
      <c r="B303" t="s">
        <v>577</v>
      </c>
      <c r="C303" s="1">
        <v>45573</v>
      </c>
      <c r="D303" t="s">
        <v>41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15</v>
      </c>
      <c r="K303">
        <v>0</v>
      </c>
      <c r="L303">
        <v>0</v>
      </c>
      <c r="M303" t="str">
        <v>Full-Time</v>
      </c>
      <c r="N303">
        <v>25</v>
      </c>
      <c r="O303" t="str">
        <f t="shared" si="4"/>
        <v>Employed &gt;2 Years</v>
      </c>
    </row>
    <row r="304" spans="1:15" x14ac:dyDescent="0.25">
      <c r="A304" t="s">
        <v>578</v>
      </c>
      <c r="B304" t="s">
        <v>579</v>
      </c>
      <c r="C304" s="1">
        <v>45338</v>
      </c>
      <c r="D304" t="s">
        <v>14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62</v>
      </c>
      <c r="K304">
        <v>15</v>
      </c>
      <c r="L304">
        <v>0</v>
      </c>
      <c r="M304" t="str">
        <v>Full-Time</v>
      </c>
      <c r="N304">
        <v>19</v>
      </c>
      <c r="O304" t="str">
        <f t="shared" si="4"/>
        <v>Employed &gt;2 Years</v>
      </c>
    </row>
    <row r="305" spans="1:15" x14ac:dyDescent="0.25">
      <c r="A305" t="s">
        <v>580</v>
      </c>
      <c r="B305" t="s">
        <v>579</v>
      </c>
      <c r="C305" s="1">
        <v>45385</v>
      </c>
      <c r="D305" t="s">
        <v>33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18</v>
      </c>
      <c r="K305">
        <v>55</v>
      </c>
      <c r="L305">
        <v>1</v>
      </c>
      <c r="M305" t="str">
        <v>Full-Time</v>
      </c>
      <c r="N305">
        <v>19</v>
      </c>
      <c r="O305" t="str">
        <f t="shared" si="4"/>
        <v>Employed &gt;2 Years</v>
      </c>
    </row>
    <row r="306" spans="1:15" x14ac:dyDescent="0.25">
      <c r="A306" t="s">
        <v>581</v>
      </c>
      <c r="B306" t="s">
        <v>582</v>
      </c>
      <c r="C306" s="1">
        <v>45709</v>
      </c>
      <c r="D306" t="s">
        <v>24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15</v>
      </c>
      <c r="K306">
        <v>0</v>
      </c>
      <c r="L306">
        <v>0</v>
      </c>
      <c r="M306" t="str">
        <v>Self-Employed</v>
      </c>
      <c r="N306">
        <v>2</v>
      </c>
      <c r="O306" t="str">
        <f t="shared" si="4"/>
        <v>Employed &gt;2 Years</v>
      </c>
    </row>
    <row r="307" spans="1:15" x14ac:dyDescent="0.25">
      <c r="A307" t="s">
        <v>583</v>
      </c>
      <c r="B307" t="s">
        <v>584</v>
      </c>
      <c r="C307" s="1">
        <v>45623</v>
      </c>
      <c r="D307" t="s">
        <v>41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62</v>
      </c>
      <c r="K307">
        <v>15</v>
      </c>
      <c r="L307">
        <v>0</v>
      </c>
      <c r="M307" t="str">
        <v>Self-Employed</v>
      </c>
      <c r="N307">
        <v>4</v>
      </c>
      <c r="O307" t="str">
        <f t="shared" si="4"/>
        <v>Employed &gt;2 Years</v>
      </c>
    </row>
    <row r="308" spans="1:15" x14ac:dyDescent="0.25">
      <c r="A308" t="s">
        <v>585</v>
      </c>
      <c r="B308" t="s">
        <v>586</v>
      </c>
      <c r="C308" s="1">
        <v>45808</v>
      </c>
      <c r="D308" t="s">
        <v>38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27</v>
      </c>
      <c r="K308">
        <v>0</v>
      </c>
      <c r="L308">
        <v>0</v>
      </c>
      <c r="M308" t="str">
        <v>Full-Time</v>
      </c>
      <c r="N308">
        <v>4</v>
      </c>
      <c r="O308" t="str">
        <f t="shared" si="4"/>
        <v>Employed &gt;2 Years</v>
      </c>
    </row>
    <row r="309" spans="1:15" x14ac:dyDescent="0.25">
      <c r="A309" t="s">
        <v>587</v>
      </c>
      <c r="B309" t="s">
        <v>588</v>
      </c>
      <c r="C309" s="1">
        <v>45311</v>
      </c>
      <c r="D309" t="s">
        <v>17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18</v>
      </c>
      <c r="K309">
        <v>180</v>
      </c>
      <c r="L309">
        <v>1</v>
      </c>
      <c r="M309" t="str">
        <v>Part-Time</v>
      </c>
      <c r="N309">
        <v>0</v>
      </c>
      <c r="O309" t="str">
        <f t="shared" si="4"/>
        <v>Employed &lt;2 Years</v>
      </c>
    </row>
    <row r="310" spans="1:15" x14ac:dyDescent="0.25">
      <c r="A310" t="s">
        <v>589</v>
      </c>
      <c r="B310" t="s">
        <v>590</v>
      </c>
      <c r="C310" s="1">
        <v>45708</v>
      </c>
      <c r="D310" t="s">
        <v>38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27</v>
      </c>
      <c r="K310">
        <v>0</v>
      </c>
      <c r="L310">
        <v>0</v>
      </c>
      <c r="M310" t="str">
        <v>Full-Time</v>
      </c>
      <c r="N310">
        <v>17</v>
      </c>
      <c r="O310" t="str">
        <f t="shared" si="4"/>
        <v>Employed &gt;2 Years</v>
      </c>
    </row>
    <row r="311" spans="1:15" x14ac:dyDescent="0.25">
      <c r="A311" t="s">
        <v>591</v>
      </c>
      <c r="B311" t="s">
        <v>592</v>
      </c>
      <c r="C311" s="1">
        <v>45725</v>
      </c>
      <c r="D311" t="s">
        <v>33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27</v>
      </c>
      <c r="K311">
        <v>0</v>
      </c>
      <c r="L311">
        <v>0</v>
      </c>
      <c r="M311" t="str">
        <v>Full-Time</v>
      </c>
      <c r="N311">
        <v>2</v>
      </c>
      <c r="O311" t="str">
        <f t="shared" si="4"/>
        <v>Employed &gt;2 Years</v>
      </c>
    </row>
    <row r="312" spans="1:15" x14ac:dyDescent="0.25">
      <c r="A312" t="s">
        <v>593</v>
      </c>
      <c r="B312" t="s">
        <v>594</v>
      </c>
      <c r="C312" s="1">
        <v>45785</v>
      </c>
      <c r="D312" t="s">
        <v>47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62</v>
      </c>
      <c r="K312">
        <v>0</v>
      </c>
      <c r="L312">
        <v>0</v>
      </c>
      <c r="M312" t="str">
        <v>Retired</v>
      </c>
      <c r="N312">
        <v>4</v>
      </c>
      <c r="O312" t="str">
        <f t="shared" si="4"/>
        <v>Employed &gt;2 Years</v>
      </c>
    </row>
    <row r="313" spans="1:15" x14ac:dyDescent="0.25">
      <c r="A313" t="s">
        <v>595</v>
      </c>
      <c r="B313" t="s">
        <v>594</v>
      </c>
      <c r="C313" s="1">
        <v>45457</v>
      </c>
      <c r="D313" t="s">
        <v>30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27</v>
      </c>
      <c r="K313">
        <v>0</v>
      </c>
      <c r="L313">
        <v>0</v>
      </c>
      <c r="M313" t="str">
        <v>Retired</v>
      </c>
      <c r="N313">
        <v>4</v>
      </c>
      <c r="O313" t="str">
        <f t="shared" si="4"/>
        <v>Employed &gt;2 Years</v>
      </c>
    </row>
    <row r="314" spans="1:15" x14ac:dyDescent="0.25">
      <c r="A314" t="s">
        <v>596</v>
      </c>
      <c r="B314" t="s">
        <v>597</v>
      </c>
      <c r="C314" s="1">
        <v>45507</v>
      </c>
      <c r="D314" t="s">
        <v>36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62</v>
      </c>
      <c r="K314">
        <v>30</v>
      </c>
      <c r="L314">
        <v>0</v>
      </c>
      <c r="M314" t="str">
        <v>Part-Time</v>
      </c>
      <c r="N314">
        <v>14</v>
      </c>
      <c r="O314" t="str">
        <f t="shared" si="4"/>
        <v>Employed &gt;2 Years</v>
      </c>
    </row>
    <row r="315" spans="1:15" x14ac:dyDescent="0.25">
      <c r="A315" t="s">
        <v>598</v>
      </c>
      <c r="B315" t="s">
        <v>599</v>
      </c>
      <c r="C315" s="1">
        <v>45621</v>
      </c>
      <c r="D315" t="s">
        <v>30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27</v>
      </c>
      <c r="K315">
        <v>0</v>
      </c>
      <c r="L315">
        <v>0</v>
      </c>
      <c r="M315" t="str">
        <v>Full-Time</v>
      </c>
      <c r="N315">
        <v>30</v>
      </c>
      <c r="O315" t="str">
        <f t="shared" si="4"/>
        <v>Employed &gt;2 Years</v>
      </c>
    </row>
    <row r="316" spans="1:15" x14ac:dyDescent="0.25">
      <c r="A316" t="s">
        <v>600</v>
      </c>
      <c r="B316" t="s">
        <v>601</v>
      </c>
      <c r="C316" s="1">
        <v>45301</v>
      </c>
      <c r="D316" t="s">
        <v>33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15</v>
      </c>
      <c r="K316">
        <v>0</v>
      </c>
      <c r="L316">
        <v>0</v>
      </c>
      <c r="M316" t="str">
        <v>Retired</v>
      </c>
      <c r="N316">
        <v>24</v>
      </c>
      <c r="O316" t="str">
        <f t="shared" si="4"/>
        <v>Employed &gt;2 Years</v>
      </c>
    </row>
    <row r="317" spans="1:15" x14ac:dyDescent="0.25">
      <c r="A317" t="s">
        <v>602</v>
      </c>
      <c r="B317" t="s">
        <v>603</v>
      </c>
      <c r="C317" s="1">
        <v>45747</v>
      </c>
      <c r="D317" t="s">
        <v>17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15</v>
      </c>
      <c r="K317">
        <v>0</v>
      </c>
      <c r="L317">
        <v>0</v>
      </c>
      <c r="M317" t="str">
        <v>Retired</v>
      </c>
      <c r="N317">
        <v>1</v>
      </c>
      <c r="O317" t="str">
        <f t="shared" si="4"/>
        <v>Employed &lt;2 Years</v>
      </c>
    </row>
    <row r="318" spans="1:15" x14ac:dyDescent="0.25">
      <c r="A318" t="s">
        <v>604</v>
      </c>
      <c r="B318" t="s">
        <v>605</v>
      </c>
      <c r="C318" s="1">
        <v>45671</v>
      </c>
      <c r="D318" t="s">
        <v>30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27</v>
      </c>
      <c r="K318">
        <v>0</v>
      </c>
      <c r="L318">
        <v>0</v>
      </c>
      <c r="M318" t="str">
        <v>Full-Time</v>
      </c>
      <c r="N318">
        <v>15</v>
      </c>
      <c r="O318" t="str">
        <f t="shared" si="4"/>
        <v>Employed &gt;2 Years</v>
      </c>
    </row>
    <row r="319" spans="1:15" x14ac:dyDescent="0.25">
      <c r="A319" t="s">
        <v>606</v>
      </c>
      <c r="B319" t="s">
        <v>605</v>
      </c>
      <c r="C319" s="1">
        <v>45602</v>
      </c>
      <c r="D319" t="s">
        <v>41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15</v>
      </c>
      <c r="K319">
        <v>0</v>
      </c>
      <c r="L319">
        <v>0</v>
      </c>
      <c r="M319" t="str">
        <v>Full-Time</v>
      </c>
      <c r="N319">
        <v>15</v>
      </c>
      <c r="O319" t="str">
        <f t="shared" si="4"/>
        <v>Employed &gt;2 Years</v>
      </c>
    </row>
    <row r="320" spans="1:15" x14ac:dyDescent="0.25">
      <c r="A320" t="s">
        <v>607</v>
      </c>
      <c r="B320" t="s">
        <v>608</v>
      </c>
      <c r="C320" s="1">
        <v>45492</v>
      </c>
      <c r="D320" t="s">
        <v>41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27</v>
      </c>
      <c r="K320">
        <v>0</v>
      </c>
      <c r="L320">
        <v>0</v>
      </c>
      <c r="M320" t="str">
        <v>Full-Time</v>
      </c>
      <c r="N320">
        <v>30</v>
      </c>
      <c r="O320" t="str">
        <f t="shared" si="4"/>
        <v>Employed &gt;2 Years</v>
      </c>
    </row>
    <row r="321" spans="1:15" x14ac:dyDescent="0.25">
      <c r="A321" t="s">
        <v>609</v>
      </c>
      <c r="B321" t="s">
        <v>608</v>
      </c>
      <c r="C321" s="1">
        <v>45471</v>
      </c>
      <c r="D321" t="s">
        <v>24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18</v>
      </c>
      <c r="K321">
        <v>62</v>
      </c>
      <c r="L321">
        <v>1</v>
      </c>
      <c r="M321" t="str">
        <v>Full-Time</v>
      </c>
      <c r="N321">
        <v>30</v>
      </c>
      <c r="O321" t="str">
        <f t="shared" si="4"/>
        <v>Employed &gt;2 Years</v>
      </c>
    </row>
    <row r="322" spans="1:15" x14ac:dyDescent="0.25">
      <c r="A322" t="s">
        <v>610</v>
      </c>
      <c r="B322" t="s">
        <v>611</v>
      </c>
      <c r="C322" s="1">
        <v>45572</v>
      </c>
      <c r="D322" t="s">
        <v>33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15</v>
      </c>
      <c r="K322">
        <v>0</v>
      </c>
      <c r="L322">
        <v>0</v>
      </c>
      <c r="M322" t="str">
        <v>Full-Time</v>
      </c>
      <c r="N322">
        <v>5</v>
      </c>
      <c r="O322" t="str">
        <f t="shared" si="4"/>
        <v>Employed &gt;2 Years</v>
      </c>
    </row>
    <row r="323" spans="1:15" x14ac:dyDescent="0.25">
      <c r="A323" t="s">
        <v>612</v>
      </c>
      <c r="B323" t="s">
        <v>613</v>
      </c>
      <c r="C323" s="1">
        <v>45729</v>
      </c>
      <c r="D323" t="s">
        <v>21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62</v>
      </c>
      <c r="K323">
        <v>15</v>
      </c>
      <c r="L323">
        <v>0</v>
      </c>
      <c r="M323" t="str">
        <v>Part-Time</v>
      </c>
      <c r="N323">
        <v>21</v>
      </c>
      <c r="O323" t="str">
        <f t="shared" ref="O323:O386" si="5">IF(N323&lt;2,"Employed &lt;2 Years","Employed &gt;2 Years")</f>
        <v>Employed &gt;2 Years</v>
      </c>
    </row>
    <row r="324" spans="1:15" x14ac:dyDescent="0.25">
      <c r="A324" t="s">
        <v>614</v>
      </c>
      <c r="B324" t="s">
        <v>615</v>
      </c>
      <c r="C324" s="1">
        <v>45769</v>
      </c>
      <c r="D324" t="s">
        <v>17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27</v>
      </c>
      <c r="K324">
        <v>0</v>
      </c>
      <c r="L324">
        <v>0</v>
      </c>
      <c r="M324" t="str">
        <v>Full-Time</v>
      </c>
      <c r="N324">
        <v>7</v>
      </c>
      <c r="O324" t="str">
        <f t="shared" si="5"/>
        <v>Employed &gt;2 Years</v>
      </c>
    </row>
    <row r="325" spans="1:15" x14ac:dyDescent="0.25">
      <c r="A325" t="s">
        <v>616</v>
      </c>
      <c r="B325" t="s">
        <v>615</v>
      </c>
      <c r="C325" s="1">
        <v>45297</v>
      </c>
      <c r="D325" t="s">
        <v>38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15</v>
      </c>
      <c r="K325">
        <v>0</v>
      </c>
      <c r="L325">
        <v>0</v>
      </c>
      <c r="M325" t="str">
        <v>Full-Time</v>
      </c>
      <c r="N325">
        <v>7</v>
      </c>
      <c r="O325" t="str">
        <f t="shared" si="5"/>
        <v>Employed &gt;2 Years</v>
      </c>
    </row>
    <row r="326" spans="1:15" x14ac:dyDescent="0.25">
      <c r="A326" t="s">
        <v>617</v>
      </c>
      <c r="B326" t="s">
        <v>618</v>
      </c>
      <c r="C326" s="1">
        <v>45493</v>
      </c>
      <c r="D326" t="s">
        <v>38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18</v>
      </c>
      <c r="K326">
        <v>109</v>
      </c>
      <c r="L326">
        <v>1</v>
      </c>
      <c r="M326" t="str">
        <v>Full-Time</v>
      </c>
      <c r="N326">
        <v>18</v>
      </c>
      <c r="O326" t="str">
        <f t="shared" si="5"/>
        <v>Employed &gt;2 Years</v>
      </c>
    </row>
    <row r="327" spans="1:15" x14ac:dyDescent="0.25">
      <c r="A327" t="s">
        <v>619</v>
      </c>
      <c r="B327" t="s">
        <v>618</v>
      </c>
      <c r="C327" s="1">
        <v>45316</v>
      </c>
      <c r="D327" t="s">
        <v>36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27</v>
      </c>
      <c r="K327">
        <v>0</v>
      </c>
      <c r="L327">
        <v>0</v>
      </c>
      <c r="M327" t="str">
        <v>Full-Time</v>
      </c>
      <c r="N327">
        <v>18</v>
      </c>
      <c r="O327" t="str">
        <f t="shared" si="5"/>
        <v>Employed &gt;2 Years</v>
      </c>
    </row>
    <row r="328" spans="1:15" x14ac:dyDescent="0.25">
      <c r="A328" t="s">
        <v>620</v>
      </c>
      <c r="B328" t="s">
        <v>621</v>
      </c>
      <c r="C328" s="1">
        <v>45824</v>
      </c>
      <c r="D328" t="s">
        <v>36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62</v>
      </c>
      <c r="K328">
        <v>15</v>
      </c>
      <c r="L328">
        <v>0</v>
      </c>
      <c r="M328" t="str">
        <v>Full-Time</v>
      </c>
      <c r="N328">
        <v>7</v>
      </c>
      <c r="O328" t="str">
        <f t="shared" si="5"/>
        <v>Employed &gt;2 Years</v>
      </c>
    </row>
    <row r="329" spans="1:15" x14ac:dyDescent="0.25">
      <c r="A329" t="s">
        <v>622</v>
      </c>
      <c r="B329" t="s">
        <v>623</v>
      </c>
      <c r="C329" s="1">
        <v>45326</v>
      </c>
      <c r="D329" t="s">
        <v>36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18</v>
      </c>
      <c r="K329">
        <v>46</v>
      </c>
      <c r="L329">
        <v>1</v>
      </c>
      <c r="M329" t="str">
        <v>Full-Time</v>
      </c>
      <c r="N329">
        <v>10</v>
      </c>
      <c r="O329" t="str">
        <f t="shared" si="5"/>
        <v>Employed &gt;2 Years</v>
      </c>
    </row>
    <row r="330" spans="1:15" x14ac:dyDescent="0.25">
      <c r="A330" t="s">
        <v>624</v>
      </c>
      <c r="B330" t="s">
        <v>625</v>
      </c>
      <c r="C330" s="1">
        <v>45734</v>
      </c>
      <c r="D330" t="s">
        <v>41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18</v>
      </c>
      <c r="K330">
        <v>44</v>
      </c>
      <c r="L330">
        <v>1</v>
      </c>
      <c r="M330" t="str">
        <v>Part-Time</v>
      </c>
      <c r="N330">
        <v>14</v>
      </c>
      <c r="O330" t="str">
        <f t="shared" si="5"/>
        <v>Employed &gt;2 Years</v>
      </c>
    </row>
    <row r="331" spans="1:15" x14ac:dyDescent="0.25">
      <c r="A331" t="s">
        <v>626</v>
      </c>
      <c r="B331" t="s">
        <v>627</v>
      </c>
      <c r="C331" s="1">
        <v>45530</v>
      </c>
      <c r="D331" t="s">
        <v>24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62</v>
      </c>
      <c r="K331">
        <v>0</v>
      </c>
      <c r="L331">
        <v>0</v>
      </c>
      <c r="M331" t="str">
        <v>Full-Time</v>
      </c>
      <c r="N331">
        <v>28</v>
      </c>
      <c r="O331" t="str">
        <f t="shared" si="5"/>
        <v>Employed &gt;2 Years</v>
      </c>
    </row>
    <row r="332" spans="1:15" x14ac:dyDescent="0.25">
      <c r="A332" t="s">
        <v>628</v>
      </c>
      <c r="B332" t="s">
        <v>629</v>
      </c>
      <c r="C332" s="1">
        <v>45318</v>
      </c>
      <c r="D332" t="s">
        <v>14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27</v>
      </c>
      <c r="K332">
        <v>0</v>
      </c>
      <c r="L332">
        <v>0</v>
      </c>
      <c r="M332" t="str">
        <v>Contract</v>
      </c>
      <c r="N332">
        <v>17</v>
      </c>
      <c r="O332" t="str">
        <f t="shared" si="5"/>
        <v>Employed &gt;2 Years</v>
      </c>
    </row>
    <row r="333" spans="1:15" x14ac:dyDescent="0.25">
      <c r="A333" t="s">
        <v>630</v>
      </c>
      <c r="B333" t="s">
        <v>631</v>
      </c>
      <c r="C333" s="1">
        <v>45421</v>
      </c>
      <c r="D333" t="s">
        <v>47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27</v>
      </c>
      <c r="K333">
        <v>0</v>
      </c>
      <c r="L333">
        <v>0</v>
      </c>
      <c r="M333" t="str">
        <v>Full-Time</v>
      </c>
      <c r="N333">
        <v>24</v>
      </c>
      <c r="O333" t="str">
        <f t="shared" si="5"/>
        <v>Employed &gt;2 Years</v>
      </c>
    </row>
    <row r="334" spans="1:15" x14ac:dyDescent="0.25">
      <c r="A334" t="s">
        <v>632</v>
      </c>
      <c r="B334" t="s">
        <v>633</v>
      </c>
      <c r="C334" s="1">
        <v>45611</v>
      </c>
      <c r="D334" t="s">
        <v>14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62</v>
      </c>
      <c r="K334">
        <v>0</v>
      </c>
      <c r="L334">
        <v>0</v>
      </c>
      <c r="M334" t="str">
        <v>Contract</v>
      </c>
      <c r="N334">
        <v>5</v>
      </c>
      <c r="O334" t="str">
        <f t="shared" si="5"/>
        <v>Employed &gt;2 Years</v>
      </c>
    </row>
    <row r="335" spans="1:15" x14ac:dyDescent="0.25">
      <c r="A335" t="s">
        <v>634</v>
      </c>
      <c r="B335" t="s">
        <v>635</v>
      </c>
      <c r="C335" s="1">
        <v>45643</v>
      </c>
      <c r="D335" t="s">
        <v>47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62</v>
      </c>
      <c r="K335">
        <v>30</v>
      </c>
      <c r="L335">
        <v>0</v>
      </c>
      <c r="M335" t="str">
        <v>Full-Time</v>
      </c>
      <c r="N335">
        <v>2</v>
      </c>
      <c r="O335" t="str">
        <f t="shared" si="5"/>
        <v>Employed &gt;2 Years</v>
      </c>
    </row>
    <row r="336" spans="1:15" x14ac:dyDescent="0.25">
      <c r="A336" t="s">
        <v>636</v>
      </c>
      <c r="B336" t="s">
        <v>637</v>
      </c>
      <c r="C336" s="1">
        <v>45724</v>
      </c>
      <c r="D336" t="s">
        <v>33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62</v>
      </c>
      <c r="K336">
        <v>30</v>
      </c>
      <c r="L336">
        <v>0</v>
      </c>
      <c r="M336" t="str">
        <v>Retired</v>
      </c>
      <c r="N336">
        <v>31</v>
      </c>
      <c r="O336" t="str">
        <f t="shared" si="5"/>
        <v>Employed &gt;2 Years</v>
      </c>
    </row>
    <row r="337" spans="1:15" x14ac:dyDescent="0.25">
      <c r="A337" t="s">
        <v>638</v>
      </c>
      <c r="B337" t="s">
        <v>639</v>
      </c>
      <c r="C337" s="1">
        <v>45631</v>
      </c>
      <c r="D337" t="s">
        <v>36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27</v>
      </c>
      <c r="K337">
        <v>0</v>
      </c>
      <c r="L337">
        <v>0</v>
      </c>
      <c r="M337" t="str">
        <v>Retired</v>
      </c>
      <c r="N337">
        <v>3</v>
      </c>
      <c r="O337" t="str">
        <f t="shared" si="5"/>
        <v>Employed &gt;2 Years</v>
      </c>
    </row>
    <row r="338" spans="1:15" x14ac:dyDescent="0.25">
      <c r="A338" t="s">
        <v>640</v>
      </c>
      <c r="B338" t="s">
        <v>641</v>
      </c>
      <c r="C338" s="1">
        <v>45295</v>
      </c>
      <c r="D338" t="s">
        <v>30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27</v>
      </c>
      <c r="K338">
        <v>0</v>
      </c>
      <c r="L338">
        <v>0</v>
      </c>
      <c r="M338" t="str">
        <v>Contract</v>
      </c>
      <c r="N338">
        <v>1</v>
      </c>
      <c r="O338" t="str">
        <f t="shared" si="5"/>
        <v>Employed &lt;2 Years</v>
      </c>
    </row>
    <row r="339" spans="1:15" x14ac:dyDescent="0.25">
      <c r="A339" t="s">
        <v>642</v>
      </c>
      <c r="B339" t="s">
        <v>643</v>
      </c>
      <c r="C339" s="1">
        <v>45676</v>
      </c>
      <c r="D339" t="s">
        <v>14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15</v>
      </c>
      <c r="K339">
        <v>0</v>
      </c>
      <c r="L339">
        <v>0</v>
      </c>
      <c r="M339" t="str">
        <v>Self-Employed</v>
      </c>
      <c r="N339">
        <v>35</v>
      </c>
      <c r="O339" t="str">
        <f t="shared" si="5"/>
        <v>Employed &gt;2 Years</v>
      </c>
    </row>
    <row r="340" spans="1:15" x14ac:dyDescent="0.25">
      <c r="A340" t="s">
        <v>644</v>
      </c>
      <c r="B340" t="s">
        <v>645</v>
      </c>
      <c r="C340" s="1">
        <v>45491</v>
      </c>
      <c r="D340" t="s">
        <v>36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62</v>
      </c>
      <c r="K340">
        <v>15</v>
      </c>
      <c r="L340">
        <v>0</v>
      </c>
      <c r="M340" t="str">
        <v>Self-Employed</v>
      </c>
      <c r="N340">
        <v>17</v>
      </c>
      <c r="O340" t="str">
        <f t="shared" si="5"/>
        <v>Employed &gt;2 Years</v>
      </c>
    </row>
    <row r="341" spans="1:15" x14ac:dyDescent="0.25">
      <c r="A341" t="s">
        <v>646</v>
      </c>
      <c r="B341" t="s">
        <v>647</v>
      </c>
      <c r="C341" s="1">
        <v>45639</v>
      </c>
      <c r="D341" t="s">
        <v>38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27</v>
      </c>
      <c r="K341">
        <v>0</v>
      </c>
      <c r="L341">
        <v>0</v>
      </c>
      <c r="M341" t="str">
        <v>Retired</v>
      </c>
      <c r="N341">
        <v>2</v>
      </c>
      <c r="O341" t="str">
        <f t="shared" si="5"/>
        <v>Employed &gt;2 Years</v>
      </c>
    </row>
    <row r="342" spans="1:15" x14ac:dyDescent="0.25">
      <c r="A342" t="s">
        <v>648</v>
      </c>
      <c r="B342" t="s">
        <v>647</v>
      </c>
      <c r="C342" s="1">
        <v>45432</v>
      </c>
      <c r="D342" t="s">
        <v>33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27</v>
      </c>
      <c r="K342">
        <v>0</v>
      </c>
      <c r="L342">
        <v>0</v>
      </c>
      <c r="M342" t="str">
        <v>Retired</v>
      </c>
      <c r="N342">
        <v>2</v>
      </c>
      <c r="O342" t="str">
        <f t="shared" si="5"/>
        <v>Employed &gt;2 Years</v>
      </c>
    </row>
    <row r="343" spans="1:15" x14ac:dyDescent="0.25">
      <c r="A343" t="s">
        <v>649</v>
      </c>
      <c r="B343" t="s">
        <v>650</v>
      </c>
      <c r="C343" s="1">
        <v>45831</v>
      </c>
      <c r="D343" t="s">
        <v>24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62</v>
      </c>
      <c r="K343">
        <v>30</v>
      </c>
      <c r="L343">
        <v>0</v>
      </c>
      <c r="M343" t="str">
        <v>Contract</v>
      </c>
      <c r="N343">
        <v>10</v>
      </c>
      <c r="O343" t="str">
        <f t="shared" si="5"/>
        <v>Employed &gt;2 Years</v>
      </c>
    </row>
    <row r="344" spans="1:15" x14ac:dyDescent="0.25">
      <c r="A344" t="s">
        <v>651</v>
      </c>
      <c r="B344" t="s">
        <v>650</v>
      </c>
      <c r="C344" s="1">
        <v>45488</v>
      </c>
      <c r="D344" t="s">
        <v>36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27</v>
      </c>
      <c r="K344">
        <v>0</v>
      </c>
      <c r="L344">
        <v>0</v>
      </c>
      <c r="M344" t="str">
        <v>Contract</v>
      </c>
      <c r="N344">
        <v>10</v>
      </c>
      <c r="O344" t="str">
        <f t="shared" si="5"/>
        <v>Employed &gt;2 Years</v>
      </c>
    </row>
    <row r="345" spans="1:15" x14ac:dyDescent="0.25">
      <c r="A345" t="s">
        <v>652</v>
      </c>
      <c r="B345" t="s">
        <v>653</v>
      </c>
      <c r="C345" s="1">
        <v>45593</v>
      </c>
      <c r="D345" t="s">
        <v>38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27</v>
      </c>
      <c r="K345">
        <v>0</v>
      </c>
      <c r="L345">
        <v>0</v>
      </c>
      <c r="M345" t="str">
        <v>Full-Time</v>
      </c>
      <c r="N345">
        <v>2</v>
      </c>
      <c r="O345" t="str">
        <f t="shared" si="5"/>
        <v>Employed &gt;2 Years</v>
      </c>
    </row>
    <row r="346" spans="1:15" x14ac:dyDescent="0.25">
      <c r="A346" t="s">
        <v>654</v>
      </c>
      <c r="B346" t="s">
        <v>655</v>
      </c>
      <c r="C346" s="1">
        <v>45375</v>
      </c>
      <c r="D346" t="s">
        <v>33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62</v>
      </c>
      <c r="K346">
        <v>0</v>
      </c>
      <c r="L346">
        <v>0</v>
      </c>
      <c r="M346" t="str">
        <v>Self-Employed</v>
      </c>
      <c r="N346">
        <v>3</v>
      </c>
      <c r="O346" t="str">
        <f t="shared" si="5"/>
        <v>Employed &gt;2 Years</v>
      </c>
    </row>
    <row r="347" spans="1:15" x14ac:dyDescent="0.25">
      <c r="A347" t="s">
        <v>656</v>
      </c>
      <c r="B347" t="s">
        <v>657</v>
      </c>
      <c r="C347" s="1">
        <v>45823</v>
      </c>
      <c r="D347" t="s">
        <v>17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27</v>
      </c>
      <c r="K347">
        <v>0</v>
      </c>
      <c r="L347">
        <v>0</v>
      </c>
      <c r="M347" t="str">
        <v>Self-Employed</v>
      </c>
      <c r="N347">
        <v>7</v>
      </c>
      <c r="O347" t="str">
        <f t="shared" si="5"/>
        <v>Employed &gt;2 Years</v>
      </c>
    </row>
    <row r="348" spans="1:15" x14ac:dyDescent="0.25">
      <c r="A348" t="s">
        <v>658</v>
      </c>
      <c r="B348" t="s">
        <v>659</v>
      </c>
      <c r="C348" s="1">
        <v>45504</v>
      </c>
      <c r="D348" t="s">
        <v>14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15</v>
      </c>
      <c r="K348">
        <v>0</v>
      </c>
      <c r="L348">
        <v>0</v>
      </c>
      <c r="M348" t="str">
        <v>Self-Employed</v>
      </c>
      <c r="N348">
        <v>16</v>
      </c>
      <c r="O348" t="str">
        <f t="shared" si="5"/>
        <v>Employed &gt;2 Years</v>
      </c>
    </row>
    <row r="349" spans="1:15" x14ac:dyDescent="0.25">
      <c r="A349" t="s">
        <v>660</v>
      </c>
      <c r="B349" t="s">
        <v>661</v>
      </c>
      <c r="C349" s="1">
        <v>45675</v>
      </c>
      <c r="D349" t="s">
        <v>24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18</v>
      </c>
      <c r="K349">
        <v>51</v>
      </c>
      <c r="L349">
        <v>1</v>
      </c>
      <c r="M349" t="str">
        <v>Full-Time</v>
      </c>
      <c r="N349">
        <v>29</v>
      </c>
      <c r="O349" t="str">
        <f t="shared" si="5"/>
        <v>Employed &gt;2 Years</v>
      </c>
    </row>
    <row r="350" spans="1:15" x14ac:dyDescent="0.25">
      <c r="A350" t="s">
        <v>662</v>
      </c>
      <c r="B350" t="s">
        <v>663</v>
      </c>
      <c r="C350" s="1">
        <v>45768</v>
      </c>
      <c r="D350" t="s">
        <v>36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27</v>
      </c>
      <c r="K350">
        <v>0</v>
      </c>
      <c r="L350">
        <v>0</v>
      </c>
      <c r="M350" t="str">
        <v>Retired</v>
      </c>
      <c r="N350">
        <v>17</v>
      </c>
      <c r="O350" t="str">
        <f t="shared" si="5"/>
        <v>Employed &gt;2 Years</v>
      </c>
    </row>
    <row r="351" spans="1:15" x14ac:dyDescent="0.25">
      <c r="A351" t="s">
        <v>664</v>
      </c>
      <c r="B351" t="s">
        <v>665</v>
      </c>
      <c r="C351" s="1">
        <v>45744</v>
      </c>
      <c r="D351" t="s">
        <v>30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18</v>
      </c>
      <c r="K351">
        <v>49</v>
      </c>
      <c r="L351">
        <v>1</v>
      </c>
      <c r="M351" t="str">
        <v>Self-Employed</v>
      </c>
      <c r="N351">
        <v>2</v>
      </c>
      <c r="O351" t="str">
        <f t="shared" si="5"/>
        <v>Employed &gt;2 Years</v>
      </c>
    </row>
    <row r="352" spans="1:15" x14ac:dyDescent="0.25">
      <c r="A352" t="s">
        <v>666</v>
      </c>
      <c r="B352" t="s">
        <v>667</v>
      </c>
      <c r="C352" s="1">
        <v>45575</v>
      </c>
      <c r="D352" t="s">
        <v>36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27</v>
      </c>
      <c r="K352">
        <v>0</v>
      </c>
      <c r="L352">
        <v>0</v>
      </c>
      <c r="M352" t="str">
        <v>Full-Time</v>
      </c>
      <c r="N352">
        <v>11</v>
      </c>
      <c r="O352" t="str">
        <f t="shared" si="5"/>
        <v>Employed &gt;2 Years</v>
      </c>
    </row>
    <row r="353" spans="1:15" x14ac:dyDescent="0.25">
      <c r="A353" t="s">
        <v>668</v>
      </c>
      <c r="B353" t="s">
        <v>669</v>
      </c>
      <c r="C353" s="1">
        <v>45573</v>
      </c>
      <c r="D353" t="s">
        <v>38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18</v>
      </c>
      <c r="K353">
        <v>65</v>
      </c>
      <c r="L353">
        <v>1</v>
      </c>
      <c r="M353" t="str">
        <v>Full-Time</v>
      </c>
      <c r="N353">
        <v>1</v>
      </c>
      <c r="O353" t="str">
        <f t="shared" si="5"/>
        <v>Employed &lt;2 Years</v>
      </c>
    </row>
    <row r="354" spans="1:15" x14ac:dyDescent="0.25">
      <c r="A354" t="s">
        <v>670</v>
      </c>
      <c r="B354" t="s">
        <v>671</v>
      </c>
      <c r="C354" s="1">
        <v>45646</v>
      </c>
      <c r="D354" t="s">
        <v>21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27</v>
      </c>
      <c r="K354">
        <v>0</v>
      </c>
      <c r="L354">
        <v>0</v>
      </c>
      <c r="M354" t="str">
        <v>Self-Employed</v>
      </c>
      <c r="N354">
        <v>2</v>
      </c>
      <c r="O354" t="str">
        <f t="shared" si="5"/>
        <v>Employed &gt;2 Years</v>
      </c>
    </row>
    <row r="355" spans="1:15" x14ac:dyDescent="0.25">
      <c r="A355" t="s">
        <v>672</v>
      </c>
      <c r="B355" t="s">
        <v>671</v>
      </c>
      <c r="C355" s="1">
        <v>45444</v>
      </c>
      <c r="D355" t="s">
        <v>47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15</v>
      </c>
      <c r="K355">
        <v>0</v>
      </c>
      <c r="L355">
        <v>0</v>
      </c>
      <c r="M355" t="str">
        <v>Self-Employed</v>
      </c>
      <c r="N355">
        <v>2</v>
      </c>
      <c r="O355" t="str">
        <f t="shared" si="5"/>
        <v>Employed &gt;2 Years</v>
      </c>
    </row>
    <row r="356" spans="1:15" x14ac:dyDescent="0.25">
      <c r="A356" t="s">
        <v>673</v>
      </c>
      <c r="B356" t="s">
        <v>674</v>
      </c>
      <c r="C356" s="1">
        <v>45764</v>
      </c>
      <c r="D356" t="s">
        <v>38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15</v>
      </c>
      <c r="K356">
        <v>0</v>
      </c>
      <c r="L356">
        <v>0</v>
      </c>
      <c r="M356" t="str">
        <v>Contract</v>
      </c>
      <c r="N356">
        <v>2</v>
      </c>
      <c r="O356" t="str">
        <f t="shared" si="5"/>
        <v>Employed &gt;2 Years</v>
      </c>
    </row>
    <row r="357" spans="1:15" x14ac:dyDescent="0.25">
      <c r="A357" t="s">
        <v>675</v>
      </c>
      <c r="B357" t="s">
        <v>676</v>
      </c>
      <c r="C357" s="1">
        <v>45434</v>
      </c>
      <c r="D357" t="s">
        <v>17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15</v>
      </c>
      <c r="K357">
        <v>0</v>
      </c>
      <c r="L357">
        <v>0</v>
      </c>
      <c r="M357" t="str">
        <v>Full-Time</v>
      </c>
      <c r="N357">
        <v>2</v>
      </c>
      <c r="O357" t="str">
        <f t="shared" si="5"/>
        <v>Employed &gt;2 Years</v>
      </c>
    </row>
    <row r="358" spans="1:15" x14ac:dyDescent="0.25">
      <c r="A358" t="s">
        <v>677</v>
      </c>
      <c r="B358" t="s">
        <v>678</v>
      </c>
      <c r="C358" s="1">
        <v>45598</v>
      </c>
      <c r="D358" t="s">
        <v>30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15</v>
      </c>
      <c r="K358">
        <v>0</v>
      </c>
      <c r="L358">
        <v>0</v>
      </c>
      <c r="M358" t="str">
        <v>Full-Time</v>
      </c>
      <c r="N358">
        <v>2</v>
      </c>
      <c r="O358" t="str">
        <f t="shared" si="5"/>
        <v>Employed &gt;2 Years</v>
      </c>
    </row>
    <row r="359" spans="1:15" x14ac:dyDescent="0.25">
      <c r="A359" t="s">
        <v>679</v>
      </c>
      <c r="B359" t="s">
        <v>680</v>
      </c>
      <c r="C359" s="1">
        <v>45692</v>
      </c>
      <c r="D359" t="s">
        <v>33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27</v>
      </c>
      <c r="K359">
        <v>0</v>
      </c>
      <c r="L359">
        <v>0</v>
      </c>
      <c r="M359" t="str">
        <v>Full-Time</v>
      </c>
      <c r="N359">
        <v>12</v>
      </c>
      <c r="O359" t="str">
        <f t="shared" si="5"/>
        <v>Employed &gt;2 Years</v>
      </c>
    </row>
    <row r="360" spans="1:15" x14ac:dyDescent="0.25">
      <c r="A360" t="s">
        <v>681</v>
      </c>
      <c r="B360" t="s">
        <v>680</v>
      </c>
      <c r="C360" s="1">
        <v>45754</v>
      </c>
      <c r="D360" t="s">
        <v>21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27</v>
      </c>
      <c r="K360">
        <v>0</v>
      </c>
      <c r="L360">
        <v>0</v>
      </c>
      <c r="M360" t="str">
        <v>Full-Time</v>
      </c>
      <c r="N360">
        <v>12</v>
      </c>
      <c r="O360" t="str">
        <f t="shared" si="5"/>
        <v>Employed &gt;2 Years</v>
      </c>
    </row>
    <row r="361" spans="1:15" x14ac:dyDescent="0.25">
      <c r="A361" t="s">
        <v>682</v>
      </c>
      <c r="B361" t="s">
        <v>683</v>
      </c>
      <c r="C361" s="1">
        <v>45495</v>
      </c>
      <c r="D361" t="s">
        <v>33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18</v>
      </c>
      <c r="K361">
        <v>128</v>
      </c>
      <c r="L361">
        <v>1</v>
      </c>
      <c r="M361" t="str">
        <v>Full-Time</v>
      </c>
      <c r="N361">
        <v>9</v>
      </c>
      <c r="O361" t="str">
        <f t="shared" si="5"/>
        <v>Employed &gt;2 Years</v>
      </c>
    </row>
    <row r="362" spans="1:15" x14ac:dyDescent="0.25">
      <c r="A362" t="s">
        <v>684</v>
      </c>
      <c r="B362" t="s">
        <v>685</v>
      </c>
      <c r="C362" s="1">
        <v>45822</v>
      </c>
      <c r="D362" t="s">
        <v>38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18</v>
      </c>
      <c r="K362">
        <v>113</v>
      </c>
      <c r="L362">
        <v>1</v>
      </c>
      <c r="M362" t="str">
        <v>Part-Time</v>
      </c>
      <c r="N362">
        <v>9</v>
      </c>
      <c r="O362" t="str">
        <f t="shared" si="5"/>
        <v>Employed &gt;2 Years</v>
      </c>
    </row>
    <row r="363" spans="1:15" x14ac:dyDescent="0.25">
      <c r="A363" t="s">
        <v>686</v>
      </c>
      <c r="B363" t="s">
        <v>687</v>
      </c>
      <c r="C363" s="1">
        <v>45781</v>
      </c>
      <c r="D363" t="s">
        <v>17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15</v>
      </c>
      <c r="K363">
        <v>0</v>
      </c>
      <c r="L363">
        <v>0</v>
      </c>
      <c r="M363" t="str">
        <v>Full-Time</v>
      </c>
      <c r="N363">
        <v>33</v>
      </c>
      <c r="O363" t="str">
        <f t="shared" si="5"/>
        <v>Employed &gt;2 Years</v>
      </c>
    </row>
    <row r="364" spans="1:15" x14ac:dyDescent="0.25">
      <c r="A364" t="s">
        <v>688</v>
      </c>
      <c r="B364" t="s">
        <v>687</v>
      </c>
      <c r="C364" s="1">
        <v>45778</v>
      </c>
      <c r="D364" t="s">
        <v>38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18</v>
      </c>
      <c r="K364">
        <v>177</v>
      </c>
      <c r="L364">
        <v>1</v>
      </c>
      <c r="M364" t="str">
        <v>Full-Time</v>
      </c>
      <c r="N364">
        <v>33</v>
      </c>
      <c r="O364" t="str">
        <f t="shared" si="5"/>
        <v>Employed &gt;2 Years</v>
      </c>
    </row>
    <row r="365" spans="1:15" x14ac:dyDescent="0.25">
      <c r="A365" t="s">
        <v>689</v>
      </c>
      <c r="B365" t="s">
        <v>690</v>
      </c>
      <c r="C365" s="1">
        <v>45299</v>
      </c>
      <c r="D365" t="s">
        <v>47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15</v>
      </c>
      <c r="K365">
        <v>0</v>
      </c>
      <c r="L365">
        <v>0</v>
      </c>
      <c r="M365" t="str">
        <v>Contract</v>
      </c>
      <c r="N365">
        <v>10</v>
      </c>
      <c r="O365" t="str">
        <f t="shared" si="5"/>
        <v>Employed &gt;2 Years</v>
      </c>
    </row>
    <row r="366" spans="1:15" x14ac:dyDescent="0.25">
      <c r="A366" t="s">
        <v>691</v>
      </c>
      <c r="B366" t="s">
        <v>690</v>
      </c>
      <c r="C366" s="1">
        <v>45763</v>
      </c>
      <c r="D366" t="s">
        <v>47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27</v>
      </c>
      <c r="K366">
        <v>0</v>
      </c>
      <c r="L366">
        <v>0</v>
      </c>
      <c r="M366" t="str">
        <v>Contract</v>
      </c>
      <c r="N366">
        <v>10</v>
      </c>
      <c r="O366" t="str">
        <f t="shared" si="5"/>
        <v>Employed &gt;2 Years</v>
      </c>
    </row>
    <row r="367" spans="1:15" x14ac:dyDescent="0.25">
      <c r="A367" t="s">
        <v>692</v>
      </c>
      <c r="B367" t="s">
        <v>693</v>
      </c>
      <c r="C367" s="1">
        <v>45471</v>
      </c>
      <c r="D367" t="s">
        <v>14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18</v>
      </c>
      <c r="K367">
        <v>75</v>
      </c>
      <c r="L367">
        <v>1</v>
      </c>
      <c r="M367" t="str">
        <v>Full-Time</v>
      </c>
      <c r="N367">
        <v>3</v>
      </c>
      <c r="O367" t="str">
        <f t="shared" si="5"/>
        <v>Employed &gt;2 Years</v>
      </c>
    </row>
    <row r="368" spans="1:15" x14ac:dyDescent="0.25">
      <c r="A368" t="s">
        <v>694</v>
      </c>
      <c r="B368" t="s">
        <v>695</v>
      </c>
      <c r="C368" s="1">
        <v>45389</v>
      </c>
      <c r="D368" t="s">
        <v>17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62</v>
      </c>
      <c r="K368">
        <v>15</v>
      </c>
      <c r="L368">
        <v>0</v>
      </c>
      <c r="M368" t="str">
        <v>Full-Time</v>
      </c>
      <c r="N368">
        <v>4</v>
      </c>
      <c r="O368" t="str">
        <f t="shared" si="5"/>
        <v>Employed &gt;2 Years</v>
      </c>
    </row>
    <row r="369" spans="1:15" x14ac:dyDescent="0.25">
      <c r="A369" t="s">
        <v>696</v>
      </c>
      <c r="B369" t="s">
        <v>695</v>
      </c>
      <c r="C369" s="1">
        <v>45360</v>
      </c>
      <c r="D369" t="s">
        <v>33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27</v>
      </c>
      <c r="K369">
        <v>0</v>
      </c>
      <c r="L369">
        <v>0</v>
      </c>
      <c r="M369" t="str">
        <v>Full-Time</v>
      </c>
      <c r="N369">
        <v>4</v>
      </c>
      <c r="O369" t="str">
        <f t="shared" si="5"/>
        <v>Employed &gt;2 Years</v>
      </c>
    </row>
    <row r="370" spans="1:15" x14ac:dyDescent="0.25">
      <c r="A370" t="s">
        <v>697</v>
      </c>
      <c r="B370" t="s">
        <v>698</v>
      </c>
      <c r="C370" s="1">
        <v>45625</v>
      </c>
      <c r="D370" t="s">
        <v>21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27</v>
      </c>
      <c r="K370">
        <v>0</v>
      </c>
      <c r="L370">
        <v>0</v>
      </c>
      <c r="M370" t="str">
        <v>Full-Time</v>
      </c>
      <c r="N370">
        <v>1</v>
      </c>
      <c r="O370" t="str">
        <f t="shared" si="5"/>
        <v>Employed &lt;2 Years</v>
      </c>
    </row>
    <row r="371" spans="1:15" x14ac:dyDescent="0.25">
      <c r="A371" t="s">
        <v>699</v>
      </c>
      <c r="B371" t="s">
        <v>700</v>
      </c>
      <c r="C371" s="1">
        <v>45700</v>
      </c>
      <c r="D371" t="s">
        <v>41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27</v>
      </c>
      <c r="K371">
        <v>0</v>
      </c>
      <c r="L371">
        <v>0</v>
      </c>
      <c r="M371" t="str">
        <v>Retired</v>
      </c>
      <c r="N371">
        <v>4</v>
      </c>
      <c r="O371" t="str">
        <f t="shared" si="5"/>
        <v>Employed &gt;2 Years</v>
      </c>
    </row>
    <row r="372" spans="1:15" x14ac:dyDescent="0.25">
      <c r="A372" t="s">
        <v>701</v>
      </c>
      <c r="B372" t="s">
        <v>702</v>
      </c>
      <c r="C372" s="1">
        <v>45376</v>
      </c>
      <c r="D372" t="s">
        <v>33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15</v>
      </c>
      <c r="K372">
        <v>0</v>
      </c>
      <c r="L372">
        <v>0</v>
      </c>
      <c r="M372" t="str">
        <v>Full-Time</v>
      </c>
      <c r="N372">
        <v>5</v>
      </c>
      <c r="O372" t="str">
        <f t="shared" si="5"/>
        <v>Employed &gt;2 Years</v>
      </c>
    </row>
    <row r="373" spans="1:15" x14ac:dyDescent="0.25">
      <c r="A373" t="s">
        <v>703</v>
      </c>
      <c r="B373" t="s">
        <v>704</v>
      </c>
      <c r="C373" s="1">
        <v>45473</v>
      </c>
      <c r="D373" t="s">
        <v>24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18</v>
      </c>
      <c r="K373">
        <v>166</v>
      </c>
      <c r="L373">
        <v>1</v>
      </c>
      <c r="M373" t="str">
        <v>Self-Employed</v>
      </c>
      <c r="N373">
        <v>24</v>
      </c>
      <c r="O373" t="str">
        <f t="shared" si="5"/>
        <v>Employed &gt;2 Years</v>
      </c>
    </row>
    <row r="374" spans="1:15" x14ac:dyDescent="0.25">
      <c r="A374" t="s">
        <v>705</v>
      </c>
      <c r="B374" t="s">
        <v>706</v>
      </c>
      <c r="C374" s="1">
        <v>45658</v>
      </c>
      <c r="D374" t="s">
        <v>33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15</v>
      </c>
      <c r="K374">
        <v>0</v>
      </c>
      <c r="L374">
        <v>0</v>
      </c>
      <c r="M374" t="str">
        <v>Retired</v>
      </c>
      <c r="N374">
        <v>3</v>
      </c>
      <c r="O374" t="str">
        <f t="shared" si="5"/>
        <v>Employed &gt;2 Years</v>
      </c>
    </row>
    <row r="375" spans="1:15" x14ac:dyDescent="0.25">
      <c r="A375" t="s">
        <v>707</v>
      </c>
      <c r="B375" t="s">
        <v>708</v>
      </c>
      <c r="C375" s="1">
        <v>45397</v>
      </c>
      <c r="D375" t="s">
        <v>14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18</v>
      </c>
      <c r="K375">
        <v>108</v>
      </c>
      <c r="L375">
        <v>1</v>
      </c>
      <c r="M375" t="str">
        <v>Self-Employed</v>
      </c>
      <c r="N375">
        <v>7</v>
      </c>
      <c r="O375" t="str">
        <f t="shared" si="5"/>
        <v>Employed &gt;2 Years</v>
      </c>
    </row>
    <row r="376" spans="1:15" x14ac:dyDescent="0.25">
      <c r="A376" t="s">
        <v>709</v>
      </c>
      <c r="B376" t="s">
        <v>710</v>
      </c>
      <c r="C376" s="1">
        <v>45675</v>
      </c>
      <c r="D376" t="s">
        <v>47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27</v>
      </c>
      <c r="K376">
        <v>0</v>
      </c>
      <c r="L376">
        <v>0</v>
      </c>
      <c r="M376" t="str">
        <v>Full-Time</v>
      </c>
      <c r="N376">
        <v>1</v>
      </c>
      <c r="O376" t="str">
        <f t="shared" si="5"/>
        <v>Employed &lt;2 Years</v>
      </c>
    </row>
    <row r="377" spans="1:15" x14ac:dyDescent="0.25">
      <c r="A377" t="s">
        <v>711</v>
      </c>
      <c r="B377" t="s">
        <v>712</v>
      </c>
      <c r="C377" s="1">
        <v>45390</v>
      </c>
      <c r="D377" t="s">
        <v>41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27</v>
      </c>
      <c r="K377">
        <v>0</v>
      </c>
      <c r="L377">
        <v>0</v>
      </c>
      <c r="M377" t="str">
        <v>Full-Time</v>
      </c>
      <c r="N377">
        <v>2</v>
      </c>
      <c r="O377" t="str">
        <f t="shared" si="5"/>
        <v>Employed &gt;2 Years</v>
      </c>
    </row>
    <row r="378" spans="1:15" x14ac:dyDescent="0.25">
      <c r="A378" t="s">
        <v>713</v>
      </c>
      <c r="B378" t="s">
        <v>714</v>
      </c>
      <c r="C378" s="1">
        <v>45486</v>
      </c>
      <c r="D378" t="s">
        <v>17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62</v>
      </c>
      <c r="K378">
        <v>15</v>
      </c>
      <c r="L378">
        <v>0</v>
      </c>
      <c r="M378" t="str">
        <v>Full-Time</v>
      </c>
      <c r="N378">
        <v>1</v>
      </c>
      <c r="O378" t="str">
        <f t="shared" si="5"/>
        <v>Employed &lt;2 Years</v>
      </c>
    </row>
    <row r="379" spans="1:15" x14ac:dyDescent="0.25">
      <c r="A379" t="s">
        <v>715</v>
      </c>
      <c r="B379" t="s">
        <v>716</v>
      </c>
      <c r="C379" s="1">
        <v>45615</v>
      </c>
      <c r="D379" t="s">
        <v>38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18</v>
      </c>
      <c r="K379">
        <v>84</v>
      </c>
      <c r="L379">
        <v>1</v>
      </c>
      <c r="M379" t="str">
        <v>Full-Time</v>
      </c>
      <c r="N379">
        <v>18</v>
      </c>
      <c r="O379" t="str">
        <f t="shared" si="5"/>
        <v>Employed &gt;2 Years</v>
      </c>
    </row>
    <row r="380" spans="1:15" x14ac:dyDescent="0.25">
      <c r="A380" t="s">
        <v>717</v>
      </c>
      <c r="B380" t="s">
        <v>718</v>
      </c>
      <c r="C380" s="1">
        <v>45360</v>
      </c>
      <c r="D380" t="s">
        <v>36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15</v>
      </c>
      <c r="K380">
        <v>0</v>
      </c>
      <c r="L380">
        <v>0</v>
      </c>
      <c r="M380" t="str">
        <v>Retired</v>
      </c>
      <c r="N380">
        <v>15</v>
      </c>
      <c r="O380" t="str">
        <f t="shared" si="5"/>
        <v>Employed &gt;2 Years</v>
      </c>
    </row>
    <row r="381" spans="1:15" x14ac:dyDescent="0.25">
      <c r="A381" t="s">
        <v>719</v>
      </c>
      <c r="B381" t="s">
        <v>720</v>
      </c>
      <c r="C381" s="1">
        <v>45389</v>
      </c>
      <c r="D381" t="s">
        <v>36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62</v>
      </c>
      <c r="K381">
        <v>30</v>
      </c>
      <c r="L381">
        <v>0</v>
      </c>
      <c r="M381" t="str">
        <v>Self-Employed</v>
      </c>
      <c r="N381">
        <v>0</v>
      </c>
      <c r="O381" t="str">
        <f t="shared" si="5"/>
        <v>Employed &lt;2 Years</v>
      </c>
    </row>
    <row r="382" spans="1:15" x14ac:dyDescent="0.25">
      <c r="A382" t="s">
        <v>721</v>
      </c>
      <c r="B382" t="s">
        <v>722</v>
      </c>
      <c r="C382" s="1">
        <v>45785</v>
      </c>
      <c r="D382" t="s">
        <v>33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18</v>
      </c>
      <c r="K382">
        <v>34</v>
      </c>
      <c r="L382">
        <v>1</v>
      </c>
      <c r="M382" t="str">
        <v>Retired</v>
      </c>
      <c r="N382">
        <v>2</v>
      </c>
      <c r="O382" t="str">
        <f t="shared" si="5"/>
        <v>Employed &gt;2 Years</v>
      </c>
    </row>
    <row r="383" spans="1:15" x14ac:dyDescent="0.25">
      <c r="A383" t="s">
        <v>723</v>
      </c>
      <c r="B383" t="s">
        <v>724</v>
      </c>
      <c r="C383" s="1">
        <v>45305</v>
      </c>
      <c r="D383" t="s">
        <v>47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18</v>
      </c>
      <c r="K383">
        <v>61</v>
      </c>
      <c r="L383">
        <v>1</v>
      </c>
      <c r="M383" t="str">
        <v>Contract</v>
      </c>
      <c r="N383">
        <v>6</v>
      </c>
      <c r="O383" t="str">
        <f t="shared" si="5"/>
        <v>Employed &gt;2 Years</v>
      </c>
    </row>
    <row r="384" spans="1:15" x14ac:dyDescent="0.25">
      <c r="A384" t="s">
        <v>725</v>
      </c>
      <c r="B384" t="s">
        <v>726</v>
      </c>
      <c r="C384" s="1">
        <v>45802</v>
      </c>
      <c r="D384" t="s">
        <v>17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27</v>
      </c>
      <c r="K384">
        <v>0</v>
      </c>
      <c r="L384">
        <v>0</v>
      </c>
      <c r="M384" t="str">
        <v>Self-Employed</v>
      </c>
      <c r="N384">
        <v>16</v>
      </c>
      <c r="O384" t="str">
        <f t="shared" si="5"/>
        <v>Employed &gt;2 Years</v>
      </c>
    </row>
    <row r="385" spans="1:15" x14ac:dyDescent="0.25">
      <c r="A385" t="s">
        <v>727</v>
      </c>
      <c r="B385" t="s">
        <v>728</v>
      </c>
      <c r="C385" s="1">
        <v>45617</v>
      </c>
      <c r="D385" t="s">
        <v>47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27</v>
      </c>
      <c r="K385">
        <v>0</v>
      </c>
      <c r="L385">
        <v>0</v>
      </c>
      <c r="M385" t="str">
        <v>Full-Time</v>
      </c>
      <c r="N385">
        <v>4</v>
      </c>
      <c r="O385" t="str">
        <f t="shared" si="5"/>
        <v>Employed &gt;2 Years</v>
      </c>
    </row>
    <row r="386" spans="1:15" x14ac:dyDescent="0.25">
      <c r="A386" t="s">
        <v>729</v>
      </c>
      <c r="B386" t="s">
        <v>730</v>
      </c>
      <c r="C386" s="1">
        <v>45502</v>
      </c>
      <c r="D386" t="s">
        <v>24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62</v>
      </c>
      <c r="K386">
        <v>15</v>
      </c>
      <c r="L386">
        <v>0</v>
      </c>
      <c r="M386" t="str">
        <v>Full-Time</v>
      </c>
      <c r="N386">
        <v>14</v>
      </c>
      <c r="O386" t="str">
        <f t="shared" si="5"/>
        <v>Employed &gt;2 Years</v>
      </c>
    </row>
    <row r="387" spans="1:15" x14ac:dyDescent="0.25">
      <c r="A387" t="s">
        <v>731</v>
      </c>
      <c r="B387" t="s">
        <v>730</v>
      </c>
      <c r="C387" s="1">
        <v>45682</v>
      </c>
      <c r="D387" t="s">
        <v>38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62</v>
      </c>
      <c r="K387">
        <v>0</v>
      </c>
      <c r="L387">
        <v>0</v>
      </c>
      <c r="M387" t="str">
        <v>Full-Time</v>
      </c>
      <c r="N387">
        <v>14</v>
      </c>
      <c r="O387" t="str">
        <f t="shared" ref="O387:O450" si="6">IF(N387&lt;2,"Employed &lt;2 Years","Employed &gt;2 Years")</f>
        <v>Employed &gt;2 Years</v>
      </c>
    </row>
    <row r="388" spans="1:15" x14ac:dyDescent="0.25">
      <c r="A388" t="s">
        <v>732</v>
      </c>
      <c r="B388" t="s">
        <v>733</v>
      </c>
      <c r="C388" s="1">
        <v>45420</v>
      </c>
      <c r="D388" t="s">
        <v>14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18</v>
      </c>
      <c r="K388">
        <v>170</v>
      </c>
      <c r="L388">
        <v>1</v>
      </c>
      <c r="M388" t="str">
        <v>Self-Employed</v>
      </c>
      <c r="N388">
        <v>20</v>
      </c>
      <c r="O388" t="str">
        <f t="shared" si="6"/>
        <v>Employed &gt;2 Years</v>
      </c>
    </row>
    <row r="389" spans="1:15" x14ac:dyDescent="0.25">
      <c r="A389" t="s">
        <v>734</v>
      </c>
      <c r="B389" t="s">
        <v>735</v>
      </c>
      <c r="C389" s="1">
        <v>45494</v>
      </c>
      <c r="D389" t="s">
        <v>38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18</v>
      </c>
      <c r="K389">
        <v>75</v>
      </c>
      <c r="L389">
        <v>1</v>
      </c>
      <c r="M389" t="str">
        <v>Full-Time</v>
      </c>
      <c r="N389">
        <v>1</v>
      </c>
      <c r="O389" t="str">
        <f t="shared" si="6"/>
        <v>Employed &lt;2 Years</v>
      </c>
    </row>
    <row r="390" spans="1:15" x14ac:dyDescent="0.25">
      <c r="A390" t="s">
        <v>736</v>
      </c>
      <c r="B390" t="s">
        <v>735</v>
      </c>
      <c r="C390" s="1">
        <v>45498</v>
      </c>
      <c r="D390" t="s">
        <v>47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18</v>
      </c>
      <c r="K390">
        <v>153</v>
      </c>
      <c r="L390">
        <v>1</v>
      </c>
      <c r="M390" t="str">
        <v>Full-Time</v>
      </c>
      <c r="N390">
        <v>1</v>
      </c>
      <c r="O390" t="str">
        <f t="shared" si="6"/>
        <v>Employed &lt;2 Years</v>
      </c>
    </row>
    <row r="391" spans="1:15" x14ac:dyDescent="0.25">
      <c r="A391" t="s">
        <v>737</v>
      </c>
      <c r="B391" t="s">
        <v>738</v>
      </c>
      <c r="C391" s="1">
        <v>45735</v>
      </c>
      <c r="D391" t="s">
        <v>30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15</v>
      </c>
      <c r="K391">
        <v>0</v>
      </c>
      <c r="L391">
        <v>0</v>
      </c>
      <c r="M391" t="str">
        <v>Full-Time</v>
      </c>
      <c r="N391">
        <v>0</v>
      </c>
      <c r="O391" t="str">
        <f t="shared" si="6"/>
        <v>Employed &lt;2 Years</v>
      </c>
    </row>
    <row r="392" spans="1:15" x14ac:dyDescent="0.25">
      <c r="A392" t="s">
        <v>739</v>
      </c>
      <c r="B392" t="s">
        <v>740</v>
      </c>
      <c r="C392" s="1">
        <v>45448</v>
      </c>
      <c r="D392" t="s">
        <v>17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27</v>
      </c>
      <c r="K392">
        <v>0</v>
      </c>
      <c r="L392">
        <v>0</v>
      </c>
      <c r="M392" t="str">
        <v>Part-Time</v>
      </c>
      <c r="N392">
        <v>18</v>
      </c>
      <c r="O392" t="str">
        <f t="shared" si="6"/>
        <v>Employed &gt;2 Years</v>
      </c>
    </row>
    <row r="393" spans="1:15" x14ac:dyDescent="0.25">
      <c r="A393" t="s">
        <v>741</v>
      </c>
      <c r="B393" t="s">
        <v>742</v>
      </c>
      <c r="C393" s="1">
        <v>45772</v>
      </c>
      <c r="D393" t="s">
        <v>24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18</v>
      </c>
      <c r="K393">
        <v>78</v>
      </c>
      <c r="L393">
        <v>1</v>
      </c>
      <c r="M393" t="str">
        <v>Full-Time</v>
      </c>
      <c r="N393">
        <v>1</v>
      </c>
      <c r="O393" t="str">
        <f t="shared" si="6"/>
        <v>Employed &lt;2 Years</v>
      </c>
    </row>
    <row r="394" spans="1:15" x14ac:dyDescent="0.25">
      <c r="A394" t="s">
        <v>743</v>
      </c>
      <c r="B394" t="s">
        <v>744</v>
      </c>
      <c r="C394" s="1">
        <v>45696</v>
      </c>
      <c r="D394" t="s">
        <v>21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27</v>
      </c>
      <c r="K394">
        <v>0</v>
      </c>
      <c r="L394">
        <v>0</v>
      </c>
      <c r="M394" t="str">
        <v>Full-Time</v>
      </c>
      <c r="N394">
        <v>5</v>
      </c>
      <c r="O394" t="str">
        <f t="shared" si="6"/>
        <v>Employed &gt;2 Years</v>
      </c>
    </row>
    <row r="395" spans="1:15" x14ac:dyDescent="0.25">
      <c r="A395" t="s">
        <v>745</v>
      </c>
      <c r="B395" t="s">
        <v>746</v>
      </c>
      <c r="C395" s="1">
        <v>45458</v>
      </c>
      <c r="D395" t="s">
        <v>47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18</v>
      </c>
      <c r="K395">
        <v>141</v>
      </c>
      <c r="L395">
        <v>1</v>
      </c>
      <c r="M395" t="str">
        <v>Part-Time</v>
      </c>
      <c r="N395">
        <v>7</v>
      </c>
      <c r="O395" t="str">
        <f t="shared" si="6"/>
        <v>Employed &gt;2 Years</v>
      </c>
    </row>
    <row r="396" spans="1:15" x14ac:dyDescent="0.25">
      <c r="A396" t="s">
        <v>747</v>
      </c>
      <c r="B396" t="s">
        <v>748</v>
      </c>
      <c r="C396" s="1">
        <v>45686</v>
      </c>
      <c r="D396" t="s">
        <v>30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27</v>
      </c>
      <c r="K396">
        <v>0</v>
      </c>
      <c r="L396">
        <v>0</v>
      </c>
      <c r="M396" t="str">
        <v>Full-Time</v>
      </c>
      <c r="N396">
        <v>7</v>
      </c>
      <c r="O396" t="str">
        <f t="shared" si="6"/>
        <v>Employed &gt;2 Years</v>
      </c>
    </row>
    <row r="397" spans="1:15" x14ac:dyDescent="0.25">
      <c r="A397" t="s">
        <v>749</v>
      </c>
      <c r="B397" t="s">
        <v>748</v>
      </c>
      <c r="C397" s="1">
        <v>45443</v>
      </c>
      <c r="D397" t="s">
        <v>41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62</v>
      </c>
      <c r="K397">
        <v>0</v>
      </c>
      <c r="L397">
        <v>0</v>
      </c>
      <c r="M397" t="str">
        <v>Full-Time</v>
      </c>
      <c r="N397">
        <v>7</v>
      </c>
      <c r="O397" t="str">
        <f t="shared" si="6"/>
        <v>Employed &gt;2 Years</v>
      </c>
    </row>
    <row r="398" spans="1:15" x14ac:dyDescent="0.25">
      <c r="A398" t="s">
        <v>750</v>
      </c>
      <c r="B398" t="s">
        <v>751</v>
      </c>
      <c r="C398" s="1">
        <v>45386</v>
      </c>
      <c r="D398" t="s">
        <v>47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62</v>
      </c>
      <c r="K398">
        <v>15</v>
      </c>
      <c r="L398">
        <v>0</v>
      </c>
      <c r="M398" t="str">
        <v>Full-Time</v>
      </c>
      <c r="N398">
        <v>11</v>
      </c>
      <c r="O398" t="str">
        <f t="shared" si="6"/>
        <v>Employed &gt;2 Years</v>
      </c>
    </row>
    <row r="399" spans="1:15" x14ac:dyDescent="0.25">
      <c r="A399" t="s">
        <v>752</v>
      </c>
      <c r="B399" t="s">
        <v>753</v>
      </c>
      <c r="C399" s="1">
        <v>45729</v>
      </c>
      <c r="D399" t="s">
        <v>36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18</v>
      </c>
      <c r="K399">
        <v>107</v>
      </c>
      <c r="L399">
        <v>1</v>
      </c>
      <c r="M399" t="str">
        <v>Full-Time</v>
      </c>
      <c r="N399">
        <v>0</v>
      </c>
      <c r="O399" t="str">
        <f t="shared" si="6"/>
        <v>Employed &lt;2 Years</v>
      </c>
    </row>
    <row r="400" spans="1:15" x14ac:dyDescent="0.25">
      <c r="A400" t="s">
        <v>754</v>
      </c>
      <c r="B400" t="s">
        <v>755</v>
      </c>
      <c r="C400" s="1">
        <v>45383</v>
      </c>
      <c r="D400" t="s">
        <v>21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18</v>
      </c>
      <c r="K400">
        <v>176</v>
      </c>
      <c r="L400">
        <v>1</v>
      </c>
      <c r="M400" t="str">
        <v>Full-Time</v>
      </c>
      <c r="N400">
        <v>1</v>
      </c>
      <c r="O400" t="str">
        <f t="shared" si="6"/>
        <v>Employed &lt;2 Years</v>
      </c>
    </row>
    <row r="401" spans="1:15" x14ac:dyDescent="0.25">
      <c r="A401" t="s">
        <v>756</v>
      </c>
      <c r="B401" t="s">
        <v>757</v>
      </c>
      <c r="C401" s="1">
        <v>45699</v>
      </c>
      <c r="D401" t="s">
        <v>30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27</v>
      </c>
      <c r="K401">
        <v>0</v>
      </c>
      <c r="L401">
        <v>0</v>
      </c>
      <c r="M401" t="str">
        <v>Contract</v>
      </c>
      <c r="N401">
        <v>7</v>
      </c>
      <c r="O401" t="str">
        <f t="shared" si="6"/>
        <v>Employed &gt;2 Years</v>
      </c>
    </row>
    <row r="402" spans="1:15" x14ac:dyDescent="0.25">
      <c r="A402" t="s">
        <v>758</v>
      </c>
      <c r="B402" t="s">
        <v>759</v>
      </c>
      <c r="C402" s="1">
        <v>45587</v>
      </c>
      <c r="D402" t="s">
        <v>36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27</v>
      </c>
      <c r="K402">
        <v>0</v>
      </c>
      <c r="L402">
        <v>0</v>
      </c>
      <c r="M402" t="str">
        <v>Self-Employed</v>
      </c>
      <c r="N402">
        <v>9</v>
      </c>
      <c r="O402" t="str">
        <f t="shared" si="6"/>
        <v>Employed &gt;2 Years</v>
      </c>
    </row>
    <row r="403" spans="1:15" x14ac:dyDescent="0.25">
      <c r="A403" t="s">
        <v>760</v>
      </c>
      <c r="B403" t="s">
        <v>761</v>
      </c>
      <c r="C403" s="1">
        <v>45509</v>
      </c>
      <c r="D403" t="s">
        <v>38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18</v>
      </c>
      <c r="K403">
        <v>45</v>
      </c>
      <c r="L403">
        <v>1</v>
      </c>
      <c r="M403" t="str">
        <v>Full-Time</v>
      </c>
      <c r="N403">
        <v>14</v>
      </c>
      <c r="O403" t="str">
        <f t="shared" si="6"/>
        <v>Employed &gt;2 Years</v>
      </c>
    </row>
    <row r="404" spans="1:15" x14ac:dyDescent="0.25">
      <c r="A404" t="s">
        <v>762</v>
      </c>
      <c r="B404" t="s">
        <v>763</v>
      </c>
      <c r="C404" s="1">
        <v>45403</v>
      </c>
      <c r="D404" t="s">
        <v>38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27</v>
      </c>
      <c r="K404">
        <v>0</v>
      </c>
      <c r="L404">
        <v>0</v>
      </c>
      <c r="M404" t="str">
        <v>Full-Time</v>
      </c>
      <c r="N404">
        <v>3</v>
      </c>
      <c r="O404" t="str">
        <f t="shared" si="6"/>
        <v>Employed &gt;2 Years</v>
      </c>
    </row>
    <row r="405" spans="1:15" x14ac:dyDescent="0.25">
      <c r="A405" t="s">
        <v>764</v>
      </c>
      <c r="B405" t="s">
        <v>765</v>
      </c>
      <c r="C405" s="1">
        <v>45395</v>
      </c>
      <c r="D405" t="s">
        <v>24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18</v>
      </c>
      <c r="K405">
        <v>98</v>
      </c>
      <c r="L405">
        <v>1</v>
      </c>
      <c r="M405" t="str">
        <v>Contract</v>
      </c>
      <c r="N405">
        <v>6</v>
      </c>
      <c r="O405" t="str">
        <f t="shared" si="6"/>
        <v>Employed &gt;2 Years</v>
      </c>
    </row>
    <row r="406" spans="1:15" x14ac:dyDescent="0.25">
      <c r="A406" t="s">
        <v>766</v>
      </c>
      <c r="B406" t="s">
        <v>767</v>
      </c>
      <c r="C406" s="1">
        <v>45826</v>
      </c>
      <c r="D406" t="s">
        <v>41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27</v>
      </c>
      <c r="K406">
        <v>0</v>
      </c>
      <c r="L406">
        <v>0</v>
      </c>
      <c r="M406" t="str">
        <v>Full-Time</v>
      </c>
      <c r="N406">
        <v>10</v>
      </c>
      <c r="O406" t="str">
        <f t="shared" si="6"/>
        <v>Employed &gt;2 Years</v>
      </c>
    </row>
    <row r="407" spans="1:15" x14ac:dyDescent="0.25">
      <c r="A407" t="s">
        <v>768</v>
      </c>
      <c r="B407" t="s">
        <v>769</v>
      </c>
      <c r="C407" s="1">
        <v>45636</v>
      </c>
      <c r="D407" t="s">
        <v>24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62</v>
      </c>
      <c r="K407">
        <v>15</v>
      </c>
      <c r="L407">
        <v>0</v>
      </c>
      <c r="M407" t="str">
        <v>Full-Time</v>
      </c>
      <c r="N407">
        <v>24</v>
      </c>
      <c r="O407" t="str">
        <f t="shared" si="6"/>
        <v>Employed &gt;2 Years</v>
      </c>
    </row>
    <row r="408" spans="1:15" x14ac:dyDescent="0.25">
      <c r="A408" t="s">
        <v>770</v>
      </c>
      <c r="B408" t="s">
        <v>769</v>
      </c>
      <c r="C408" s="1">
        <v>45656</v>
      </c>
      <c r="D408" t="s">
        <v>38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27</v>
      </c>
      <c r="K408">
        <v>0</v>
      </c>
      <c r="L408">
        <v>0</v>
      </c>
      <c r="M408" t="str">
        <v>Full-Time</v>
      </c>
      <c r="N408">
        <v>24</v>
      </c>
      <c r="O408" t="str">
        <f t="shared" si="6"/>
        <v>Employed &gt;2 Years</v>
      </c>
    </row>
    <row r="409" spans="1:15" x14ac:dyDescent="0.25">
      <c r="A409" t="s">
        <v>771</v>
      </c>
      <c r="B409" t="s">
        <v>772</v>
      </c>
      <c r="C409" s="1">
        <v>45417</v>
      </c>
      <c r="D409" t="s">
        <v>17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62</v>
      </c>
      <c r="K409">
        <v>0</v>
      </c>
      <c r="L409">
        <v>0</v>
      </c>
      <c r="M409" t="str">
        <v>Retired</v>
      </c>
      <c r="N409">
        <v>0</v>
      </c>
      <c r="O409" t="str">
        <f t="shared" si="6"/>
        <v>Employed &lt;2 Years</v>
      </c>
    </row>
    <row r="410" spans="1:15" x14ac:dyDescent="0.25">
      <c r="A410" t="s">
        <v>773</v>
      </c>
      <c r="B410" t="s">
        <v>772</v>
      </c>
      <c r="C410" s="1">
        <v>45484</v>
      </c>
      <c r="D410" t="s">
        <v>38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18</v>
      </c>
      <c r="K410">
        <v>112</v>
      </c>
      <c r="L410">
        <v>1</v>
      </c>
      <c r="M410" t="str">
        <v>Retired</v>
      </c>
      <c r="N410">
        <v>0</v>
      </c>
      <c r="O410" t="str">
        <f t="shared" si="6"/>
        <v>Employed &lt;2 Years</v>
      </c>
    </row>
    <row r="411" spans="1:15" x14ac:dyDescent="0.25">
      <c r="A411" t="s">
        <v>774</v>
      </c>
      <c r="B411" t="s">
        <v>775</v>
      </c>
      <c r="C411" s="1">
        <v>45531</v>
      </c>
      <c r="D411" t="s">
        <v>30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62</v>
      </c>
      <c r="K411">
        <v>0</v>
      </c>
      <c r="L411">
        <v>0</v>
      </c>
      <c r="M411" t="str">
        <v>Full-Time</v>
      </c>
      <c r="N411">
        <v>2</v>
      </c>
      <c r="O411" t="str">
        <f t="shared" si="6"/>
        <v>Employed &gt;2 Years</v>
      </c>
    </row>
    <row r="412" spans="1:15" x14ac:dyDescent="0.25">
      <c r="A412" t="s">
        <v>776</v>
      </c>
      <c r="B412" t="s">
        <v>777</v>
      </c>
      <c r="C412" s="1">
        <v>45394</v>
      </c>
      <c r="D412" t="s">
        <v>17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27</v>
      </c>
      <c r="K412">
        <v>0</v>
      </c>
      <c r="L412">
        <v>0</v>
      </c>
      <c r="M412" t="str">
        <v>Self-Employed</v>
      </c>
      <c r="N412">
        <v>7</v>
      </c>
      <c r="O412" t="str">
        <f t="shared" si="6"/>
        <v>Employed &gt;2 Years</v>
      </c>
    </row>
    <row r="413" spans="1:15" x14ac:dyDescent="0.25">
      <c r="A413" t="s">
        <v>778</v>
      </c>
      <c r="B413" t="s">
        <v>779</v>
      </c>
      <c r="C413" s="1">
        <v>45801</v>
      </c>
      <c r="D413" t="s">
        <v>21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62</v>
      </c>
      <c r="K413">
        <v>0</v>
      </c>
      <c r="L413">
        <v>0</v>
      </c>
      <c r="M413" t="str">
        <v>Self-Employed</v>
      </c>
      <c r="N413">
        <v>13</v>
      </c>
      <c r="O413" t="str">
        <f t="shared" si="6"/>
        <v>Employed &gt;2 Years</v>
      </c>
    </row>
    <row r="414" spans="1:15" x14ac:dyDescent="0.25">
      <c r="A414" t="s">
        <v>780</v>
      </c>
      <c r="B414" t="s">
        <v>781</v>
      </c>
      <c r="C414" s="1">
        <v>45538</v>
      </c>
      <c r="D414" t="s">
        <v>14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15</v>
      </c>
      <c r="K414">
        <v>0</v>
      </c>
      <c r="L414">
        <v>0</v>
      </c>
      <c r="M414" t="str">
        <v>Full-Time</v>
      </c>
      <c r="N414">
        <v>20</v>
      </c>
      <c r="O414" t="str">
        <f t="shared" si="6"/>
        <v>Employed &gt;2 Years</v>
      </c>
    </row>
    <row r="415" spans="1:15" x14ac:dyDescent="0.25">
      <c r="A415" t="s">
        <v>782</v>
      </c>
      <c r="B415" t="s">
        <v>783</v>
      </c>
      <c r="C415" s="1">
        <v>45626</v>
      </c>
      <c r="D415" t="s">
        <v>36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27</v>
      </c>
      <c r="K415">
        <v>0</v>
      </c>
      <c r="L415">
        <v>0</v>
      </c>
      <c r="M415" t="str">
        <v>Full-Time</v>
      </c>
      <c r="N415">
        <v>2</v>
      </c>
      <c r="O415" t="str">
        <f t="shared" si="6"/>
        <v>Employed &gt;2 Years</v>
      </c>
    </row>
    <row r="416" spans="1:15" x14ac:dyDescent="0.25">
      <c r="A416" t="s">
        <v>784</v>
      </c>
      <c r="B416" t="s">
        <v>785</v>
      </c>
      <c r="C416" s="1">
        <v>45795</v>
      </c>
      <c r="D416" t="s">
        <v>14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18</v>
      </c>
      <c r="K416">
        <v>115</v>
      </c>
      <c r="L416">
        <v>1</v>
      </c>
      <c r="M416" t="str">
        <v>Retired</v>
      </c>
      <c r="N416">
        <v>6</v>
      </c>
      <c r="O416" t="str">
        <f t="shared" si="6"/>
        <v>Employed &gt;2 Years</v>
      </c>
    </row>
    <row r="417" spans="1:15" x14ac:dyDescent="0.25">
      <c r="A417" t="s">
        <v>786</v>
      </c>
      <c r="B417" t="s">
        <v>787</v>
      </c>
      <c r="C417" s="1">
        <v>45682</v>
      </c>
      <c r="D417" t="s">
        <v>47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15</v>
      </c>
      <c r="K417">
        <v>0</v>
      </c>
      <c r="L417">
        <v>0</v>
      </c>
      <c r="M417" t="str">
        <v>Full-Time</v>
      </c>
      <c r="N417">
        <v>5</v>
      </c>
      <c r="O417" t="str">
        <f t="shared" si="6"/>
        <v>Employed &gt;2 Years</v>
      </c>
    </row>
    <row r="418" spans="1:15" x14ac:dyDescent="0.25">
      <c r="A418" t="s">
        <v>788</v>
      </c>
      <c r="B418" t="s">
        <v>787</v>
      </c>
      <c r="C418" s="1">
        <v>45406</v>
      </c>
      <c r="D418" t="s">
        <v>17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18</v>
      </c>
      <c r="K418">
        <v>78</v>
      </c>
      <c r="L418">
        <v>1</v>
      </c>
      <c r="M418" t="str">
        <v>Full-Time</v>
      </c>
      <c r="N418">
        <v>5</v>
      </c>
      <c r="O418" t="str">
        <f t="shared" si="6"/>
        <v>Employed &gt;2 Years</v>
      </c>
    </row>
    <row r="419" spans="1:15" x14ac:dyDescent="0.25">
      <c r="A419" t="s">
        <v>789</v>
      </c>
      <c r="B419" t="s">
        <v>790</v>
      </c>
      <c r="C419" s="1">
        <v>45293</v>
      </c>
      <c r="D419" t="s">
        <v>36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27</v>
      </c>
      <c r="K419">
        <v>0</v>
      </c>
      <c r="L419">
        <v>0</v>
      </c>
      <c r="M419" t="str">
        <v>Full-Time</v>
      </c>
      <c r="N419">
        <v>4</v>
      </c>
      <c r="O419" t="str">
        <f t="shared" si="6"/>
        <v>Employed &gt;2 Years</v>
      </c>
    </row>
    <row r="420" spans="1:15" x14ac:dyDescent="0.25">
      <c r="A420" t="s">
        <v>791</v>
      </c>
      <c r="B420" t="s">
        <v>792</v>
      </c>
      <c r="C420" s="1">
        <v>45519</v>
      </c>
      <c r="D420" t="s">
        <v>17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18</v>
      </c>
      <c r="K420">
        <v>32</v>
      </c>
      <c r="L420">
        <v>1</v>
      </c>
      <c r="M420" t="str">
        <v>Full-Time</v>
      </c>
      <c r="N420">
        <v>10</v>
      </c>
      <c r="O420" t="str">
        <f t="shared" si="6"/>
        <v>Employed &gt;2 Years</v>
      </c>
    </row>
    <row r="421" spans="1:15" x14ac:dyDescent="0.25">
      <c r="A421" t="s">
        <v>793</v>
      </c>
      <c r="B421" t="s">
        <v>794</v>
      </c>
      <c r="C421" s="1">
        <v>45803</v>
      </c>
      <c r="D421" t="s">
        <v>14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27</v>
      </c>
      <c r="K421">
        <v>0</v>
      </c>
      <c r="L421">
        <v>0</v>
      </c>
      <c r="M421" t="str">
        <v>Contract</v>
      </c>
      <c r="N421">
        <v>17</v>
      </c>
      <c r="O421" t="str">
        <f t="shared" si="6"/>
        <v>Employed &gt;2 Years</v>
      </c>
    </row>
    <row r="422" spans="1:15" x14ac:dyDescent="0.25">
      <c r="A422" t="s">
        <v>795</v>
      </c>
      <c r="B422" t="s">
        <v>796</v>
      </c>
      <c r="C422" s="1">
        <v>45781</v>
      </c>
      <c r="D422" t="s">
        <v>41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27</v>
      </c>
      <c r="K422">
        <v>0</v>
      </c>
      <c r="L422">
        <v>0</v>
      </c>
      <c r="M422" t="str">
        <v>Full-Time</v>
      </c>
      <c r="N422">
        <v>18</v>
      </c>
      <c r="O422" t="str">
        <f t="shared" si="6"/>
        <v>Employed &gt;2 Years</v>
      </c>
    </row>
    <row r="423" spans="1:15" x14ac:dyDescent="0.25">
      <c r="A423" t="s">
        <v>797</v>
      </c>
      <c r="B423" t="s">
        <v>798</v>
      </c>
      <c r="C423" s="1">
        <v>45522</v>
      </c>
      <c r="D423" t="s">
        <v>41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15</v>
      </c>
      <c r="K423">
        <v>0</v>
      </c>
      <c r="L423">
        <v>0</v>
      </c>
      <c r="M423" t="str">
        <v>Full-Time</v>
      </c>
      <c r="N423">
        <v>14</v>
      </c>
      <c r="O423" t="str">
        <f t="shared" si="6"/>
        <v>Employed &gt;2 Years</v>
      </c>
    </row>
    <row r="424" spans="1:15" x14ac:dyDescent="0.25">
      <c r="A424" t="s">
        <v>799</v>
      </c>
      <c r="B424" t="s">
        <v>798</v>
      </c>
      <c r="C424" s="1">
        <v>45455</v>
      </c>
      <c r="D424" t="s">
        <v>33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27</v>
      </c>
      <c r="K424">
        <v>0</v>
      </c>
      <c r="L424">
        <v>0</v>
      </c>
      <c r="M424" t="str">
        <v>Full-Time</v>
      </c>
      <c r="N424">
        <v>14</v>
      </c>
      <c r="O424" t="str">
        <f t="shared" si="6"/>
        <v>Employed &gt;2 Years</v>
      </c>
    </row>
    <row r="425" spans="1:15" x14ac:dyDescent="0.25">
      <c r="A425" t="s">
        <v>800</v>
      </c>
      <c r="B425" t="s">
        <v>801</v>
      </c>
      <c r="C425" s="1">
        <v>45581</v>
      </c>
      <c r="D425" t="s">
        <v>30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15</v>
      </c>
      <c r="K425">
        <v>0</v>
      </c>
      <c r="L425">
        <v>0</v>
      </c>
      <c r="M425" t="str">
        <v>Retired</v>
      </c>
      <c r="N425">
        <v>30</v>
      </c>
      <c r="O425" t="str">
        <f t="shared" si="6"/>
        <v>Employed &gt;2 Years</v>
      </c>
    </row>
    <row r="426" spans="1:15" x14ac:dyDescent="0.25">
      <c r="A426" t="s">
        <v>802</v>
      </c>
      <c r="B426" t="s">
        <v>803</v>
      </c>
      <c r="C426" s="1">
        <v>45603</v>
      </c>
      <c r="D426" t="s">
        <v>33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27</v>
      </c>
      <c r="K426">
        <v>0</v>
      </c>
      <c r="L426">
        <v>0</v>
      </c>
      <c r="M426" t="str">
        <v>Full-Time</v>
      </c>
      <c r="N426">
        <v>9</v>
      </c>
      <c r="O426" t="str">
        <f t="shared" si="6"/>
        <v>Employed &gt;2 Years</v>
      </c>
    </row>
    <row r="427" spans="1:15" x14ac:dyDescent="0.25">
      <c r="A427" t="s">
        <v>804</v>
      </c>
      <c r="B427" t="s">
        <v>805</v>
      </c>
      <c r="C427" s="1">
        <v>45301</v>
      </c>
      <c r="D427" t="s">
        <v>24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62</v>
      </c>
      <c r="K427">
        <v>15</v>
      </c>
      <c r="L427">
        <v>0</v>
      </c>
      <c r="M427" t="str">
        <v>Contract</v>
      </c>
      <c r="N427">
        <v>1</v>
      </c>
      <c r="O427" t="str">
        <f t="shared" si="6"/>
        <v>Employed &lt;2 Years</v>
      </c>
    </row>
    <row r="428" spans="1:15" x14ac:dyDescent="0.25">
      <c r="A428" t="s">
        <v>806</v>
      </c>
      <c r="B428" t="s">
        <v>807</v>
      </c>
      <c r="C428" s="1">
        <v>45390</v>
      </c>
      <c r="D428" t="s">
        <v>33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18</v>
      </c>
      <c r="K428">
        <v>151</v>
      </c>
      <c r="L428">
        <v>1</v>
      </c>
      <c r="M428" t="str">
        <v>Full-Time</v>
      </c>
      <c r="N428">
        <v>1</v>
      </c>
      <c r="O428" t="str">
        <f t="shared" si="6"/>
        <v>Employed &lt;2 Years</v>
      </c>
    </row>
    <row r="429" spans="1:15" x14ac:dyDescent="0.25">
      <c r="A429" t="s">
        <v>808</v>
      </c>
      <c r="B429" t="s">
        <v>809</v>
      </c>
      <c r="C429" s="1">
        <v>45444</v>
      </c>
      <c r="D429" t="s">
        <v>41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27</v>
      </c>
      <c r="K429">
        <v>0</v>
      </c>
      <c r="L429">
        <v>0</v>
      </c>
      <c r="M429" t="str">
        <v>Contract</v>
      </c>
      <c r="N429">
        <v>33</v>
      </c>
      <c r="O429" t="str">
        <f t="shared" si="6"/>
        <v>Employed &gt;2 Years</v>
      </c>
    </row>
    <row r="430" spans="1:15" x14ac:dyDescent="0.25">
      <c r="A430" t="s">
        <v>810</v>
      </c>
      <c r="B430" t="s">
        <v>811</v>
      </c>
      <c r="C430" s="1">
        <v>45676</v>
      </c>
      <c r="D430" t="s">
        <v>14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62</v>
      </c>
      <c r="K430">
        <v>30</v>
      </c>
      <c r="L430">
        <v>0</v>
      </c>
      <c r="M430" t="str">
        <v>Retired</v>
      </c>
      <c r="N430">
        <v>6</v>
      </c>
      <c r="O430" t="str">
        <f t="shared" si="6"/>
        <v>Employed &gt;2 Years</v>
      </c>
    </row>
    <row r="431" spans="1:15" x14ac:dyDescent="0.25">
      <c r="A431" t="s">
        <v>812</v>
      </c>
      <c r="B431" t="s">
        <v>813</v>
      </c>
      <c r="C431" s="1">
        <v>45747</v>
      </c>
      <c r="D431" t="s">
        <v>14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27</v>
      </c>
      <c r="K431">
        <v>0</v>
      </c>
      <c r="L431">
        <v>0</v>
      </c>
      <c r="M431" t="str">
        <v>Self-Employed</v>
      </c>
      <c r="N431">
        <v>1</v>
      </c>
      <c r="O431" t="str">
        <f t="shared" si="6"/>
        <v>Employed &lt;2 Years</v>
      </c>
    </row>
    <row r="432" spans="1:15" x14ac:dyDescent="0.25">
      <c r="A432" t="s">
        <v>814</v>
      </c>
      <c r="B432" t="s">
        <v>815</v>
      </c>
      <c r="C432" s="1">
        <v>45388</v>
      </c>
      <c r="D432" t="s">
        <v>21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27</v>
      </c>
      <c r="K432">
        <v>0</v>
      </c>
      <c r="L432">
        <v>0</v>
      </c>
      <c r="M432" t="str">
        <v>Full-Time</v>
      </c>
      <c r="N432">
        <v>3</v>
      </c>
      <c r="O432" t="str">
        <f t="shared" si="6"/>
        <v>Employed &gt;2 Years</v>
      </c>
    </row>
    <row r="433" spans="1:15" x14ac:dyDescent="0.25">
      <c r="A433" t="s">
        <v>816</v>
      </c>
      <c r="B433" t="s">
        <v>817</v>
      </c>
      <c r="C433" s="1">
        <v>45481</v>
      </c>
      <c r="D433" t="s">
        <v>17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27</v>
      </c>
      <c r="K433">
        <v>0</v>
      </c>
      <c r="L433">
        <v>0</v>
      </c>
      <c r="M433" t="str">
        <v>Full-Time</v>
      </c>
      <c r="N433">
        <v>22</v>
      </c>
      <c r="O433" t="str">
        <f t="shared" si="6"/>
        <v>Employed &gt;2 Years</v>
      </c>
    </row>
    <row r="434" spans="1:15" x14ac:dyDescent="0.25">
      <c r="A434" t="s">
        <v>818</v>
      </c>
      <c r="B434" t="s">
        <v>819</v>
      </c>
      <c r="C434" s="1">
        <v>45419</v>
      </c>
      <c r="D434" t="s">
        <v>21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62</v>
      </c>
      <c r="K434">
        <v>0</v>
      </c>
      <c r="L434">
        <v>0</v>
      </c>
      <c r="M434" t="str">
        <v>Full-Time</v>
      </c>
      <c r="N434">
        <v>20</v>
      </c>
      <c r="O434" t="str">
        <f t="shared" si="6"/>
        <v>Employed &gt;2 Years</v>
      </c>
    </row>
    <row r="435" spans="1:15" x14ac:dyDescent="0.25">
      <c r="A435" t="s">
        <v>820</v>
      </c>
      <c r="B435" t="s">
        <v>819</v>
      </c>
      <c r="C435" s="1">
        <v>45749</v>
      </c>
      <c r="D435" t="s">
        <v>36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27</v>
      </c>
      <c r="K435">
        <v>0</v>
      </c>
      <c r="L435">
        <v>0</v>
      </c>
      <c r="M435" t="str">
        <v>Full-Time</v>
      </c>
      <c r="N435">
        <v>20</v>
      </c>
      <c r="O435" t="str">
        <f t="shared" si="6"/>
        <v>Employed &gt;2 Years</v>
      </c>
    </row>
    <row r="436" spans="1:15" x14ac:dyDescent="0.25">
      <c r="A436" t="s">
        <v>821</v>
      </c>
      <c r="B436" t="s">
        <v>822</v>
      </c>
      <c r="C436" s="1">
        <v>45419</v>
      </c>
      <c r="D436" t="s">
        <v>33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27</v>
      </c>
      <c r="K436">
        <v>0</v>
      </c>
      <c r="L436">
        <v>0</v>
      </c>
      <c r="M436" t="str">
        <v>Contract</v>
      </c>
      <c r="N436">
        <v>10</v>
      </c>
      <c r="O436" t="str">
        <f t="shared" si="6"/>
        <v>Employed &gt;2 Years</v>
      </c>
    </row>
    <row r="437" spans="1:15" x14ac:dyDescent="0.25">
      <c r="A437" t="s">
        <v>823</v>
      </c>
      <c r="B437" t="s">
        <v>824</v>
      </c>
      <c r="C437" s="1">
        <v>45592</v>
      </c>
      <c r="D437" t="s">
        <v>41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27</v>
      </c>
      <c r="K437">
        <v>0</v>
      </c>
      <c r="L437">
        <v>0</v>
      </c>
      <c r="M437" t="str">
        <v>Full-Time</v>
      </c>
      <c r="N437">
        <v>3</v>
      </c>
      <c r="O437" t="str">
        <f t="shared" si="6"/>
        <v>Employed &gt;2 Years</v>
      </c>
    </row>
    <row r="438" spans="1:15" x14ac:dyDescent="0.25">
      <c r="A438" t="s">
        <v>825</v>
      </c>
      <c r="B438" t="s">
        <v>826</v>
      </c>
      <c r="C438" s="1">
        <v>45506</v>
      </c>
      <c r="D438" t="s">
        <v>21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27</v>
      </c>
      <c r="K438">
        <v>0</v>
      </c>
      <c r="L438">
        <v>0</v>
      </c>
      <c r="M438" t="str">
        <v>Contract</v>
      </c>
      <c r="N438">
        <v>14</v>
      </c>
      <c r="O438" t="str">
        <f t="shared" si="6"/>
        <v>Employed &gt;2 Years</v>
      </c>
    </row>
    <row r="439" spans="1:15" x14ac:dyDescent="0.25">
      <c r="A439" t="s">
        <v>827</v>
      </c>
      <c r="B439" t="s">
        <v>828</v>
      </c>
      <c r="C439" s="1">
        <v>45513</v>
      </c>
      <c r="D439" t="s">
        <v>33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15</v>
      </c>
      <c r="K439">
        <v>0</v>
      </c>
      <c r="L439">
        <v>0</v>
      </c>
      <c r="M439" t="str">
        <v>Contract</v>
      </c>
      <c r="N439">
        <v>11</v>
      </c>
      <c r="O439" t="str">
        <f t="shared" si="6"/>
        <v>Employed &gt;2 Years</v>
      </c>
    </row>
    <row r="440" spans="1:15" x14ac:dyDescent="0.25">
      <c r="A440" t="s">
        <v>829</v>
      </c>
      <c r="B440" t="s">
        <v>830</v>
      </c>
      <c r="C440" s="1">
        <v>45377</v>
      </c>
      <c r="D440" t="s">
        <v>21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15</v>
      </c>
      <c r="K440">
        <v>0</v>
      </c>
      <c r="L440">
        <v>0</v>
      </c>
      <c r="M440" t="str">
        <v>Full-Time</v>
      </c>
      <c r="N440">
        <v>3</v>
      </c>
      <c r="O440" t="str">
        <f t="shared" si="6"/>
        <v>Employed &gt;2 Years</v>
      </c>
    </row>
    <row r="441" spans="1:15" x14ac:dyDescent="0.25">
      <c r="A441" t="s">
        <v>831</v>
      </c>
      <c r="B441" t="s">
        <v>832</v>
      </c>
      <c r="C441" s="1">
        <v>45815</v>
      </c>
      <c r="D441" t="s">
        <v>38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27</v>
      </c>
      <c r="K441">
        <v>0</v>
      </c>
      <c r="L441">
        <v>0</v>
      </c>
      <c r="M441" t="str">
        <v>Full-Time</v>
      </c>
      <c r="N441">
        <v>30</v>
      </c>
      <c r="O441" t="str">
        <f t="shared" si="6"/>
        <v>Employed &gt;2 Years</v>
      </c>
    </row>
    <row r="442" spans="1:15" x14ac:dyDescent="0.25">
      <c r="A442" t="s">
        <v>833</v>
      </c>
      <c r="B442" t="s">
        <v>834</v>
      </c>
      <c r="C442" s="1">
        <v>45419</v>
      </c>
      <c r="D442" t="s">
        <v>17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27</v>
      </c>
      <c r="K442">
        <v>0</v>
      </c>
      <c r="L442">
        <v>0</v>
      </c>
      <c r="M442" t="str">
        <v>Contract</v>
      </c>
      <c r="N442">
        <v>8</v>
      </c>
      <c r="O442" t="str">
        <f t="shared" si="6"/>
        <v>Employed &gt;2 Years</v>
      </c>
    </row>
    <row r="443" spans="1:15" x14ac:dyDescent="0.25">
      <c r="A443" t="s">
        <v>835</v>
      </c>
      <c r="B443" t="s">
        <v>834</v>
      </c>
      <c r="C443" s="1">
        <v>45441</v>
      </c>
      <c r="D443" t="s">
        <v>30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27</v>
      </c>
      <c r="K443">
        <v>0</v>
      </c>
      <c r="L443">
        <v>0</v>
      </c>
      <c r="M443" t="str">
        <v>Contract</v>
      </c>
      <c r="N443">
        <v>8</v>
      </c>
      <c r="O443" t="str">
        <f t="shared" si="6"/>
        <v>Employed &gt;2 Years</v>
      </c>
    </row>
    <row r="444" spans="1:15" x14ac:dyDescent="0.25">
      <c r="A444" t="s">
        <v>836</v>
      </c>
      <c r="B444" t="s">
        <v>837</v>
      </c>
      <c r="C444" s="1">
        <v>45605</v>
      </c>
      <c r="D444" t="s">
        <v>38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27</v>
      </c>
      <c r="K444">
        <v>0</v>
      </c>
      <c r="L444">
        <v>0</v>
      </c>
      <c r="M444" t="str">
        <v>Self-Employed</v>
      </c>
      <c r="N444">
        <v>3</v>
      </c>
      <c r="O444" t="str">
        <f t="shared" si="6"/>
        <v>Employed &gt;2 Years</v>
      </c>
    </row>
    <row r="445" spans="1:15" x14ac:dyDescent="0.25">
      <c r="A445" t="s">
        <v>838</v>
      </c>
      <c r="B445" t="s">
        <v>839</v>
      </c>
      <c r="C445" s="1">
        <v>45341</v>
      </c>
      <c r="D445" t="s">
        <v>47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18</v>
      </c>
      <c r="K445">
        <v>129</v>
      </c>
      <c r="L445">
        <v>1</v>
      </c>
      <c r="M445" t="str">
        <v>Part-Time</v>
      </c>
      <c r="N445">
        <v>30</v>
      </c>
      <c r="O445" t="str">
        <f t="shared" si="6"/>
        <v>Employed &gt;2 Years</v>
      </c>
    </row>
    <row r="446" spans="1:15" x14ac:dyDescent="0.25">
      <c r="A446" t="s">
        <v>840</v>
      </c>
      <c r="B446" t="s">
        <v>841</v>
      </c>
      <c r="C446" s="1">
        <v>45422</v>
      </c>
      <c r="D446" t="s">
        <v>21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18</v>
      </c>
      <c r="K446">
        <v>161</v>
      </c>
      <c r="L446">
        <v>1</v>
      </c>
      <c r="M446" t="str">
        <v>Retired</v>
      </c>
      <c r="N446">
        <v>4</v>
      </c>
      <c r="O446" t="str">
        <f t="shared" si="6"/>
        <v>Employed &gt;2 Years</v>
      </c>
    </row>
    <row r="447" spans="1:15" x14ac:dyDescent="0.25">
      <c r="A447" t="s">
        <v>842</v>
      </c>
      <c r="B447" t="s">
        <v>843</v>
      </c>
      <c r="C447" s="1">
        <v>45671</v>
      </c>
      <c r="D447" t="s">
        <v>33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62</v>
      </c>
      <c r="K447">
        <v>0</v>
      </c>
      <c r="L447">
        <v>0</v>
      </c>
      <c r="M447" t="str">
        <v>Full-Time</v>
      </c>
      <c r="N447">
        <v>31</v>
      </c>
      <c r="O447" t="str">
        <f t="shared" si="6"/>
        <v>Employed &gt;2 Years</v>
      </c>
    </row>
    <row r="448" spans="1:15" x14ac:dyDescent="0.25">
      <c r="A448" t="s">
        <v>844</v>
      </c>
      <c r="B448" t="s">
        <v>845</v>
      </c>
      <c r="C448" s="1">
        <v>45574</v>
      </c>
      <c r="D448" t="s">
        <v>33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15</v>
      </c>
      <c r="K448">
        <v>0</v>
      </c>
      <c r="L448">
        <v>0</v>
      </c>
      <c r="M448" t="str">
        <v>Retired</v>
      </c>
      <c r="N448">
        <v>1</v>
      </c>
      <c r="O448" t="str">
        <f t="shared" si="6"/>
        <v>Employed &lt;2 Years</v>
      </c>
    </row>
    <row r="449" spans="1:15" x14ac:dyDescent="0.25">
      <c r="A449" t="s">
        <v>846</v>
      </c>
      <c r="B449" t="s">
        <v>847</v>
      </c>
      <c r="C449" s="1">
        <v>45612</v>
      </c>
      <c r="D449" t="s">
        <v>38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27</v>
      </c>
      <c r="K449">
        <v>0</v>
      </c>
      <c r="L449">
        <v>0</v>
      </c>
      <c r="M449" t="str">
        <v>Full-Time</v>
      </c>
      <c r="N449">
        <v>11</v>
      </c>
      <c r="O449" t="str">
        <f t="shared" si="6"/>
        <v>Employed &gt;2 Years</v>
      </c>
    </row>
    <row r="450" spans="1:15" x14ac:dyDescent="0.25">
      <c r="A450" t="s">
        <v>848</v>
      </c>
      <c r="B450" t="s">
        <v>847</v>
      </c>
      <c r="C450" s="1">
        <v>45584</v>
      </c>
      <c r="D450" t="s">
        <v>38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15</v>
      </c>
      <c r="K450">
        <v>0</v>
      </c>
      <c r="L450">
        <v>0</v>
      </c>
      <c r="M450" t="str">
        <v>Full-Time</v>
      </c>
      <c r="N450">
        <v>11</v>
      </c>
      <c r="O450" t="str">
        <f t="shared" si="6"/>
        <v>Employed &gt;2 Years</v>
      </c>
    </row>
    <row r="451" spans="1:15" x14ac:dyDescent="0.25">
      <c r="A451" t="s">
        <v>849</v>
      </c>
      <c r="B451" t="s">
        <v>850</v>
      </c>
      <c r="C451" s="1">
        <v>45819</v>
      </c>
      <c r="D451" t="s">
        <v>17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27</v>
      </c>
      <c r="K451">
        <v>0</v>
      </c>
      <c r="L451">
        <v>0</v>
      </c>
      <c r="M451" t="str">
        <v>Full-Time</v>
      </c>
      <c r="N451">
        <v>5</v>
      </c>
      <c r="O451" t="str">
        <f t="shared" ref="O451:O514" si="7">IF(N451&lt;2,"Employed &lt;2 Years","Employed &gt;2 Years")</f>
        <v>Employed &gt;2 Years</v>
      </c>
    </row>
    <row r="452" spans="1:15" x14ac:dyDescent="0.25">
      <c r="A452" t="s">
        <v>851</v>
      </c>
      <c r="B452" t="s">
        <v>850</v>
      </c>
      <c r="C452" s="1">
        <v>45645</v>
      </c>
      <c r="D452" t="s">
        <v>36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15</v>
      </c>
      <c r="K452">
        <v>0</v>
      </c>
      <c r="L452">
        <v>0</v>
      </c>
      <c r="M452" t="str">
        <v>Full-Time</v>
      </c>
      <c r="N452">
        <v>5</v>
      </c>
      <c r="O452" t="str">
        <f t="shared" si="7"/>
        <v>Employed &gt;2 Years</v>
      </c>
    </row>
    <row r="453" spans="1:15" x14ac:dyDescent="0.25">
      <c r="A453" t="s">
        <v>852</v>
      </c>
      <c r="B453" t="s">
        <v>853</v>
      </c>
      <c r="C453" s="1">
        <v>45828</v>
      </c>
      <c r="D453" t="s">
        <v>21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27</v>
      </c>
      <c r="K453">
        <v>0</v>
      </c>
      <c r="L453">
        <v>0</v>
      </c>
      <c r="M453" t="str">
        <v>Part-Time</v>
      </c>
      <c r="N453">
        <v>15</v>
      </c>
      <c r="O453" t="str">
        <f t="shared" si="7"/>
        <v>Employed &gt;2 Years</v>
      </c>
    </row>
    <row r="454" spans="1:15" x14ac:dyDescent="0.25">
      <c r="A454" t="s">
        <v>854</v>
      </c>
      <c r="B454" t="s">
        <v>853</v>
      </c>
      <c r="C454" s="1">
        <v>45466</v>
      </c>
      <c r="D454" t="s">
        <v>33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18</v>
      </c>
      <c r="K454">
        <v>58</v>
      </c>
      <c r="L454">
        <v>1</v>
      </c>
      <c r="M454" t="str">
        <v>Part-Time</v>
      </c>
      <c r="N454">
        <v>15</v>
      </c>
      <c r="O454" t="str">
        <f t="shared" si="7"/>
        <v>Employed &gt;2 Years</v>
      </c>
    </row>
    <row r="455" spans="1:15" x14ac:dyDescent="0.25">
      <c r="A455" t="s">
        <v>855</v>
      </c>
      <c r="B455" t="s">
        <v>856</v>
      </c>
      <c r="C455" s="1">
        <v>45786</v>
      </c>
      <c r="D455" t="s">
        <v>38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15</v>
      </c>
      <c r="K455">
        <v>0</v>
      </c>
      <c r="L455">
        <v>0</v>
      </c>
      <c r="M455" t="str">
        <v>Full-Time</v>
      </c>
      <c r="N455">
        <v>4</v>
      </c>
      <c r="O455" t="str">
        <f t="shared" si="7"/>
        <v>Employed &gt;2 Years</v>
      </c>
    </row>
    <row r="456" spans="1:15" x14ac:dyDescent="0.25">
      <c r="A456" t="s">
        <v>857</v>
      </c>
      <c r="B456" t="s">
        <v>858</v>
      </c>
      <c r="C456" s="1">
        <v>45328</v>
      </c>
      <c r="D456" t="s">
        <v>38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62</v>
      </c>
      <c r="K456">
        <v>15</v>
      </c>
      <c r="L456">
        <v>0</v>
      </c>
      <c r="M456" t="str">
        <v>Retired</v>
      </c>
      <c r="N456">
        <v>2</v>
      </c>
      <c r="O456" t="str">
        <f t="shared" si="7"/>
        <v>Employed &gt;2 Years</v>
      </c>
    </row>
    <row r="457" spans="1:15" x14ac:dyDescent="0.25">
      <c r="A457" t="s">
        <v>859</v>
      </c>
      <c r="B457" t="s">
        <v>860</v>
      </c>
      <c r="C457" s="1">
        <v>45650</v>
      </c>
      <c r="D457" t="s">
        <v>41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27</v>
      </c>
      <c r="K457">
        <v>0</v>
      </c>
      <c r="L457">
        <v>0</v>
      </c>
      <c r="M457" t="str">
        <v>Full-Time</v>
      </c>
      <c r="N457">
        <v>14</v>
      </c>
      <c r="O457" t="str">
        <f t="shared" si="7"/>
        <v>Employed &gt;2 Years</v>
      </c>
    </row>
    <row r="458" spans="1:15" x14ac:dyDescent="0.25">
      <c r="A458" t="s">
        <v>861</v>
      </c>
      <c r="B458" t="s">
        <v>862</v>
      </c>
      <c r="C458" s="1">
        <v>45791</v>
      </c>
      <c r="D458" t="s">
        <v>14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18</v>
      </c>
      <c r="K458">
        <v>94</v>
      </c>
      <c r="L458">
        <v>1</v>
      </c>
      <c r="M458" t="str">
        <v>Self-Employed</v>
      </c>
      <c r="N458">
        <v>6</v>
      </c>
      <c r="O458" t="str">
        <f t="shared" si="7"/>
        <v>Employed &gt;2 Years</v>
      </c>
    </row>
    <row r="459" spans="1:15" x14ac:dyDescent="0.25">
      <c r="A459" t="s">
        <v>863</v>
      </c>
      <c r="B459" t="s">
        <v>864</v>
      </c>
      <c r="C459" s="1">
        <v>45567</v>
      </c>
      <c r="D459" t="s">
        <v>17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18</v>
      </c>
      <c r="K459">
        <v>142</v>
      </c>
      <c r="L459">
        <v>1</v>
      </c>
      <c r="M459" t="str">
        <v>Full-Time</v>
      </c>
      <c r="N459">
        <v>1</v>
      </c>
      <c r="O459" t="str">
        <f t="shared" si="7"/>
        <v>Employed &lt;2 Years</v>
      </c>
    </row>
    <row r="460" spans="1:15" x14ac:dyDescent="0.25">
      <c r="A460" t="s">
        <v>865</v>
      </c>
      <c r="B460" t="s">
        <v>866</v>
      </c>
      <c r="C460" s="1">
        <v>45495</v>
      </c>
      <c r="D460" t="s">
        <v>14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27</v>
      </c>
      <c r="K460">
        <v>0</v>
      </c>
      <c r="L460">
        <v>0</v>
      </c>
      <c r="M460" t="str">
        <v>Full-Time</v>
      </c>
      <c r="N460">
        <v>8</v>
      </c>
      <c r="O460" t="str">
        <f t="shared" si="7"/>
        <v>Employed &gt;2 Years</v>
      </c>
    </row>
    <row r="461" spans="1:15" x14ac:dyDescent="0.25">
      <c r="A461" t="s">
        <v>867</v>
      </c>
      <c r="B461" t="s">
        <v>868</v>
      </c>
      <c r="C461" s="1">
        <v>45564</v>
      </c>
      <c r="D461" t="s">
        <v>30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27</v>
      </c>
      <c r="K461">
        <v>0</v>
      </c>
      <c r="L461">
        <v>0</v>
      </c>
      <c r="M461" t="str">
        <v>Full-Time</v>
      </c>
      <c r="N461">
        <v>4</v>
      </c>
      <c r="O461" t="str">
        <f t="shared" si="7"/>
        <v>Employed &gt;2 Years</v>
      </c>
    </row>
    <row r="462" spans="1:15" x14ac:dyDescent="0.25">
      <c r="A462" t="s">
        <v>869</v>
      </c>
      <c r="B462" t="s">
        <v>870</v>
      </c>
      <c r="C462" s="1">
        <v>45690</v>
      </c>
      <c r="D462" t="s">
        <v>33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62</v>
      </c>
      <c r="K462">
        <v>30</v>
      </c>
      <c r="L462">
        <v>0</v>
      </c>
      <c r="M462" t="str">
        <v>Full-Time</v>
      </c>
      <c r="N462">
        <v>1</v>
      </c>
      <c r="O462" t="str">
        <f t="shared" si="7"/>
        <v>Employed &lt;2 Years</v>
      </c>
    </row>
    <row r="463" spans="1:15" x14ac:dyDescent="0.25">
      <c r="A463" t="s">
        <v>871</v>
      </c>
      <c r="B463" t="s">
        <v>872</v>
      </c>
      <c r="C463" s="1">
        <v>45642</v>
      </c>
      <c r="D463" t="s">
        <v>30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18</v>
      </c>
      <c r="K463">
        <v>32</v>
      </c>
      <c r="L463">
        <v>1</v>
      </c>
      <c r="M463" t="str">
        <v>Full-Time</v>
      </c>
      <c r="N463">
        <v>3</v>
      </c>
      <c r="O463" t="str">
        <f t="shared" si="7"/>
        <v>Employed &gt;2 Years</v>
      </c>
    </row>
    <row r="464" spans="1:15" x14ac:dyDescent="0.25">
      <c r="A464" t="s">
        <v>873</v>
      </c>
      <c r="B464" t="s">
        <v>874</v>
      </c>
      <c r="C464" s="1">
        <v>45448</v>
      </c>
      <c r="D464" t="s">
        <v>24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27</v>
      </c>
      <c r="K464">
        <v>0</v>
      </c>
      <c r="L464">
        <v>0</v>
      </c>
      <c r="M464" t="str">
        <v>Self-Employed</v>
      </c>
      <c r="N464">
        <v>3</v>
      </c>
      <c r="O464" t="str">
        <f t="shared" si="7"/>
        <v>Employed &gt;2 Years</v>
      </c>
    </row>
    <row r="465" spans="1:15" x14ac:dyDescent="0.25">
      <c r="A465" t="s">
        <v>875</v>
      </c>
      <c r="B465" t="s">
        <v>876</v>
      </c>
      <c r="C465" s="1">
        <v>45397</v>
      </c>
      <c r="D465" t="s">
        <v>24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27</v>
      </c>
      <c r="K465">
        <v>0</v>
      </c>
      <c r="L465">
        <v>0</v>
      </c>
      <c r="M465" t="str">
        <v>Full-Time</v>
      </c>
      <c r="N465">
        <v>0</v>
      </c>
      <c r="O465" t="str">
        <f t="shared" si="7"/>
        <v>Employed &lt;2 Years</v>
      </c>
    </row>
    <row r="466" spans="1:15" x14ac:dyDescent="0.25">
      <c r="A466" t="s">
        <v>877</v>
      </c>
      <c r="B466" t="s">
        <v>878</v>
      </c>
      <c r="C466" s="1">
        <v>45331</v>
      </c>
      <c r="D466" t="s">
        <v>47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18</v>
      </c>
      <c r="K466">
        <v>79</v>
      </c>
      <c r="L466">
        <v>1</v>
      </c>
      <c r="M466" t="str">
        <v>Full-Time</v>
      </c>
      <c r="N466">
        <v>32</v>
      </c>
      <c r="O466" t="str">
        <f t="shared" si="7"/>
        <v>Employed &gt;2 Years</v>
      </c>
    </row>
    <row r="467" spans="1:15" x14ac:dyDescent="0.25">
      <c r="A467" t="s">
        <v>879</v>
      </c>
      <c r="B467" t="s">
        <v>878</v>
      </c>
      <c r="C467" s="1">
        <v>45681</v>
      </c>
      <c r="D467" t="s">
        <v>33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18</v>
      </c>
      <c r="K467">
        <v>108</v>
      </c>
      <c r="L467">
        <v>1</v>
      </c>
      <c r="M467" t="str">
        <v>Full-Time</v>
      </c>
      <c r="N467">
        <v>32</v>
      </c>
      <c r="O467" t="str">
        <f t="shared" si="7"/>
        <v>Employed &gt;2 Years</v>
      </c>
    </row>
    <row r="468" spans="1:15" x14ac:dyDescent="0.25">
      <c r="A468" t="s">
        <v>880</v>
      </c>
      <c r="B468" t="s">
        <v>881</v>
      </c>
      <c r="C468" s="1">
        <v>45344</v>
      </c>
      <c r="D468" t="s">
        <v>38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27</v>
      </c>
      <c r="K468">
        <v>0</v>
      </c>
      <c r="L468">
        <v>0</v>
      </c>
      <c r="M468" t="str">
        <v>Full-Time</v>
      </c>
      <c r="N468">
        <v>12</v>
      </c>
      <c r="O468" t="str">
        <f t="shared" si="7"/>
        <v>Employed &gt;2 Years</v>
      </c>
    </row>
    <row r="469" spans="1:15" x14ac:dyDescent="0.25">
      <c r="A469" t="s">
        <v>882</v>
      </c>
      <c r="B469" t="s">
        <v>883</v>
      </c>
      <c r="C469" s="1">
        <v>45345</v>
      </c>
      <c r="D469" t="s">
        <v>17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27</v>
      </c>
      <c r="K469">
        <v>0</v>
      </c>
      <c r="L469">
        <v>0</v>
      </c>
      <c r="M469" t="str">
        <v>Self-Employed</v>
      </c>
      <c r="N469">
        <v>0</v>
      </c>
      <c r="O469" t="str">
        <f t="shared" si="7"/>
        <v>Employed &lt;2 Years</v>
      </c>
    </row>
    <row r="470" spans="1:15" x14ac:dyDescent="0.25">
      <c r="A470" t="s">
        <v>884</v>
      </c>
      <c r="B470" t="s">
        <v>885</v>
      </c>
      <c r="C470" s="1">
        <v>45603</v>
      </c>
      <c r="D470" t="s">
        <v>47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18</v>
      </c>
      <c r="K470">
        <v>33</v>
      </c>
      <c r="L470">
        <v>1</v>
      </c>
      <c r="M470" t="str">
        <v>Retired</v>
      </c>
      <c r="N470">
        <v>6</v>
      </c>
      <c r="O470" t="str">
        <f t="shared" si="7"/>
        <v>Employed &gt;2 Years</v>
      </c>
    </row>
    <row r="471" spans="1:15" x14ac:dyDescent="0.25">
      <c r="A471" t="s">
        <v>886</v>
      </c>
      <c r="B471" t="s">
        <v>887</v>
      </c>
      <c r="C471" s="1">
        <v>45833</v>
      </c>
      <c r="D471" t="s">
        <v>33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27</v>
      </c>
      <c r="K471">
        <v>0</v>
      </c>
      <c r="L471">
        <v>0</v>
      </c>
      <c r="M471" t="str">
        <v>Full-Time</v>
      </c>
      <c r="N471">
        <v>9</v>
      </c>
      <c r="O471" t="str">
        <f t="shared" si="7"/>
        <v>Employed &gt;2 Years</v>
      </c>
    </row>
    <row r="472" spans="1:15" x14ac:dyDescent="0.25">
      <c r="A472" t="s">
        <v>888</v>
      </c>
      <c r="B472" t="s">
        <v>889</v>
      </c>
      <c r="C472" s="1">
        <v>45487</v>
      </c>
      <c r="D472" t="s">
        <v>36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18</v>
      </c>
      <c r="K472">
        <v>144</v>
      </c>
      <c r="L472">
        <v>1</v>
      </c>
      <c r="M472" t="str">
        <v>Contract</v>
      </c>
      <c r="N472">
        <v>2</v>
      </c>
      <c r="O472" t="str">
        <f t="shared" si="7"/>
        <v>Employed &gt;2 Years</v>
      </c>
    </row>
    <row r="473" spans="1:15" x14ac:dyDescent="0.25">
      <c r="A473" t="s">
        <v>890</v>
      </c>
      <c r="B473" t="s">
        <v>891</v>
      </c>
      <c r="C473" s="1">
        <v>45498</v>
      </c>
      <c r="D473" t="s">
        <v>36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27</v>
      </c>
      <c r="K473">
        <v>0</v>
      </c>
      <c r="L473">
        <v>0</v>
      </c>
      <c r="M473" t="str">
        <v>Contract</v>
      </c>
      <c r="N473">
        <v>25</v>
      </c>
      <c r="O473" t="str">
        <f t="shared" si="7"/>
        <v>Employed &gt;2 Years</v>
      </c>
    </row>
    <row r="474" spans="1:15" x14ac:dyDescent="0.25">
      <c r="A474" t="s">
        <v>892</v>
      </c>
      <c r="B474" t="s">
        <v>891</v>
      </c>
      <c r="C474" s="1">
        <v>45666</v>
      </c>
      <c r="D474" t="s">
        <v>17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15</v>
      </c>
      <c r="K474">
        <v>0</v>
      </c>
      <c r="L474">
        <v>0</v>
      </c>
      <c r="M474" t="str">
        <v>Contract</v>
      </c>
      <c r="N474">
        <v>25</v>
      </c>
      <c r="O474" t="str">
        <f t="shared" si="7"/>
        <v>Employed &gt;2 Years</v>
      </c>
    </row>
    <row r="475" spans="1:15" x14ac:dyDescent="0.25">
      <c r="A475" t="s">
        <v>893</v>
      </c>
      <c r="B475" t="s">
        <v>894</v>
      </c>
      <c r="C475" s="1">
        <v>45572</v>
      </c>
      <c r="D475" t="s">
        <v>17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27</v>
      </c>
      <c r="K475">
        <v>0</v>
      </c>
      <c r="L475">
        <v>0</v>
      </c>
      <c r="M475" t="str">
        <v>Part-Time</v>
      </c>
      <c r="N475">
        <v>8</v>
      </c>
      <c r="O475" t="str">
        <f t="shared" si="7"/>
        <v>Employed &gt;2 Years</v>
      </c>
    </row>
    <row r="476" spans="1:15" x14ac:dyDescent="0.25">
      <c r="A476" t="s">
        <v>895</v>
      </c>
      <c r="B476" t="s">
        <v>896</v>
      </c>
      <c r="C476" s="1">
        <v>45368</v>
      </c>
      <c r="D476" t="s">
        <v>38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27</v>
      </c>
      <c r="K476">
        <v>0</v>
      </c>
      <c r="L476">
        <v>0</v>
      </c>
      <c r="M476" t="str">
        <v>Part-Time</v>
      </c>
      <c r="N476">
        <v>2</v>
      </c>
      <c r="O476" t="str">
        <f t="shared" si="7"/>
        <v>Employed &gt;2 Years</v>
      </c>
    </row>
    <row r="477" spans="1:15" x14ac:dyDescent="0.25">
      <c r="A477" t="s">
        <v>897</v>
      </c>
      <c r="B477" t="s">
        <v>898</v>
      </c>
      <c r="C477" s="1">
        <v>45515</v>
      </c>
      <c r="D477" t="s">
        <v>17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15</v>
      </c>
      <c r="K477">
        <v>0</v>
      </c>
      <c r="L477">
        <v>0</v>
      </c>
      <c r="M477" t="str">
        <v>Self-Employed</v>
      </c>
      <c r="N477">
        <v>31</v>
      </c>
      <c r="O477" t="str">
        <f t="shared" si="7"/>
        <v>Employed &gt;2 Years</v>
      </c>
    </row>
    <row r="478" spans="1:15" x14ac:dyDescent="0.25">
      <c r="A478" t="s">
        <v>899</v>
      </c>
      <c r="B478" t="s">
        <v>900</v>
      </c>
      <c r="C478" s="1">
        <v>45595</v>
      </c>
      <c r="D478" t="s">
        <v>21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27</v>
      </c>
      <c r="K478">
        <v>0</v>
      </c>
      <c r="L478">
        <v>0</v>
      </c>
      <c r="M478" t="str">
        <v>Self-Employed</v>
      </c>
      <c r="N478">
        <v>14</v>
      </c>
      <c r="O478" t="str">
        <f t="shared" si="7"/>
        <v>Employed &gt;2 Years</v>
      </c>
    </row>
    <row r="479" spans="1:15" x14ac:dyDescent="0.25">
      <c r="A479" t="s">
        <v>901</v>
      </c>
      <c r="B479" t="s">
        <v>902</v>
      </c>
      <c r="C479" s="1">
        <v>45568</v>
      </c>
      <c r="D479" t="s">
        <v>38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15</v>
      </c>
      <c r="K479">
        <v>0</v>
      </c>
      <c r="L479">
        <v>0</v>
      </c>
      <c r="M479" t="str">
        <v>Full-Time</v>
      </c>
      <c r="N479">
        <v>30</v>
      </c>
      <c r="O479" t="str">
        <f t="shared" si="7"/>
        <v>Employed &gt;2 Years</v>
      </c>
    </row>
    <row r="480" spans="1:15" x14ac:dyDescent="0.25">
      <c r="A480" t="s">
        <v>903</v>
      </c>
      <c r="B480" t="s">
        <v>904</v>
      </c>
      <c r="C480" s="1">
        <v>45669</v>
      </c>
      <c r="D480" t="s">
        <v>38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62</v>
      </c>
      <c r="K480">
        <v>15</v>
      </c>
      <c r="L480">
        <v>0</v>
      </c>
      <c r="M480" t="str">
        <v>Part-Time</v>
      </c>
      <c r="N480">
        <v>32</v>
      </c>
      <c r="O480" t="str">
        <f t="shared" si="7"/>
        <v>Employed &gt;2 Years</v>
      </c>
    </row>
    <row r="481" spans="1:15" x14ac:dyDescent="0.25">
      <c r="A481" t="s">
        <v>905</v>
      </c>
      <c r="B481" t="s">
        <v>904</v>
      </c>
      <c r="C481" s="1">
        <v>45350</v>
      </c>
      <c r="D481" t="s">
        <v>24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27</v>
      </c>
      <c r="K481">
        <v>0</v>
      </c>
      <c r="L481">
        <v>0</v>
      </c>
      <c r="M481" t="str">
        <v>Part-Time</v>
      </c>
      <c r="N481">
        <v>32</v>
      </c>
      <c r="O481" t="str">
        <f t="shared" si="7"/>
        <v>Employed &gt;2 Years</v>
      </c>
    </row>
    <row r="482" spans="1:15" x14ac:dyDescent="0.25">
      <c r="A482" t="s">
        <v>906</v>
      </c>
      <c r="B482" t="s">
        <v>907</v>
      </c>
      <c r="C482" s="1">
        <v>45400</v>
      </c>
      <c r="D482" t="s">
        <v>24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15</v>
      </c>
      <c r="K482">
        <v>0</v>
      </c>
      <c r="L482">
        <v>0</v>
      </c>
      <c r="M482" t="str">
        <v>Full-Time</v>
      </c>
      <c r="N482">
        <v>14</v>
      </c>
      <c r="O482" t="str">
        <f t="shared" si="7"/>
        <v>Employed &gt;2 Years</v>
      </c>
    </row>
    <row r="483" spans="1:15" x14ac:dyDescent="0.25">
      <c r="A483" t="s">
        <v>908</v>
      </c>
      <c r="B483" t="s">
        <v>909</v>
      </c>
      <c r="C483" s="1">
        <v>45500</v>
      </c>
      <c r="D483" t="s">
        <v>47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15</v>
      </c>
      <c r="K483">
        <v>0</v>
      </c>
      <c r="L483">
        <v>0</v>
      </c>
      <c r="M483" t="str">
        <v>Part-Time</v>
      </c>
      <c r="N483">
        <v>28</v>
      </c>
      <c r="O483" t="str">
        <f t="shared" si="7"/>
        <v>Employed &gt;2 Years</v>
      </c>
    </row>
    <row r="484" spans="1:15" x14ac:dyDescent="0.25">
      <c r="A484" t="s">
        <v>910</v>
      </c>
      <c r="B484" t="s">
        <v>911</v>
      </c>
      <c r="C484" s="1">
        <v>45387</v>
      </c>
      <c r="D484" t="s">
        <v>38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18</v>
      </c>
      <c r="K484">
        <v>147</v>
      </c>
      <c r="L484">
        <v>1</v>
      </c>
      <c r="M484" t="str">
        <v>Part-Time</v>
      </c>
      <c r="N484">
        <v>25</v>
      </c>
      <c r="O484" t="str">
        <f t="shared" si="7"/>
        <v>Employed &gt;2 Years</v>
      </c>
    </row>
    <row r="485" spans="1:15" x14ac:dyDescent="0.25">
      <c r="A485" t="s">
        <v>912</v>
      </c>
      <c r="B485" t="s">
        <v>913</v>
      </c>
      <c r="C485" s="1">
        <v>45313</v>
      </c>
      <c r="D485" t="s">
        <v>33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62</v>
      </c>
      <c r="K485">
        <v>15</v>
      </c>
      <c r="L485">
        <v>0</v>
      </c>
      <c r="M485" t="str">
        <v>Self-Employed</v>
      </c>
      <c r="N485">
        <v>3</v>
      </c>
      <c r="O485" t="str">
        <f t="shared" si="7"/>
        <v>Employed &gt;2 Years</v>
      </c>
    </row>
    <row r="486" spans="1:15" x14ac:dyDescent="0.25">
      <c r="A486" t="s">
        <v>914</v>
      </c>
      <c r="B486" t="s">
        <v>915</v>
      </c>
      <c r="C486" s="1">
        <v>45704</v>
      </c>
      <c r="D486" t="s">
        <v>38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15</v>
      </c>
      <c r="K486">
        <v>0</v>
      </c>
      <c r="L486">
        <v>0</v>
      </c>
      <c r="M486" t="str">
        <v>Self-Employed</v>
      </c>
      <c r="N486">
        <v>7</v>
      </c>
      <c r="O486" t="str">
        <f t="shared" si="7"/>
        <v>Employed &gt;2 Years</v>
      </c>
    </row>
    <row r="487" spans="1:15" x14ac:dyDescent="0.25">
      <c r="A487" t="s">
        <v>916</v>
      </c>
      <c r="B487" t="s">
        <v>917</v>
      </c>
      <c r="C487" s="1">
        <v>45336</v>
      </c>
      <c r="D487" t="s">
        <v>47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18</v>
      </c>
      <c r="K487">
        <v>51</v>
      </c>
      <c r="L487">
        <v>1</v>
      </c>
      <c r="M487" t="str">
        <v>Full-Time</v>
      </c>
      <c r="N487">
        <v>2</v>
      </c>
      <c r="O487" t="str">
        <f t="shared" si="7"/>
        <v>Employed &gt;2 Years</v>
      </c>
    </row>
    <row r="488" spans="1:15" x14ac:dyDescent="0.25">
      <c r="A488" t="s">
        <v>918</v>
      </c>
      <c r="B488" t="s">
        <v>917</v>
      </c>
      <c r="C488" s="1">
        <v>45301</v>
      </c>
      <c r="D488" t="s">
        <v>24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15</v>
      </c>
      <c r="K488">
        <v>0</v>
      </c>
      <c r="L488">
        <v>0</v>
      </c>
      <c r="M488" t="str">
        <v>Full-Time</v>
      </c>
      <c r="N488">
        <v>2</v>
      </c>
      <c r="O488" t="str">
        <f t="shared" si="7"/>
        <v>Employed &gt;2 Years</v>
      </c>
    </row>
    <row r="489" spans="1:15" x14ac:dyDescent="0.25">
      <c r="A489" t="s">
        <v>919</v>
      </c>
      <c r="B489" t="s">
        <v>920</v>
      </c>
      <c r="C489" s="1">
        <v>45459</v>
      </c>
      <c r="D489" t="s">
        <v>36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18</v>
      </c>
      <c r="K489">
        <v>152</v>
      </c>
      <c r="L489">
        <v>1</v>
      </c>
      <c r="M489" t="str">
        <v>Full-Time</v>
      </c>
      <c r="N489">
        <v>25</v>
      </c>
      <c r="O489" t="str">
        <f t="shared" si="7"/>
        <v>Employed &gt;2 Years</v>
      </c>
    </row>
    <row r="490" spans="1:15" x14ac:dyDescent="0.25">
      <c r="A490" t="s">
        <v>921</v>
      </c>
      <c r="B490" t="s">
        <v>922</v>
      </c>
      <c r="C490" s="1">
        <v>45337</v>
      </c>
      <c r="D490" t="s">
        <v>41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18</v>
      </c>
      <c r="K490">
        <v>105</v>
      </c>
      <c r="L490">
        <v>1</v>
      </c>
      <c r="M490" t="str">
        <v>Full-Time</v>
      </c>
      <c r="N490">
        <v>1</v>
      </c>
      <c r="O490" t="str">
        <f t="shared" si="7"/>
        <v>Employed &lt;2 Years</v>
      </c>
    </row>
    <row r="491" spans="1:15" x14ac:dyDescent="0.25">
      <c r="A491" t="s">
        <v>923</v>
      </c>
      <c r="B491" t="s">
        <v>924</v>
      </c>
      <c r="C491" s="1">
        <v>45686</v>
      </c>
      <c r="D491" t="s">
        <v>17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18</v>
      </c>
      <c r="K491">
        <v>103</v>
      </c>
      <c r="L491">
        <v>1</v>
      </c>
      <c r="M491" t="str">
        <v>Full-Time</v>
      </c>
      <c r="N491">
        <v>27</v>
      </c>
      <c r="O491" t="str">
        <f t="shared" si="7"/>
        <v>Employed &gt;2 Years</v>
      </c>
    </row>
    <row r="492" spans="1:15" x14ac:dyDescent="0.25">
      <c r="A492" t="s">
        <v>925</v>
      </c>
      <c r="B492" t="s">
        <v>926</v>
      </c>
      <c r="C492" s="1">
        <v>45404</v>
      </c>
      <c r="D492" t="s">
        <v>17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18</v>
      </c>
      <c r="K492">
        <v>102</v>
      </c>
      <c r="L492">
        <v>1</v>
      </c>
      <c r="M492" t="str">
        <v>Full-Time</v>
      </c>
      <c r="N492">
        <v>6</v>
      </c>
      <c r="O492" t="str">
        <f t="shared" si="7"/>
        <v>Employed &gt;2 Years</v>
      </c>
    </row>
    <row r="493" spans="1:15" x14ac:dyDescent="0.25">
      <c r="A493" t="s">
        <v>927</v>
      </c>
      <c r="B493" t="s">
        <v>928</v>
      </c>
      <c r="C493" s="1">
        <v>45446</v>
      </c>
      <c r="D493" t="s">
        <v>47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18</v>
      </c>
      <c r="K493">
        <v>165</v>
      </c>
      <c r="L493">
        <v>1</v>
      </c>
      <c r="M493" t="str">
        <v>Part-Time</v>
      </c>
      <c r="N493">
        <v>8</v>
      </c>
      <c r="O493" t="str">
        <f t="shared" si="7"/>
        <v>Employed &gt;2 Years</v>
      </c>
    </row>
    <row r="494" spans="1:15" x14ac:dyDescent="0.25">
      <c r="A494" t="s">
        <v>929</v>
      </c>
      <c r="B494" t="s">
        <v>930</v>
      </c>
      <c r="C494" s="1">
        <v>45585</v>
      </c>
      <c r="D494" t="s">
        <v>33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15</v>
      </c>
      <c r="K494">
        <v>0</v>
      </c>
      <c r="L494">
        <v>0</v>
      </c>
      <c r="M494" t="str">
        <v>Part-Time</v>
      </c>
      <c r="N494">
        <v>4</v>
      </c>
      <c r="O494" t="str">
        <f t="shared" si="7"/>
        <v>Employed &gt;2 Years</v>
      </c>
    </row>
    <row r="495" spans="1:15" x14ac:dyDescent="0.25">
      <c r="A495" t="s">
        <v>931</v>
      </c>
      <c r="B495" t="s">
        <v>932</v>
      </c>
      <c r="C495" s="1">
        <v>45444</v>
      </c>
      <c r="D495" t="s">
        <v>24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27</v>
      </c>
      <c r="K495">
        <v>0</v>
      </c>
      <c r="L495">
        <v>0</v>
      </c>
      <c r="M495" t="str">
        <v>Full-Time</v>
      </c>
      <c r="N495">
        <v>22</v>
      </c>
      <c r="O495" t="str">
        <f t="shared" si="7"/>
        <v>Employed &gt;2 Years</v>
      </c>
    </row>
    <row r="496" spans="1:15" x14ac:dyDescent="0.25">
      <c r="A496" t="s">
        <v>933</v>
      </c>
      <c r="B496" t="s">
        <v>934</v>
      </c>
      <c r="C496" s="1">
        <v>45577</v>
      </c>
      <c r="D496" t="s">
        <v>14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18</v>
      </c>
      <c r="K496">
        <v>112</v>
      </c>
      <c r="L496">
        <v>1</v>
      </c>
      <c r="M496" t="str">
        <v>Self-Employed</v>
      </c>
      <c r="N496">
        <v>12</v>
      </c>
      <c r="O496" t="str">
        <f t="shared" si="7"/>
        <v>Employed &gt;2 Years</v>
      </c>
    </row>
    <row r="497" spans="1:15" x14ac:dyDescent="0.25">
      <c r="A497" t="s">
        <v>935</v>
      </c>
      <c r="B497" t="s">
        <v>936</v>
      </c>
      <c r="C497" s="1">
        <v>45715</v>
      </c>
      <c r="D497" t="s">
        <v>33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27</v>
      </c>
      <c r="K497">
        <v>0</v>
      </c>
      <c r="L497">
        <v>0</v>
      </c>
      <c r="M497" t="str">
        <v>Self-Employed</v>
      </c>
      <c r="N497">
        <v>27</v>
      </c>
      <c r="O497" t="str">
        <f t="shared" si="7"/>
        <v>Employed &gt;2 Years</v>
      </c>
    </row>
    <row r="498" spans="1:15" x14ac:dyDescent="0.25">
      <c r="A498" t="s">
        <v>937</v>
      </c>
      <c r="B498" t="s">
        <v>936</v>
      </c>
      <c r="C498" s="1">
        <v>45837</v>
      </c>
      <c r="D498" t="s">
        <v>38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27</v>
      </c>
      <c r="K498">
        <v>0</v>
      </c>
      <c r="L498">
        <v>0</v>
      </c>
      <c r="M498" t="str">
        <v>Self-Employed</v>
      </c>
      <c r="N498">
        <v>27</v>
      </c>
      <c r="O498" t="str">
        <f t="shared" si="7"/>
        <v>Employed &gt;2 Years</v>
      </c>
    </row>
    <row r="499" spans="1:15" x14ac:dyDescent="0.25">
      <c r="A499" t="s">
        <v>938</v>
      </c>
      <c r="B499" t="s">
        <v>939</v>
      </c>
      <c r="C499" s="1">
        <v>45532</v>
      </c>
      <c r="D499" t="s">
        <v>21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15</v>
      </c>
      <c r="K499">
        <v>0</v>
      </c>
      <c r="L499">
        <v>0</v>
      </c>
      <c r="M499" t="str">
        <v>Full-Time</v>
      </c>
      <c r="N499">
        <v>2</v>
      </c>
      <c r="O499" t="str">
        <f t="shared" si="7"/>
        <v>Employed &gt;2 Years</v>
      </c>
    </row>
    <row r="500" spans="1:15" x14ac:dyDescent="0.25">
      <c r="A500" t="s">
        <v>940</v>
      </c>
      <c r="B500" t="s">
        <v>941</v>
      </c>
      <c r="C500" s="1">
        <v>45661</v>
      </c>
      <c r="D500" t="s">
        <v>14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62</v>
      </c>
      <c r="K500">
        <v>15</v>
      </c>
      <c r="L500">
        <v>0</v>
      </c>
      <c r="M500" t="str">
        <v>Full-Time</v>
      </c>
      <c r="N500">
        <v>3</v>
      </c>
      <c r="O500" t="str">
        <f t="shared" si="7"/>
        <v>Employed &gt;2 Years</v>
      </c>
    </row>
    <row r="501" spans="1:15" x14ac:dyDescent="0.25">
      <c r="A501" t="s">
        <v>942</v>
      </c>
      <c r="B501" t="s">
        <v>943</v>
      </c>
      <c r="C501" s="1">
        <v>45521</v>
      </c>
      <c r="D501" t="s">
        <v>33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18</v>
      </c>
      <c r="K501">
        <v>65</v>
      </c>
      <c r="L501">
        <v>1</v>
      </c>
      <c r="M501" t="str">
        <v>Full-Time</v>
      </c>
      <c r="N501">
        <v>3</v>
      </c>
      <c r="O501" t="str">
        <f t="shared" si="7"/>
        <v>Employed &gt;2 Years</v>
      </c>
    </row>
    <row r="502" spans="1:15" x14ac:dyDescent="0.25">
      <c r="A502" t="s">
        <v>944</v>
      </c>
      <c r="B502" t="s">
        <v>945</v>
      </c>
      <c r="C502" s="1">
        <v>45400</v>
      </c>
      <c r="D502" t="s">
        <v>33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15</v>
      </c>
      <c r="K502">
        <v>0</v>
      </c>
      <c r="L502">
        <v>0</v>
      </c>
      <c r="M502" t="str">
        <v>Part-Time</v>
      </c>
      <c r="N502">
        <v>12</v>
      </c>
      <c r="O502" t="str">
        <f t="shared" si="7"/>
        <v>Employed &gt;2 Years</v>
      </c>
    </row>
    <row r="503" spans="1:15" x14ac:dyDescent="0.25">
      <c r="A503" t="s">
        <v>946</v>
      </c>
      <c r="B503" t="s">
        <v>947</v>
      </c>
      <c r="C503" s="1">
        <v>45718</v>
      </c>
      <c r="D503" t="s">
        <v>41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15</v>
      </c>
      <c r="K503">
        <v>0</v>
      </c>
      <c r="L503">
        <v>0</v>
      </c>
      <c r="M503" t="str">
        <v>Self-Employed</v>
      </c>
      <c r="N503">
        <v>6</v>
      </c>
      <c r="O503" t="str">
        <f t="shared" si="7"/>
        <v>Employed &gt;2 Years</v>
      </c>
    </row>
    <row r="504" spans="1:15" x14ac:dyDescent="0.25">
      <c r="A504" t="s">
        <v>948</v>
      </c>
      <c r="B504" t="s">
        <v>947</v>
      </c>
      <c r="C504" s="1">
        <v>45746</v>
      </c>
      <c r="D504" t="s">
        <v>21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27</v>
      </c>
      <c r="K504">
        <v>0</v>
      </c>
      <c r="L504">
        <v>0</v>
      </c>
      <c r="M504" t="str">
        <v>Self-Employed</v>
      </c>
      <c r="N504">
        <v>6</v>
      </c>
      <c r="O504" t="str">
        <f t="shared" si="7"/>
        <v>Employed &gt;2 Years</v>
      </c>
    </row>
    <row r="505" spans="1:15" x14ac:dyDescent="0.25">
      <c r="A505" t="s">
        <v>949</v>
      </c>
      <c r="B505" t="s">
        <v>950</v>
      </c>
      <c r="C505" s="1">
        <v>45725</v>
      </c>
      <c r="D505" t="s">
        <v>41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62</v>
      </c>
      <c r="K505">
        <v>15</v>
      </c>
      <c r="L505">
        <v>0</v>
      </c>
      <c r="M505" t="str">
        <v>Retired</v>
      </c>
      <c r="N505">
        <v>24</v>
      </c>
      <c r="O505" t="str">
        <f t="shared" si="7"/>
        <v>Employed &gt;2 Years</v>
      </c>
    </row>
    <row r="506" spans="1:15" x14ac:dyDescent="0.25">
      <c r="A506" t="s">
        <v>951</v>
      </c>
      <c r="B506" t="s">
        <v>952</v>
      </c>
      <c r="C506" s="1">
        <v>45570</v>
      </c>
      <c r="D506" t="s">
        <v>47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15</v>
      </c>
      <c r="K506">
        <v>0</v>
      </c>
      <c r="L506">
        <v>0</v>
      </c>
      <c r="M506" t="str">
        <v>Full-Time</v>
      </c>
      <c r="N506">
        <v>2</v>
      </c>
      <c r="O506" t="str">
        <f t="shared" si="7"/>
        <v>Employed &gt;2 Years</v>
      </c>
    </row>
    <row r="507" spans="1:15" x14ac:dyDescent="0.25">
      <c r="A507" t="s">
        <v>953</v>
      </c>
      <c r="B507" t="s">
        <v>952</v>
      </c>
      <c r="C507" s="1">
        <v>45480</v>
      </c>
      <c r="D507" t="s">
        <v>33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62</v>
      </c>
      <c r="K507">
        <v>30</v>
      </c>
      <c r="L507">
        <v>0</v>
      </c>
      <c r="M507" t="str">
        <v>Full-Time</v>
      </c>
      <c r="N507">
        <v>2</v>
      </c>
      <c r="O507" t="str">
        <f t="shared" si="7"/>
        <v>Employed &gt;2 Years</v>
      </c>
    </row>
    <row r="508" spans="1:15" x14ac:dyDescent="0.25">
      <c r="A508" t="s">
        <v>954</v>
      </c>
      <c r="B508" t="s">
        <v>955</v>
      </c>
      <c r="C508" s="1">
        <v>45460</v>
      </c>
      <c r="D508" t="s">
        <v>14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18</v>
      </c>
      <c r="K508">
        <v>125</v>
      </c>
      <c r="L508">
        <v>1</v>
      </c>
      <c r="M508" t="str">
        <v>Self-Employed</v>
      </c>
      <c r="N508">
        <v>35</v>
      </c>
      <c r="O508" t="str">
        <f t="shared" si="7"/>
        <v>Employed &gt;2 Years</v>
      </c>
    </row>
    <row r="509" spans="1:15" x14ac:dyDescent="0.25">
      <c r="A509" t="s">
        <v>956</v>
      </c>
      <c r="B509" t="s">
        <v>957</v>
      </c>
      <c r="C509" s="1">
        <v>45635</v>
      </c>
      <c r="D509" t="s">
        <v>38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18</v>
      </c>
      <c r="K509">
        <v>102</v>
      </c>
      <c r="L509">
        <v>1</v>
      </c>
      <c r="M509" t="str">
        <v>Self-Employed</v>
      </c>
      <c r="N509">
        <v>8</v>
      </c>
      <c r="O509" t="str">
        <f t="shared" si="7"/>
        <v>Employed &gt;2 Years</v>
      </c>
    </row>
    <row r="510" spans="1:15" x14ac:dyDescent="0.25">
      <c r="A510" t="s">
        <v>958</v>
      </c>
      <c r="B510" t="s">
        <v>959</v>
      </c>
      <c r="C510" s="1">
        <v>45498</v>
      </c>
      <c r="D510" t="s">
        <v>36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27</v>
      </c>
      <c r="K510">
        <v>0</v>
      </c>
      <c r="L510">
        <v>0</v>
      </c>
      <c r="M510" t="str">
        <v>Full-Time</v>
      </c>
      <c r="N510">
        <v>16</v>
      </c>
      <c r="O510" t="str">
        <f t="shared" si="7"/>
        <v>Employed &gt;2 Years</v>
      </c>
    </row>
    <row r="511" spans="1:15" x14ac:dyDescent="0.25">
      <c r="A511" t="s">
        <v>960</v>
      </c>
      <c r="B511" t="s">
        <v>961</v>
      </c>
      <c r="C511" s="1">
        <v>45614</v>
      </c>
      <c r="D511" t="s">
        <v>47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18</v>
      </c>
      <c r="K511">
        <v>109</v>
      </c>
      <c r="L511">
        <v>1</v>
      </c>
      <c r="M511" t="str">
        <v>Full-Time</v>
      </c>
      <c r="N511">
        <v>2</v>
      </c>
      <c r="O511" t="str">
        <f t="shared" si="7"/>
        <v>Employed &gt;2 Years</v>
      </c>
    </row>
    <row r="512" spans="1:15" x14ac:dyDescent="0.25">
      <c r="A512" t="s">
        <v>962</v>
      </c>
      <c r="B512" t="s">
        <v>961</v>
      </c>
      <c r="C512" s="1">
        <v>45614</v>
      </c>
      <c r="D512" t="s">
        <v>41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15</v>
      </c>
      <c r="K512">
        <v>0</v>
      </c>
      <c r="L512">
        <v>0</v>
      </c>
      <c r="M512" t="str">
        <v>Full-Time</v>
      </c>
      <c r="N512">
        <v>2</v>
      </c>
      <c r="O512" t="str">
        <f t="shared" si="7"/>
        <v>Employed &gt;2 Years</v>
      </c>
    </row>
    <row r="513" spans="1:15" x14ac:dyDescent="0.25">
      <c r="A513" t="s">
        <v>963</v>
      </c>
      <c r="B513" t="s">
        <v>964</v>
      </c>
      <c r="C513" s="1">
        <v>45445</v>
      </c>
      <c r="D513" t="s">
        <v>36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18</v>
      </c>
      <c r="K513">
        <v>127</v>
      </c>
      <c r="L513">
        <v>1</v>
      </c>
      <c r="M513" t="str">
        <v>Self-Employed</v>
      </c>
      <c r="N513">
        <v>17</v>
      </c>
      <c r="O513" t="str">
        <f t="shared" si="7"/>
        <v>Employed &gt;2 Years</v>
      </c>
    </row>
    <row r="514" spans="1:15" x14ac:dyDescent="0.25">
      <c r="A514" t="s">
        <v>965</v>
      </c>
      <c r="B514" t="s">
        <v>966</v>
      </c>
      <c r="C514" s="1">
        <v>45387</v>
      </c>
      <c r="D514" t="s">
        <v>41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27</v>
      </c>
      <c r="K514">
        <v>0</v>
      </c>
      <c r="L514">
        <v>0</v>
      </c>
      <c r="M514" t="str">
        <v>Full-Time</v>
      </c>
      <c r="N514">
        <v>20</v>
      </c>
      <c r="O514" t="str">
        <f t="shared" si="7"/>
        <v>Employed &gt;2 Years</v>
      </c>
    </row>
    <row r="515" spans="1:15" x14ac:dyDescent="0.25">
      <c r="A515" t="s">
        <v>967</v>
      </c>
      <c r="B515" t="s">
        <v>968</v>
      </c>
      <c r="C515" s="1">
        <v>45827</v>
      </c>
      <c r="D515" t="s">
        <v>33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15</v>
      </c>
      <c r="K515">
        <v>0</v>
      </c>
      <c r="L515">
        <v>0</v>
      </c>
      <c r="M515" t="str">
        <v>Part-Time</v>
      </c>
      <c r="N515">
        <v>13</v>
      </c>
      <c r="O515" t="str">
        <f t="shared" ref="O515:O578" si="8">IF(N515&lt;2,"Employed &lt;2 Years","Employed &gt;2 Years")</f>
        <v>Employed &gt;2 Years</v>
      </c>
    </row>
    <row r="516" spans="1:15" x14ac:dyDescent="0.25">
      <c r="A516" t="s">
        <v>969</v>
      </c>
      <c r="B516" t="s">
        <v>970</v>
      </c>
      <c r="C516" s="1">
        <v>45688</v>
      </c>
      <c r="D516" t="s">
        <v>30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18</v>
      </c>
      <c r="K516">
        <v>49</v>
      </c>
      <c r="L516">
        <v>1</v>
      </c>
      <c r="M516" t="str">
        <v>Self-Employed</v>
      </c>
      <c r="N516">
        <v>9</v>
      </c>
      <c r="O516" t="str">
        <f t="shared" si="8"/>
        <v>Employed &gt;2 Years</v>
      </c>
    </row>
    <row r="517" spans="1:15" x14ac:dyDescent="0.25">
      <c r="A517" t="s">
        <v>971</v>
      </c>
      <c r="B517" t="s">
        <v>972</v>
      </c>
      <c r="C517" s="1">
        <v>45608</v>
      </c>
      <c r="D517" t="s">
        <v>47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62</v>
      </c>
      <c r="K517">
        <v>30</v>
      </c>
      <c r="L517">
        <v>0</v>
      </c>
      <c r="M517" t="str">
        <v>Full-Time</v>
      </c>
      <c r="N517">
        <v>2</v>
      </c>
      <c r="O517" t="str">
        <f t="shared" si="8"/>
        <v>Employed &gt;2 Years</v>
      </c>
    </row>
    <row r="518" spans="1:15" x14ac:dyDescent="0.25">
      <c r="A518" t="s">
        <v>973</v>
      </c>
      <c r="B518" t="s">
        <v>972</v>
      </c>
      <c r="C518" s="1">
        <v>45457</v>
      </c>
      <c r="D518" t="s">
        <v>36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18</v>
      </c>
      <c r="K518">
        <v>177</v>
      </c>
      <c r="L518">
        <v>1</v>
      </c>
      <c r="M518" t="str">
        <v>Full-Time</v>
      </c>
      <c r="N518">
        <v>2</v>
      </c>
      <c r="O518" t="str">
        <f t="shared" si="8"/>
        <v>Employed &gt;2 Years</v>
      </c>
    </row>
    <row r="519" spans="1:15" x14ac:dyDescent="0.25">
      <c r="A519" t="s">
        <v>974</v>
      </c>
      <c r="B519" t="s">
        <v>975</v>
      </c>
      <c r="C519" s="1">
        <v>45776</v>
      </c>
      <c r="D519" t="s">
        <v>36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27</v>
      </c>
      <c r="K519">
        <v>0</v>
      </c>
      <c r="L519">
        <v>0</v>
      </c>
      <c r="M519" t="str">
        <v>Full-Time</v>
      </c>
      <c r="N519">
        <v>0</v>
      </c>
      <c r="O519" t="str">
        <f t="shared" si="8"/>
        <v>Employed &lt;2 Years</v>
      </c>
    </row>
    <row r="520" spans="1:15" x14ac:dyDescent="0.25">
      <c r="A520" t="s">
        <v>976</v>
      </c>
      <c r="B520" t="s">
        <v>977</v>
      </c>
      <c r="C520" s="1">
        <v>45702</v>
      </c>
      <c r="D520" t="s">
        <v>36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62</v>
      </c>
      <c r="K520">
        <v>0</v>
      </c>
      <c r="L520">
        <v>0</v>
      </c>
      <c r="M520" t="str">
        <v>Full-Time</v>
      </c>
      <c r="N520">
        <v>19</v>
      </c>
      <c r="O520" t="str">
        <f t="shared" si="8"/>
        <v>Employed &gt;2 Years</v>
      </c>
    </row>
    <row r="521" spans="1:15" x14ac:dyDescent="0.25">
      <c r="A521" t="s">
        <v>978</v>
      </c>
      <c r="B521" t="s">
        <v>977</v>
      </c>
      <c r="C521" s="1">
        <v>45715</v>
      </c>
      <c r="D521" t="s">
        <v>14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15</v>
      </c>
      <c r="K521">
        <v>0</v>
      </c>
      <c r="L521">
        <v>0</v>
      </c>
      <c r="M521" t="str">
        <v>Full-Time</v>
      </c>
      <c r="N521">
        <v>19</v>
      </c>
      <c r="O521" t="str">
        <f t="shared" si="8"/>
        <v>Employed &gt;2 Years</v>
      </c>
    </row>
    <row r="522" spans="1:15" x14ac:dyDescent="0.25">
      <c r="A522" t="s">
        <v>979</v>
      </c>
      <c r="B522" t="s">
        <v>980</v>
      </c>
      <c r="C522" s="1">
        <v>45300</v>
      </c>
      <c r="D522" t="s">
        <v>47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27</v>
      </c>
      <c r="K522">
        <v>0</v>
      </c>
      <c r="L522">
        <v>0</v>
      </c>
      <c r="M522" t="str">
        <v>Full-Time</v>
      </c>
      <c r="N522">
        <v>34</v>
      </c>
      <c r="O522" t="str">
        <f t="shared" si="8"/>
        <v>Employed &gt;2 Years</v>
      </c>
    </row>
    <row r="523" spans="1:15" x14ac:dyDescent="0.25">
      <c r="A523" t="s">
        <v>981</v>
      </c>
      <c r="B523" t="s">
        <v>982</v>
      </c>
      <c r="C523" s="1">
        <v>45771</v>
      </c>
      <c r="D523" t="s">
        <v>36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62</v>
      </c>
      <c r="K523">
        <v>15</v>
      </c>
      <c r="L523">
        <v>0</v>
      </c>
      <c r="M523" t="str">
        <v>Retired</v>
      </c>
      <c r="N523">
        <v>9</v>
      </c>
      <c r="O523" t="str">
        <f t="shared" si="8"/>
        <v>Employed &gt;2 Years</v>
      </c>
    </row>
    <row r="524" spans="1:15" x14ac:dyDescent="0.25">
      <c r="A524" t="s">
        <v>983</v>
      </c>
      <c r="B524" t="s">
        <v>984</v>
      </c>
      <c r="C524" s="1">
        <v>45628</v>
      </c>
      <c r="D524" t="s">
        <v>36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62</v>
      </c>
      <c r="K524">
        <v>0</v>
      </c>
      <c r="L524">
        <v>0</v>
      </c>
      <c r="M524" t="str">
        <v>Full-Time</v>
      </c>
      <c r="N524">
        <v>13</v>
      </c>
      <c r="O524" t="str">
        <f t="shared" si="8"/>
        <v>Employed &gt;2 Years</v>
      </c>
    </row>
    <row r="525" spans="1:15" x14ac:dyDescent="0.25">
      <c r="A525" t="s">
        <v>985</v>
      </c>
      <c r="B525" t="s">
        <v>986</v>
      </c>
      <c r="C525" s="1">
        <v>45773</v>
      </c>
      <c r="D525" t="s">
        <v>14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18</v>
      </c>
      <c r="K525">
        <v>84</v>
      </c>
      <c r="L525">
        <v>1</v>
      </c>
      <c r="M525" t="str">
        <v>Contract</v>
      </c>
      <c r="N525">
        <v>10</v>
      </c>
      <c r="O525" t="str">
        <f t="shared" si="8"/>
        <v>Employed &gt;2 Years</v>
      </c>
    </row>
    <row r="526" spans="1:15" x14ac:dyDescent="0.25">
      <c r="A526" t="s">
        <v>987</v>
      </c>
      <c r="B526" t="s">
        <v>988</v>
      </c>
      <c r="C526" s="1">
        <v>45662</v>
      </c>
      <c r="D526" t="s">
        <v>41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62</v>
      </c>
      <c r="K526">
        <v>30</v>
      </c>
      <c r="L526">
        <v>0</v>
      </c>
      <c r="M526" t="str">
        <v>Full-Time</v>
      </c>
      <c r="N526">
        <v>16</v>
      </c>
      <c r="O526" t="str">
        <f t="shared" si="8"/>
        <v>Employed &gt;2 Years</v>
      </c>
    </row>
    <row r="527" spans="1:15" x14ac:dyDescent="0.25">
      <c r="A527" t="s">
        <v>989</v>
      </c>
      <c r="B527" t="s">
        <v>990</v>
      </c>
      <c r="C527" s="1">
        <v>45472</v>
      </c>
      <c r="D527" t="s">
        <v>41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18</v>
      </c>
      <c r="K527">
        <v>47</v>
      </c>
      <c r="L527">
        <v>1</v>
      </c>
      <c r="M527" t="str">
        <v>Self-Employed</v>
      </c>
      <c r="N527">
        <v>2</v>
      </c>
      <c r="O527" t="str">
        <f t="shared" si="8"/>
        <v>Employed &gt;2 Years</v>
      </c>
    </row>
    <row r="528" spans="1:15" x14ac:dyDescent="0.25">
      <c r="A528" t="s">
        <v>991</v>
      </c>
      <c r="B528" t="s">
        <v>992</v>
      </c>
      <c r="C528" s="1">
        <v>45557</v>
      </c>
      <c r="D528" t="s">
        <v>36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15</v>
      </c>
      <c r="K528">
        <v>0</v>
      </c>
      <c r="L528">
        <v>0</v>
      </c>
      <c r="M528" t="str">
        <v>Part-Time</v>
      </c>
      <c r="N528">
        <v>20</v>
      </c>
      <c r="O528" t="str">
        <f t="shared" si="8"/>
        <v>Employed &gt;2 Years</v>
      </c>
    </row>
    <row r="529" spans="1:15" x14ac:dyDescent="0.25">
      <c r="A529" t="s">
        <v>993</v>
      </c>
      <c r="B529" t="s">
        <v>994</v>
      </c>
      <c r="C529" s="1">
        <v>45456</v>
      </c>
      <c r="D529" t="s">
        <v>24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15</v>
      </c>
      <c r="K529">
        <v>0</v>
      </c>
      <c r="L529">
        <v>0</v>
      </c>
      <c r="M529" t="str">
        <v>Part-Time</v>
      </c>
      <c r="N529">
        <v>4</v>
      </c>
      <c r="O529" t="str">
        <f t="shared" si="8"/>
        <v>Employed &gt;2 Years</v>
      </c>
    </row>
    <row r="530" spans="1:15" x14ac:dyDescent="0.25">
      <c r="A530" t="s">
        <v>995</v>
      </c>
      <c r="B530" t="s">
        <v>996</v>
      </c>
      <c r="C530" s="1">
        <v>45440</v>
      </c>
      <c r="D530" t="s">
        <v>41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62</v>
      </c>
      <c r="K530">
        <v>30</v>
      </c>
      <c r="L530">
        <v>0</v>
      </c>
      <c r="M530" t="str">
        <v>Full-Time</v>
      </c>
      <c r="N530">
        <v>19</v>
      </c>
      <c r="O530" t="str">
        <f t="shared" si="8"/>
        <v>Employed &gt;2 Years</v>
      </c>
    </row>
    <row r="531" spans="1:15" x14ac:dyDescent="0.25">
      <c r="A531" t="s">
        <v>997</v>
      </c>
      <c r="B531" t="s">
        <v>998</v>
      </c>
      <c r="C531" s="1">
        <v>45616</v>
      </c>
      <c r="D531" t="s">
        <v>30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18</v>
      </c>
      <c r="K531">
        <v>134</v>
      </c>
      <c r="L531">
        <v>1</v>
      </c>
      <c r="M531" t="str">
        <v>Self-Employed</v>
      </c>
      <c r="N531">
        <v>1</v>
      </c>
      <c r="O531" t="str">
        <f t="shared" si="8"/>
        <v>Employed &lt;2 Years</v>
      </c>
    </row>
    <row r="532" spans="1:15" x14ac:dyDescent="0.25">
      <c r="A532" t="s">
        <v>999</v>
      </c>
      <c r="B532" t="s">
        <v>1000</v>
      </c>
      <c r="C532" s="1">
        <v>45391</v>
      </c>
      <c r="D532" t="s">
        <v>41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18</v>
      </c>
      <c r="K532">
        <v>78</v>
      </c>
      <c r="L532">
        <v>1</v>
      </c>
      <c r="M532" t="str">
        <v>Full-Time</v>
      </c>
      <c r="N532">
        <v>17</v>
      </c>
      <c r="O532" t="str">
        <f t="shared" si="8"/>
        <v>Employed &gt;2 Years</v>
      </c>
    </row>
    <row r="533" spans="1:15" x14ac:dyDescent="0.25">
      <c r="A533" t="s">
        <v>1001</v>
      </c>
      <c r="B533" t="s">
        <v>1002</v>
      </c>
      <c r="C533" s="1">
        <v>45487</v>
      </c>
      <c r="D533" t="s">
        <v>21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27</v>
      </c>
      <c r="K533">
        <v>0</v>
      </c>
      <c r="L533">
        <v>0</v>
      </c>
      <c r="M533" t="str">
        <v>Contract</v>
      </c>
      <c r="N533">
        <v>4</v>
      </c>
      <c r="O533" t="str">
        <f t="shared" si="8"/>
        <v>Employed &gt;2 Years</v>
      </c>
    </row>
    <row r="534" spans="1:15" x14ac:dyDescent="0.25">
      <c r="A534" t="s">
        <v>1003</v>
      </c>
      <c r="B534" t="s">
        <v>1004</v>
      </c>
      <c r="C534" s="1">
        <v>45758</v>
      </c>
      <c r="D534" t="s">
        <v>41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15</v>
      </c>
      <c r="K534">
        <v>0</v>
      </c>
      <c r="L534">
        <v>0</v>
      </c>
      <c r="M534" t="str">
        <v>Contract</v>
      </c>
      <c r="N534">
        <v>2</v>
      </c>
      <c r="O534" t="str">
        <f t="shared" si="8"/>
        <v>Employed &gt;2 Years</v>
      </c>
    </row>
    <row r="535" spans="1:15" x14ac:dyDescent="0.25">
      <c r="A535" t="s">
        <v>1005</v>
      </c>
      <c r="B535" t="s">
        <v>1004</v>
      </c>
      <c r="C535" s="1">
        <v>45761</v>
      </c>
      <c r="D535" t="s">
        <v>17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27</v>
      </c>
      <c r="K535">
        <v>0</v>
      </c>
      <c r="L535">
        <v>0</v>
      </c>
      <c r="M535" t="str">
        <v>Contract</v>
      </c>
      <c r="N535">
        <v>2</v>
      </c>
      <c r="O535" t="str">
        <f t="shared" si="8"/>
        <v>Employed &gt;2 Years</v>
      </c>
    </row>
    <row r="536" spans="1:15" x14ac:dyDescent="0.25">
      <c r="A536" t="s">
        <v>1006</v>
      </c>
      <c r="B536" t="s">
        <v>1007</v>
      </c>
      <c r="C536" s="1">
        <v>45393</v>
      </c>
      <c r="D536" t="s">
        <v>17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27</v>
      </c>
      <c r="K536">
        <v>0</v>
      </c>
      <c r="L536">
        <v>0</v>
      </c>
      <c r="M536" t="str">
        <v>Self-Employed</v>
      </c>
      <c r="N536">
        <v>22</v>
      </c>
      <c r="O536" t="str">
        <f t="shared" si="8"/>
        <v>Employed &gt;2 Years</v>
      </c>
    </row>
    <row r="537" spans="1:15" x14ac:dyDescent="0.25">
      <c r="A537" t="s">
        <v>1008</v>
      </c>
      <c r="B537" t="s">
        <v>1009</v>
      </c>
      <c r="C537" s="1">
        <v>45394</v>
      </c>
      <c r="D537" t="s">
        <v>47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15</v>
      </c>
      <c r="K537">
        <v>0</v>
      </c>
      <c r="L537">
        <v>0</v>
      </c>
      <c r="M537" t="str">
        <v>Self-Employed</v>
      </c>
      <c r="N537">
        <v>12</v>
      </c>
      <c r="O537" t="str">
        <f t="shared" si="8"/>
        <v>Employed &gt;2 Years</v>
      </c>
    </row>
    <row r="538" spans="1:15" x14ac:dyDescent="0.25">
      <c r="A538" t="s">
        <v>1010</v>
      </c>
      <c r="B538" t="s">
        <v>1011</v>
      </c>
      <c r="C538" s="1">
        <v>45492</v>
      </c>
      <c r="D538" t="s">
        <v>17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62</v>
      </c>
      <c r="K538">
        <v>30</v>
      </c>
      <c r="L538">
        <v>0</v>
      </c>
      <c r="M538" t="str">
        <v>Self-Employed</v>
      </c>
      <c r="N538">
        <v>16</v>
      </c>
      <c r="O538" t="str">
        <f t="shared" si="8"/>
        <v>Employed &gt;2 Years</v>
      </c>
    </row>
    <row r="539" spans="1:15" x14ac:dyDescent="0.25">
      <c r="A539" t="s">
        <v>1012</v>
      </c>
      <c r="B539" t="s">
        <v>1013</v>
      </c>
      <c r="C539" s="1">
        <v>45675</v>
      </c>
      <c r="D539" t="s">
        <v>14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27</v>
      </c>
      <c r="K539">
        <v>0</v>
      </c>
      <c r="L539">
        <v>0</v>
      </c>
      <c r="M539" t="str">
        <v>Contract</v>
      </c>
      <c r="N539">
        <v>12</v>
      </c>
      <c r="O539" t="str">
        <f t="shared" si="8"/>
        <v>Employed &gt;2 Years</v>
      </c>
    </row>
    <row r="540" spans="1:15" x14ac:dyDescent="0.25">
      <c r="A540" t="s">
        <v>1014</v>
      </c>
      <c r="B540" t="s">
        <v>1015</v>
      </c>
      <c r="C540" s="1">
        <v>45296</v>
      </c>
      <c r="D540" t="s">
        <v>24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27</v>
      </c>
      <c r="K540">
        <v>0</v>
      </c>
      <c r="L540">
        <v>0</v>
      </c>
      <c r="M540" t="str">
        <v>Full-Time</v>
      </c>
      <c r="N540">
        <v>4</v>
      </c>
      <c r="O540" t="str">
        <f t="shared" si="8"/>
        <v>Employed &gt;2 Years</v>
      </c>
    </row>
    <row r="541" spans="1:15" x14ac:dyDescent="0.25">
      <c r="A541" t="s">
        <v>1016</v>
      </c>
      <c r="B541" t="s">
        <v>1017</v>
      </c>
      <c r="C541" s="1">
        <v>45466</v>
      </c>
      <c r="D541" t="s">
        <v>30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62</v>
      </c>
      <c r="K541">
        <v>30</v>
      </c>
      <c r="L541">
        <v>0</v>
      </c>
      <c r="M541" t="str">
        <v>Full-Time</v>
      </c>
      <c r="N541">
        <v>7</v>
      </c>
      <c r="O541" t="str">
        <f t="shared" si="8"/>
        <v>Employed &gt;2 Years</v>
      </c>
    </row>
    <row r="542" spans="1:15" x14ac:dyDescent="0.25">
      <c r="A542" t="s">
        <v>1018</v>
      </c>
      <c r="B542" t="s">
        <v>1019</v>
      </c>
      <c r="C542" s="1">
        <v>45731</v>
      </c>
      <c r="D542" t="s">
        <v>38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18</v>
      </c>
      <c r="K542">
        <v>129</v>
      </c>
      <c r="L542">
        <v>1</v>
      </c>
      <c r="M542" t="str">
        <v>Part-Time</v>
      </c>
      <c r="N542">
        <v>1</v>
      </c>
      <c r="O542" t="str">
        <f t="shared" si="8"/>
        <v>Employed &lt;2 Years</v>
      </c>
    </row>
    <row r="543" spans="1:15" x14ac:dyDescent="0.25">
      <c r="A543" t="s">
        <v>1020</v>
      </c>
      <c r="B543" t="s">
        <v>1019</v>
      </c>
      <c r="C543" s="1">
        <v>45393</v>
      </c>
      <c r="D543" t="s">
        <v>33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27</v>
      </c>
      <c r="K543">
        <v>0</v>
      </c>
      <c r="L543">
        <v>0</v>
      </c>
      <c r="M543" t="str">
        <v>Part-Time</v>
      </c>
      <c r="N543">
        <v>1</v>
      </c>
      <c r="O543" t="str">
        <f t="shared" si="8"/>
        <v>Employed &lt;2 Years</v>
      </c>
    </row>
    <row r="544" spans="1:15" x14ac:dyDescent="0.25">
      <c r="A544" t="s">
        <v>1021</v>
      </c>
      <c r="B544" t="s">
        <v>1022</v>
      </c>
      <c r="C544" s="1">
        <v>45454</v>
      </c>
      <c r="D544" t="s">
        <v>17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27</v>
      </c>
      <c r="K544">
        <v>0</v>
      </c>
      <c r="L544">
        <v>0</v>
      </c>
      <c r="M544" t="str">
        <v>Contract</v>
      </c>
      <c r="N544">
        <v>16</v>
      </c>
      <c r="O544" t="str">
        <f t="shared" si="8"/>
        <v>Employed &gt;2 Years</v>
      </c>
    </row>
    <row r="545" spans="1:15" x14ac:dyDescent="0.25">
      <c r="A545" t="s">
        <v>1023</v>
      </c>
      <c r="B545" t="s">
        <v>1024</v>
      </c>
      <c r="C545" s="1">
        <v>45372</v>
      </c>
      <c r="D545" t="s">
        <v>47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15</v>
      </c>
      <c r="K545">
        <v>0</v>
      </c>
      <c r="L545">
        <v>0</v>
      </c>
      <c r="M545" t="str">
        <v>Contract</v>
      </c>
      <c r="N545">
        <v>5</v>
      </c>
      <c r="O545" t="str">
        <f t="shared" si="8"/>
        <v>Employed &gt;2 Years</v>
      </c>
    </row>
    <row r="546" spans="1:15" x14ac:dyDescent="0.25">
      <c r="A546" t="s">
        <v>1025</v>
      </c>
      <c r="B546" t="s">
        <v>1026</v>
      </c>
      <c r="C546" s="1">
        <v>45543</v>
      </c>
      <c r="D546" t="s">
        <v>30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27</v>
      </c>
      <c r="K546">
        <v>0</v>
      </c>
      <c r="L546">
        <v>0</v>
      </c>
      <c r="M546" t="str">
        <v>Full-Time</v>
      </c>
      <c r="N546">
        <v>12</v>
      </c>
      <c r="O546" t="str">
        <f t="shared" si="8"/>
        <v>Employed &gt;2 Years</v>
      </c>
    </row>
    <row r="547" spans="1:15" x14ac:dyDescent="0.25">
      <c r="A547" t="s">
        <v>1027</v>
      </c>
      <c r="B547" t="s">
        <v>1026</v>
      </c>
      <c r="C547" s="1">
        <v>45397</v>
      </c>
      <c r="D547" t="s">
        <v>24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62</v>
      </c>
      <c r="K547">
        <v>15</v>
      </c>
      <c r="L547">
        <v>0</v>
      </c>
      <c r="M547" t="str">
        <v>Full-Time</v>
      </c>
      <c r="N547">
        <v>12</v>
      </c>
      <c r="O547" t="str">
        <f t="shared" si="8"/>
        <v>Employed &gt;2 Years</v>
      </c>
    </row>
    <row r="548" spans="1:15" x14ac:dyDescent="0.25">
      <c r="A548" t="s">
        <v>1028</v>
      </c>
      <c r="B548" t="s">
        <v>1029</v>
      </c>
      <c r="C548" s="1">
        <v>45504</v>
      </c>
      <c r="D548" t="s">
        <v>24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27</v>
      </c>
      <c r="K548">
        <v>0</v>
      </c>
      <c r="L548">
        <v>0</v>
      </c>
      <c r="M548" t="str">
        <v>Full-Time</v>
      </c>
      <c r="N548">
        <v>24</v>
      </c>
      <c r="O548" t="str">
        <f t="shared" si="8"/>
        <v>Employed &gt;2 Years</v>
      </c>
    </row>
    <row r="549" spans="1:15" x14ac:dyDescent="0.25">
      <c r="A549" t="s">
        <v>1030</v>
      </c>
      <c r="B549" t="s">
        <v>1031</v>
      </c>
      <c r="C549" s="1">
        <v>45753</v>
      </c>
      <c r="D549" t="s">
        <v>36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27</v>
      </c>
      <c r="K549">
        <v>0</v>
      </c>
      <c r="L549">
        <v>0</v>
      </c>
      <c r="M549" t="str">
        <v>Contract</v>
      </c>
      <c r="N549">
        <v>30</v>
      </c>
      <c r="O549" t="str">
        <f t="shared" si="8"/>
        <v>Employed &gt;2 Years</v>
      </c>
    </row>
    <row r="550" spans="1:15" x14ac:dyDescent="0.25">
      <c r="A550" t="s">
        <v>1032</v>
      </c>
      <c r="B550" t="s">
        <v>1033</v>
      </c>
      <c r="C550" s="1">
        <v>45647</v>
      </c>
      <c r="D550" t="s">
        <v>47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27</v>
      </c>
      <c r="K550">
        <v>0</v>
      </c>
      <c r="L550">
        <v>0</v>
      </c>
      <c r="M550" t="str">
        <v>Full-Time</v>
      </c>
      <c r="N550">
        <v>34</v>
      </c>
      <c r="O550" t="str">
        <f t="shared" si="8"/>
        <v>Employed &gt;2 Years</v>
      </c>
    </row>
    <row r="551" spans="1:15" x14ac:dyDescent="0.25">
      <c r="A551" t="s">
        <v>1034</v>
      </c>
      <c r="B551" t="s">
        <v>1035</v>
      </c>
      <c r="C551" s="1">
        <v>45822</v>
      </c>
      <c r="D551" t="s">
        <v>24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15</v>
      </c>
      <c r="K551">
        <v>0</v>
      </c>
      <c r="L551">
        <v>0</v>
      </c>
      <c r="M551" t="str">
        <v>Full-Time</v>
      </c>
      <c r="N551">
        <v>13</v>
      </c>
      <c r="O551" t="str">
        <f t="shared" si="8"/>
        <v>Employed &gt;2 Years</v>
      </c>
    </row>
    <row r="552" spans="1:15" x14ac:dyDescent="0.25">
      <c r="A552" t="s">
        <v>1036</v>
      </c>
      <c r="B552" t="s">
        <v>1037</v>
      </c>
      <c r="C552" s="1">
        <v>45421</v>
      </c>
      <c r="D552" t="s">
        <v>38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15</v>
      </c>
      <c r="K552">
        <v>0</v>
      </c>
      <c r="L552">
        <v>0</v>
      </c>
      <c r="M552" t="str">
        <v>Self-Employed</v>
      </c>
      <c r="N552">
        <v>3</v>
      </c>
      <c r="O552" t="str">
        <f t="shared" si="8"/>
        <v>Employed &gt;2 Years</v>
      </c>
    </row>
    <row r="553" spans="1:15" x14ac:dyDescent="0.25">
      <c r="A553" t="s">
        <v>1038</v>
      </c>
      <c r="B553" t="s">
        <v>1039</v>
      </c>
      <c r="C553" s="1">
        <v>45701</v>
      </c>
      <c r="D553" t="s">
        <v>21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27</v>
      </c>
      <c r="K553">
        <v>0</v>
      </c>
      <c r="L553">
        <v>0</v>
      </c>
      <c r="M553" t="str">
        <v>Contract</v>
      </c>
      <c r="N553">
        <v>0</v>
      </c>
      <c r="O553" t="str">
        <f t="shared" si="8"/>
        <v>Employed &lt;2 Years</v>
      </c>
    </row>
    <row r="554" spans="1:15" x14ac:dyDescent="0.25">
      <c r="A554" t="s">
        <v>1040</v>
      </c>
      <c r="B554" t="s">
        <v>1041</v>
      </c>
      <c r="C554" s="1">
        <v>45502</v>
      </c>
      <c r="D554" t="s">
        <v>24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15</v>
      </c>
      <c r="K554">
        <v>0</v>
      </c>
      <c r="L554">
        <v>0</v>
      </c>
      <c r="M554" t="str">
        <v>Self-Employed</v>
      </c>
      <c r="N554">
        <v>26</v>
      </c>
      <c r="O554" t="str">
        <f t="shared" si="8"/>
        <v>Employed &gt;2 Years</v>
      </c>
    </row>
    <row r="555" spans="1:15" x14ac:dyDescent="0.25">
      <c r="A555" t="s">
        <v>1042</v>
      </c>
      <c r="B555" t="s">
        <v>1041</v>
      </c>
      <c r="C555" s="1">
        <v>45684</v>
      </c>
      <c r="D555" t="s">
        <v>17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27</v>
      </c>
      <c r="K555">
        <v>0</v>
      </c>
      <c r="L555">
        <v>0</v>
      </c>
      <c r="M555" t="str">
        <v>Self-Employed</v>
      </c>
      <c r="N555">
        <v>26</v>
      </c>
      <c r="O555" t="str">
        <f t="shared" si="8"/>
        <v>Employed &gt;2 Years</v>
      </c>
    </row>
    <row r="556" spans="1:15" x14ac:dyDescent="0.25">
      <c r="A556" t="s">
        <v>1043</v>
      </c>
      <c r="B556" t="s">
        <v>1044</v>
      </c>
      <c r="C556" s="1">
        <v>45711</v>
      </c>
      <c r="D556" t="s">
        <v>36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62</v>
      </c>
      <c r="K556">
        <v>0</v>
      </c>
      <c r="L556">
        <v>0</v>
      </c>
      <c r="M556" t="str">
        <v>Full-Time</v>
      </c>
      <c r="N556">
        <v>12</v>
      </c>
      <c r="O556" t="str">
        <f t="shared" si="8"/>
        <v>Employed &gt;2 Years</v>
      </c>
    </row>
    <row r="557" spans="1:15" x14ac:dyDescent="0.25">
      <c r="A557" t="s">
        <v>1045</v>
      </c>
      <c r="B557" t="s">
        <v>1046</v>
      </c>
      <c r="C557" s="1">
        <v>45482</v>
      </c>
      <c r="D557" t="s">
        <v>30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62</v>
      </c>
      <c r="K557">
        <v>0</v>
      </c>
      <c r="L557">
        <v>0</v>
      </c>
      <c r="M557" t="str">
        <v>Part-Time</v>
      </c>
      <c r="N557">
        <v>9</v>
      </c>
      <c r="O557" t="str">
        <f t="shared" si="8"/>
        <v>Employed &gt;2 Years</v>
      </c>
    </row>
    <row r="558" spans="1:15" x14ac:dyDescent="0.25">
      <c r="A558" t="s">
        <v>1047</v>
      </c>
      <c r="B558" t="s">
        <v>1046</v>
      </c>
      <c r="C558" s="1">
        <v>45303</v>
      </c>
      <c r="D558" t="s">
        <v>30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27</v>
      </c>
      <c r="K558">
        <v>0</v>
      </c>
      <c r="L558">
        <v>0</v>
      </c>
      <c r="M558" t="str">
        <v>Part-Time</v>
      </c>
      <c r="N558">
        <v>9</v>
      </c>
      <c r="O558" t="str">
        <f t="shared" si="8"/>
        <v>Employed &gt;2 Years</v>
      </c>
    </row>
    <row r="559" spans="1:15" x14ac:dyDescent="0.25">
      <c r="A559" t="s">
        <v>1048</v>
      </c>
      <c r="B559" t="s">
        <v>1049</v>
      </c>
      <c r="C559" s="1">
        <v>45514</v>
      </c>
      <c r="D559" t="s">
        <v>38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18</v>
      </c>
      <c r="K559">
        <v>101</v>
      </c>
      <c r="L559">
        <v>1</v>
      </c>
      <c r="M559" t="str">
        <v>Full-Time</v>
      </c>
      <c r="N559">
        <v>6</v>
      </c>
      <c r="O559" t="str">
        <f t="shared" si="8"/>
        <v>Employed &gt;2 Years</v>
      </c>
    </row>
    <row r="560" spans="1:15" x14ac:dyDescent="0.25">
      <c r="A560" t="s">
        <v>1050</v>
      </c>
      <c r="B560" t="s">
        <v>1051</v>
      </c>
      <c r="C560" s="1">
        <v>45619</v>
      </c>
      <c r="D560" t="s">
        <v>36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18</v>
      </c>
      <c r="K560">
        <v>42</v>
      </c>
      <c r="L560">
        <v>1</v>
      </c>
      <c r="M560" t="str">
        <v>Self-Employed</v>
      </c>
      <c r="N560">
        <v>0</v>
      </c>
      <c r="O560" t="str">
        <f t="shared" si="8"/>
        <v>Employed &lt;2 Years</v>
      </c>
    </row>
    <row r="561" spans="1:15" x14ac:dyDescent="0.25">
      <c r="A561" t="s">
        <v>1052</v>
      </c>
      <c r="B561" t="s">
        <v>1053</v>
      </c>
      <c r="C561" s="1">
        <v>45467</v>
      </c>
      <c r="D561" t="s">
        <v>14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27</v>
      </c>
      <c r="K561">
        <v>0</v>
      </c>
      <c r="L561">
        <v>0</v>
      </c>
      <c r="M561" t="str">
        <v>Full-Time</v>
      </c>
      <c r="N561">
        <v>1</v>
      </c>
      <c r="O561" t="str">
        <f t="shared" si="8"/>
        <v>Employed &lt;2 Years</v>
      </c>
    </row>
    <row r="562" spans="1:15" x14ac:dyDescent="0.25">
      <c r="A562" t="s">
        <v>1054</v>
      </c>
      <c r="B562" t="s">
        <v>1053</v>
      </c>
      <c r="C562" s="1">
        <v>45764</v>
      </c>
      <c r="D562" t="s">
        <v>41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27</v>
      </c>
      <c r="K562">
        <v>0</v>
      </c>
      <c r="L562">
        <v>0</v>
      </c>
      <c r="M562" t="str">
        <v>Full-Time</v>
      </c>
      <c r="N562">
        <v>1</v>
      </c>
      <c r="O562" t="str">
        <f t="shared" si="8"/>
        <v>Employed &lt;2 Years</v>
      </c>
    </row>
    <row r="563" spans="1:15" x14ac:dyDescent="0.25">
      <c r="A563" t="s">
        <v>1055</v>
      </c>
      <c r="B563" t="s">
        <v>1056</v>
      </c>
      <c r="C563" s="1">
        <v>45717</v>
      </c>
      <c r="D563" t="s">
        <v>21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15</v>
      </c>
      <c r="K563">
        <v>0</v>
      </c>
      <c r="L563">
        <v>0</v>
      </c>
      <c r="M563" t="str">
        <v>Retired</v>
      </c>
      <c r="N563">
        <v>31</v>
      </c>
      <c r="O563" t="str">
        <f t="shared" si="8"/>
        <v>Employed &gt;2 Years</v>
      </c>
    </row>
    <row r="564" spans="1:15" x14ac:dyDescent="0.25">
      <c r="A564" t="s">
        <v>1057</v>
      </c>
      <c r="B564" t="s">
        <v>1056</v>
      </c>
      <c r="C564" s="1">
        <v>45694</v>
      </c>
      <c r="D564" t="s">
        <v>17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18</v>
      </c>
      <c r="K564">
        <v>146</v>
      </c>
      <c r="L564">
        <v>1</v>
      </c>
      <c r="M564" t="str">
        <v>Retired</v>
      </c>
      <c r="N564">
        <v>31</v>
      </c>
      <c r="O564" t="str">
        <f t="shared" si="8"/>
        <v>Employed &gt;2 Years</v>
      </c>
    </row>
    <row r="565" spans="1:15" x14ac:dyDescent="0.25">
      <c r="A565" t="s">
        <v>1058</v>
      </c>
      <c r="B565" t="s">
        <v>1059</v>
      </c>
      <c r="C565" s="1">
        <v>45340</v>
      </c>
      <c r="D565" t="s">
        <v>36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15</v>
      </c>
      <c r="K565">
        <v>0</v>
      </c>
      <c r="L565">
        <v>0</v>
      </c>
      <c r="M565" t="str">
        <v>Full-Time</v>
      </c>
      <c r="N565">
        <v>14</v>
      </c>
      <c r="O565" t="str">
        <f t="shared" si="8"/>
        <v>Employed &gt;2 Years</v>
      </c>
    </row>
    <row r="566" spans="1:15" x14ac:dyDescent="0.25">
      <c r="A566" t="s">
        <v>1060</v>
      </c>
      <c r="B566" t="s">
        <v>1061</v>
      </c>
      <c r="C566" s="1">
        <v>45297</v>
      </c>
      <c r="D566" t="s">
        <v>17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62</v>
      </c>
      <c r="K566">
        <v>15</v>
      </c>
      <c r="L566">
        <v>0</v>
      </c>
      <c r="M566" t="str">
        <v>Full-Time</v>
      </c>
      <c r="N566">
        <v>1</v>
      </c>
      <c r="O566" t="str">
        <f t="shared" si="8"/>
        <v>Employed &lt;2 Years</v>
      </c>
    </row>
    <row r="567" spans="1:15" x14ac:dyDescent="0.25">
      <c r="A567" t="s">
        <v>1062</v>
      </c>
      <c r="B567" t="s">
        <v>1061</v>
      </c>
      <c r="C567" s="1">
        <v>45680</v>
      </c>
      <c r="D567" t="s">
        <v>41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18</v>
      </c>
      <c r="K567">
        <v>73</v>
      </c>
      <c r="L567">
        <v>1</v>
      </c>
      <c r="M567" t="str">
        <v>Full-Time</v>
      </c>
      <c r="N567">
        <v>1</v>
      </c>
      <c r="O567" t="str">
        <f t="shared" si="8"/>
        <v>Employed &lt;2 Years</v>
      </c>
    </row>
    <row r="568" spans="1:15" x14ac:dyDescent="0.25">
      <c r="A568" t="s">
        <v>1063</v>
      </c>
      <c r="B568" t="s">
        <v>1064</v>
      </c>
      <c r="C568" s="1">
        <v>45715</v>
      </c>
      <c r="D568" t="s">
        <v>47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27</v>
      </c>
      <c r="K568">
        <v>0</v>
      </c>
      <c r="L568">
        <v>0</v>
      </c>
      <c r="M568" t="str">
        <v>Full-Time</v>
      </c>
      <c r="N568">
        <v>22</v>
      </c>
      <c r="O568" t="str">
        <f t="shared" si="8"/>
        <v>Employed &gt;2 Years</v>
      </c>
    </row>
    <row r="569" spans="1:15" x14ac:dyDescent="0.25">
      <c r="A569" t="s">
        <v>1065</v>
      </c>
      <c r="B569" t="s">
        <v>1064</v>
      </c>
      <c r="C569" s="1">
        <v>45786</v>
      </c>
      <c r="D569" t="s">
        <v>38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27</v>
      </c>
      <c r="K569">
        <v>0</v>
      </c>
      <c r="L569">
        <v>0</v>
      </c>
      <c r="M569" t="str">
        <v>Full-Time</v>
      </c>
      <c r="N569">
        <v>22</v>
      </c>
      <c r="O569" t="str">
        <f t="shared" si="8"/>
        <v>Employed &gt;2 Years</v>
      </c>
    </row>
    <row r="570" spans="1:15" x14ac:dyDescent="0.25">
      <c r="A570" t="s">
        <v>1066</v>
      </c>
      <c r="B570" t="s">
        <v>1067</v>
      </c>
      <c r="C570" s="1">
        <v>45368</v>
      </c>
      <c r="D570" t="s">
        <v>21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27</v>
      </c>
      <c r="K570">
        <v>0</v>
      </c>
      <c r="L570">
        <v>0</v>
      </c>
      <c r="M570" t="str">
        <v>Full-Time</v>
      </c>
      <c r="N570">
        <v>6</v>
      </c>
      <c r="O570" t="str">
        <f t="shared" si="8"/>
        <v>Employed &gt;2 Years</v>
      </c>
    </row>
    <row r="571" spans="1:15" x14ac:dyDescent="0.25">
      <c r="A571" t="s">
        <v>1068</v>
      </c>
      <c r="B571" t="s">
        <v>1069</v>
      </c>
      <c r="C571" s="1">
        <v>45832</v>
      </c>
      <c r="D571" t="s">
        <v>17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15</v>
      </c>
      <c r="K571">
        <v>0</v>
      </c>
      <c r="L571">
        <v>0</v>
      </c>
      <c r="M571" t="str">
        <v>Retired</v>
      </c>
      <c r="N571">
        <v>4</v>
      </c>
      <c r="O571" t="str">
        <f t="shared" si="8"/>
        <v>Employed &gt;2 Years</v>
      </c>
    </row>
    <row r="572" spans="1:15" x14ac:dyDescent="0.25">
      <c r="A572" t="s">
        <v>1070</v>
      </c>
      <c r="B572" t="s">
        <v>1071</v>
      </c>
      <c r="C572" s="1">
        <v>45664</v>
      </c>
      <c r="D572" t="s">
        <v>33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62</v>
      </c>
      <c r="K572">
        <v>0</v>
      </c>
      <c r="L572">
        <v>0</v>
      </c>
      <c r="M572" t="str">
        <v>Full-Time</v>
      </c>
      <c r="N572">
        <v>0</v>
      </c>
      <c r="O572" t="str">
        <f t="shared" si="8"/>
        <v>Employed &lt;2 Years</v>
      </c>
    </row>
    <row r="573" spans="1:15" x14ac:dyDescent="0.25">
      <c r="A573" t="s">
        <v>1072</v>
      </c>
      <c r="B573" t="s">
        <v>1073</v>
      </c>
      <c r="C573" s="1">
        <v>45396</v>
      </c>
      <c r="D573" t="s">
        <v>17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62</v>
      </c>
      <c r="K573">
        <v>15</v>
      </c>
      <c r="L573">
        <v>0</v>
      </c>
      <c r="M573" t="str">
        <v>Full-Time</v>
      </c>
      <c r="N573">
        <v>16</v>
      </c>
      <c r="O573" t="str">
        <f t="shared" si="8"/>
        <v>Employed &gt;2 Years</v>
      </c>
    </row>
    <row r="574" spans="1:15" x14ac:dyDescent="0.25">
      <c r="A574" t="s">
        <v>1074</v>
      </c>
      <c r="B574" t="s">
        <v>1075</v>
      </c>
      <c r="C574" s="1">
        <v>45563</v>
      </c>
      <c r="D574" t="s">
        <v>14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27</v>
      </c>
      <c r="K574">
        <v>0</v>
      </c>
      <c r="L574">
        <v>0</v>
      </c>
      <c r="M574" t="str">
        <v>Self-Employed</v>
      </c>
      <c r="N574">
        <v>2</v>
      </c>
      <c r="O574" t="str">
        <f t="shared" si="8"/>
        <v>Employed &gt;2 Years</v>
      </c>
    </row>
    <row r="575" spans="1:15" x14ac:dyDescent="0.25">
      <c r="A575" t="s">
        <v>1076</v>
      </c>
      <c r="B575" t="s">
        <v>1077</v>
      </c>
      <c r="C575" s="1">
        <v>45670</v>
      </c>
      <c r="D575" t="s">
        <v>17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15</v>
      </c>
      <c r="K575">
        <v>0</v>
      </c>
      <c r="L575">
        <v>0</v>
      </c>
      <c r="M575" t="str">
        <v>Self-Employed</v>
      </c>
      <c r="N575">
        <v>11</v>
      </c>
      <c r="O575" t="str">
        <f t="shared" si="8"/>
        <v>Employed &gt;2 Years</v>
      </c>
    </row>
    <row r="576" spans="1:15" x14ac:dyDescent="0.25">
      <c r="A576" t="s">
        <v>1078</v>
      </c>
      <c r="B576" t="s">
        <v>1079</v>
      </c>
      <c r="C576" s="1">
        <v>45797</v>
      </c>
      <c r="D576" t="s">
        <v>24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27</v>
      </c>
      <c r="K576">
        <v>0</v>
      </c>
      <c r="L576">
        <v>0</v>
      </c>
      <c r="M576" t="str">
        <v>Full-Time</v>
      </c>
      <c r="N576">
        <v>3</v>
      </c>
      <c r="O576" t="str">
        <f t="shared" si="8"/>
        <v>Employed &gt;2 Years</v>
      </c>
    </row>
    <row r="577" spans="1:15" x14ac:dyDescent="0.25">
      <c r="A577" t="s">
        <v>1080</v>
      </c>
      <c r="B577" t="s">
        <v>1081</v>
      </c>
      <c r="C577" s="1">
        <v>45536</v>
      </c>
      <c r="D577" t="s">
        <v>36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18</v>
      </c>
      <c r="K577">
        <v>55</v>
      </c>
      <c r="L577">
        <v>1</v>
      </c>
      <c r="M577" t="str">
        <v>Contract</v>
      </c>
      <c r="N577">
        <v>23</v>
      </c>
      <c r="O577" t="str">
        <f t="shared" si="8"/>
        <v>Employed &gt;2 Years</v>
      </c>
    </row>
    <row r="578" spans="1:15" x14ac:dyDescent="0.25">
      <c r="A578" t="s">
        <v>1082</v>
      </c>
      <c r="B578" t="s">
        <v>1083</v>
      </c>
      <c r="C578" s="1">
        <v>45566</v>
      </c>
      <c r="D578" t="s">
        <v>47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27</v>
      </c>
      <c r="K578">
        <v>0</v>
      </c>
      <c r="L578">
        <v>0</v>
      </c>
      <c r="M578" t="str">
        <v>Full-Time</v>
      </c>
      <c r="N578">
        <v>17</v>
      </c>
      <c r="O578" t="str">
        <f t="shared" si="8"/>
        <v>Employed &gt;2 Years</v>
      </c>
    </row>
    <row r="579" spans="1:15" x14ac:dyDescent="0.25">
      <c r="A579" t="s">
        <v>1084</v>
      </c>
      <c r="B579" t="s">
        <v>1085</v>
      </c>
      <c r="C579" s="1">
        <v>45780</v>
      </c>
      <c r="D579" t="s">
        <v>47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62</v>
      </c>
      <c r="K579">
        <v>15</v>
      </c>
      <c r="L579">
        <v>0</v>
      </c>
      <c r="M579" t="str">
        <v>Full-Time</v>
      </c>
      <c r="N579">
        <v>27</v>
      </c>
      <c r="O579" t="str">
        <f t="shared" ref="O579:O602" si="9">IF(N579&lt;2,"Employed &lt;2 Years","Employed &gt;2 Years")</f>
        <v>Employed &gt;2 Years</v>
      </c>
    </row>
    <row r="580" spans="1:15" x14ac:dyDescent="0.25">
      <c r="A580" t="s">
        <v>1086</v>
      </c>
      <c r="B580" t="s">
        <v>1087</v>
      </c>
      <c r="C580" s="1">
        <v>45305</v>
      </c>
      <c r="D580" t="s">
        <v>36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27</v>
      </c>
      <c r="K580">
        <v>0</v>
      </c>
      <c r="L580">
        <v>0</v>
      </c>
      <c r="M580" t="str">
        <v>Self-Employed</v>
      </c>
      <c r="N580">
        <v>24</v>
      </c>
      <c r="O580" t="str">
        <f t="shared" si="9"/>
        <v>Employed &gt;2 Years</v>
      </c>
    </row>
    <row r="581" spans="1:15" x14ac:dyDescent="0.25">
      <c r="A581" t="s">
        <v>1088</v>
      </c>
      <c r="B581" t="s">
        <v>1089</v>
      </c>
      <c r="C581" s="1">
        <v>45777</v>
      </c>
      <c r="D581" t="s">
        <v>36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27</v>
      </c>
      <c r="K581">
        <v>0</v>
      </c>
      <c r="L581">
        <v>0</v>
      </c>
      <c r="M581" t="str">
        <v>Full-Time</v>
      </c>
      <c r="N581">
        <v>5</v>
      </c>
      <c r="O581" t="str">
        <f t="shared" si="9"/>
        <v>Employed &gt;2 Years</v>
      </c>
    </row>
    <row r="582" spans="1:15" x14ac:dyDescent="0.25">
      <c r="A582" t="s">
        <v>1090</v>
      </c>
      <c r="B582" t="s">
        <v>1089</v>
      </c>
      <c r="C582" s="1">
        <v>45829</v>
      </c>
      <c r="D582" t="s">
        <v>36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15</v>
      </c>
      <c r="K582">
        <v>0</v>
      </c>
      <c r="L582">
        <v>0</v>
      </c>
      <c r="M582" t="str">
        <v>Full-Time</v>
      </c>
      <c r="N582">
        <v>5</v>
      </c>
      <c r="O582" t="str">
        <f t="shared" si="9"/>
        <v>Employed &gt;2 Years</v>
      </c>
    </row>
    <row r="583" spans="1:15" x14ac:dyDescent="0.25">
      <c r="A583" t="s">
        <v>1091</v>
      </c>
      <c r="B583" t="s">
        <v>1092</v>
      </c>
      <c r="C583" s="1">
        <v>45790</v>
      </c>
      <c r="D583" t="s">
        <v>30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15</v>
      </c>
      <c r="K583">
        <v>0</v>
      </c>
      <c r="L583">
        <v>0</v>
      </c>
      <c r="M583" t="str">
        <v>Full-Time</v>
      </c>
      <c r="N583">
        <v>4</v>
      </c>
      <c r="O583" t="str">
        <f t="shared" si="9"/>
        <v>Employed &gt;2 Years</v>
      </c>
    </row>
    <row r="584" spans="1:15" x14ac:dyDescent="0.25">
      <c r="A584" t="s">
        <v>1093</v>
      </c>
      <c r="B584" t="s">
        <v>1094</v>
      </c>
      <c r="C584" s="1">
        <v>45568</v>
      </c>
      <c r="D584" t="s">
        <v>30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27</v>
      </c>
      <c r="K584">
        <v>0</v>
      </c>
      <c r="L584">
        <v>0</v>
      </c>
      <c r="M584" t="str">
        <v>Part-Time</v>
      </c>
      <c r="N584">
        <v>4</v>
      </c>
      <c r="O584" t="str">
        <f t="shared" si="9"/>
        <v>Employed &gt;2 Years</v>
      </c>
    </row>
    <row r="585" spans="1:15" x14ac:dyDescent="0.25">
      <c r="A585" t="s">
        <v>1095</v>
      </c>
      <c r="B585" t="s">
        <v>1096</v>
      </c>
      <c r="C585" s="1">
        <v>45733</v>
      </c>
      <c r="D585" t="s">
        <v>38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27</v>
      </c>
      <c r="K585">
        <v>0</v>
      </c>
      <c r="L585">
        <v>0</v>
      </c>
      <c r="M585" t="str">
        <v>Full-Time</v>
      </c>
      <c r="N585">
        <v>8</v>
      </c>
      <c r="O585" t="str">
        <f t="shared" si="9"/>
        <v>Employed &gt;2 Years</v>
      </c>
    </row>
    <row r="586" spans="1:15" x14ac:dyDescent="0.25">
      <c r="A586" t="s">
        <v>1097</v>
      </c>
      <c r="B586" t="s">
        <v>1096</v>
      </c>
      <c r="C586" s="1">
        <v>45752</v>
      </c>
      <c r="D586" t="s">
        <v>17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62</v>
      </c>
      <c r="K586">
        <v>15</v>
      </c>
      <c r="L586">
        <v>0</v>
      </c>
      <c r="M586" t="str">
        <v>Full-Time</v>
      </c>
      <c r="N586">
        <v>8</v>
      </c>
      <c r="O586" t="str">
        <f t="shared" si="9"/>
        <v>Employed &gt;2 Years</v>
      </c>
    </row>
    <row r="587" spans="1:15" x14ac:dyDescent="0.25">
      <c r="A587" t="s">
        <v>1098</v>
      </c>
      <c r="B587" t="s">
        <v>1099</v>
      </c>
      <c r="C587" s="1">
        <v>45574</v>
      </c>
      <c r="D587" t="s">
        <v>30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27</v>
      </c>
      <c r="K587">
        <v>0</v>
      </c>
      <c r="L587">
        <v>0</v>
      </c>
      <c r="M587" t="str">
        <v>Full-Time</v>
      </c>
      <c r="N587">
        <v>3</v>
      </c>
      <c r="O587" t="str">
        <f t="shared" si="9"/>
        <v>Employed &gt;2 Years</v>
      </c>
    </row>
    <row r="588" spans="1:15" x14ac:dyDescent="0.25">
      <c r="A588" t="s">
        <v>1100</v>
      </c>
      <c r="B588" t="s">
        <v>1099</v>
      </c>
      <c r="C588" s="1">
        <v>45647</v>
      </c>
      <c r="D588" t="s">
        <v>30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62</v>
      </c>
      <c r="K588">
        <v>30</v>
      </c>
      <c r="L588">
        <v>0</v>
      </c>
      <c r="M588" t="str">
        <v>Full-Time</v>
      </c>
      <c r="N588">
        <v>3</v>
      </c>
      <c r="O588" t="str">
        <f t="shared" si="9"/>
        <v>Employed &gt;2 Years</v>
      </c>
    </row>
    <row r="589" spans="1:15" x14ac:dyDescent="0.25">
      <c r="A589" t="s">
        <v>1101</v>
      </c>
      <c r="B589" t="s">
        <v>1102</v>
      </c>
      <c r="C589" s="1">
        <v>45458</v>
      </c>
      <c r="D589" t="s">
        <v>14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15</v>
      </c>
      <c r="K589">
        <v>0</v>
      </c>
      <c r="L589">
        <v>0</v>
      </c>
      <c r="M589" t="str">
        <v>Full-Time</v>
      </c>
      <c r="N589">
        <v>29</v>
      </c>
      <c r="O589" t="str">
        <f t="shared" si="9"/>
        <v>Employed &gt;2 Years</v>
      </c>
    </row>
    <row r="590" spans="1:15" x14ac:dyDescent="0.25">
      <c r="A590" t="s">
        <v>1103</v>
      </c>
      <c r="B590" t="s">
        <v>1104</v>
      </c>
      <c r="C590" s="1">
        <v>45605</v>
      </c>
      <c r="D590" t="s">
        <v>41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18</v>
      </c>
      <c r="K590">
        <v>120</v>
      </c>
      <c r="L590">
        <v>1</v>
      </c>
      <c r="M590" t="str">
        <v>Full-Time</v>
      </c>
      <c r="N590">
        <v>11</v>
      </c>
      <c r="O590" t="str">
        <f t="shared" si="9"/>
        <v>Employed &gt;2 Years</v>
      </c>
    </row>
    <row r="591" spans="1:15" x14ac:dyDescent="0.25">
      <c r="A591" t="s">
        <v>1105</v>
      </c>
      <c r="B591" t="s">
        <v>1106</v>
      </c>
      <c r="C591" s="1">
        <v>45806</v>
      </c>
      <c r="D591" t="s">
        <v>41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27</v>
      </c>
      <c r="K591">
        <v>0</v>
      </c>
      <c r="L591">
        <v>0</v>
      </c>
      <c r="M591" t="str">
        <v>Full-Time</v>
      </c>
      <c r="N591">
        <v>18</v>
      </c>
      <c r="O591" t="str">
        <f t="shared" si="9"/>
        <v>Employed &gt;2 Years</v>
      </c>
    </row>
    <row r="592" spans="1:15" x14ac:dyDescent="0.25">
      <c r="A592" t="s">
        <v>1107</v>
      </c>
      <c r="B592" t="s">
        <v>1108</v>
      </c>
      <c r="C592" s="1">
        <v>45374</v>
      </c>
      <c r="D592" t="s">
        <v>24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18</v>
      </c>
      <c r="K592">
        <v>38</v>
      </c>
      <c r="L592">
        <v>1</v>
      </c>
      <c r="M592" t="str">
        <v>Part-Time</v>
      </c>
      <c r="N592">
        <v>2</v>
      </c>
      <c r="O592" t="str">
        <f t="shared" si="9"/>
        <v>Employed &gt;2 Years</v>
      </c>
    </row>
    <row r="593" spans="1:15" x14ac:dyDescent="0.25">
      <c r="A593" t="s">
        <v>1109</v>
      </c>
      <c r="B593" t="s">
        <v>1110</v>
      </c>
      <c r="C593" s="1">
        <v>45392</v>
      </c>
      <c r="D593" t="s">
        <v>30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62</v>
      </c>
      <c r="K593">
        <v>15</v>
      </c>
      <c r="L593">
        <v>0</v>
      </c>
      <c r="M593" t="str">
        <v>Part-Time</v>
      </c>
      <c r="N593">
        <v>23</v>
      </c>
      <c r="O593" t="str">
        <f t="shared" si="9"/>
        <v>Employed &gt;2 Years</v>
      </c>
    </row>
    <row r="594" spans="1:15" x14ac:dyDescent="0.25">
      <c r="A594" t="s">
        <v>1111</v>
      </c>
      <c r="B594" t="s">
        <v>1112</v>
      </c>
      <c r="C594" s="1">
        <v>45496</v>
      </c>
      <c r="D594" t="s">
        <v>17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27</v>
      </c>
      <c r="K594">
        <v>0</v>
      </c>
      <c r="L594">
        <v>0</v>
      </c>
      <c r="M594" t="str">
        <v>Full-Time</v>
      </c>
      <c r="N594">
        <v>11</v>
      </c>
      <c r="O594" t="str">
        <f t="shared" si="9"/>
        <v>Employed &gt;2 Years</v>
      </c>
    </row>
    <row r="595" spans="1:15" x14ac:dyDescent="0.25">
      <c r="A595" t="s">
        <v>1113</v>
      </c>
      <c r="B595" t="s">
        <v>1114</v>
      </c>
      <c r="C595" s="1">
        <v>45739</v>
      </c>
      <c r="D595" t="s">
        <v>24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18</v>
      </c>
      <c r="K595">
        <v>164</v>
      </c>
      <c r="L595">
        <v>1</v>
      </c>
      <c r="M595" t="str">
        <v>Contract</v>
      </c>
      <c r="N595">
        <v>6</v>
      </c>
      <c r="O595" t="str">
        <f t="shared" si="9"/>
        <v>Employed &gt;2 Years</v>
      </c>
    </row>
    <row r="596" spans="1:15" x14ac:dyDescent="0.25">
      <c r="A596" t="s">
        <v>1115</v>
      </c>
      <c r="B596" t="s">
        <v>1116</v>
      </c>
      <c r="C596" s="1">
        <v>45729</v>
      </c>
      <c r="D596" t="s">
        <v>30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62</v>
      </c>
      <c r="K596">
        <v>30</v>
      </c>
      <c r="L596">
        <v>0</v>
      </c>
      <c r="M596" t="str">
        <v>Contract</v>
      </c>
      <c r="N596">
        <v>4</v>
      </c>
      <c r="O596" t="str">
        <f t="shared" si="9"/>
        <v>Employed &gt;2 Years</v>
      </c>
    </row>
    <row r="597" spans="1:15" x14ac:dyDescent="0.25">
      <c r="A597" t="s">
        <v>1117</v>
      </c>
      <c r="B597" t="s">
        <v>1118</v>
      </c>
      <c r="C597" s="1">
        <v>45601</v>
      </c>
      <c r="D597" t="s">
        <v>41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27</v>
      </c>
      <c r="K597">
        <v>0</v>
      </c>
      <c r="L597">
        <v>0</v>
      </c>
      <c r="M597" t="str">
        <v>Full-Time</v>
      </c>
      <c r="N597">
        <v>3</v>
      </c>
      <c r="O597" t="str">
        <f t="shared" si="9"/>
        <v>Employed &gt;2 Years</v>
      </c>
    </row>
    <row r="598" spans="1:15" x14ac:dyDescent="0.25">
      <c r="A598" t="s">
        <v>1119</v>
      </c>
      <c r="B598" t="s">
        <v>1118</v>
      </c>
      <c r="C598" s="1">
        <v>45694</v>
      </c>
      <c r="D598" t="s">
        <v>47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18</v>
      </c>
      <c r="K598">
        <v>31</v>
      </c>
      <c r="L598">
        <v>1</v>
      </c>
      <c r="M598" t="str">
        <v>Full-Time</v>
      </c>
      <c r="N598">
        <v>3</v>
      </c>
      <c r="O598" t="str">
        <f t="shared" si="9"/>
        <v>Employed &gt;2 Years</v>
      </c>
    </row>
    <row r="599" spans="1:15" x14ac:dyDescent="0.25">
      <c r="A599" t="s">
        <v>1120</v>
      </c>
      <c r="B599" t="s">
        <v>1121</v>
      </c>
      <c r="C599" s="1">
        <v>45401</v>
      </c>
      <c r="D599" t="s">
        <v>21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27</v>
      </c>
      <c r="K599">
        <v>0</v>
      </c>
      <c r="L599">
        <v>0</v>
      </c>
      <c r="M599" t="str">
        <v>Self-Employed</v>
      </c>
      <c r="N599">
        <v>7</v>
      </c>
      <c r="O599" t="str">
        <f t="shared" si="9"/>
        <v>Employed &gt;2 Years</v>
      </c>
    </row>
    <row r="600" spans="1:15" x14ac:dyDescent="0.25">
      <c r="A600" t="s">
        <v>1122</v>
      </c>
      <c r="B600" t="s">
        <v>1123</v>
      </c>
      <c r="C600" s="1">
        <v>45346</v>
      </c>
      <c r="D600" t="s">
        <v>30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27</v>
      </c>
      <c r="K600">
        <v>0</v>
      </c>
      <c r="L600">
        <v>0</v>
      </c>
      <c r="M600" t="str">
        <v>Full-Time</v>
      </c>
      <c r="N600">
        <v>14</v>
      </c>
      <c r="O600" t="str">
        <f t="shared" si="9"/>
        <v>Employed &gt;2 Years</v>
      </c>
    </row>
    <row r="601" spans="1:15" x14ac:dyDescent="0.25">
      <c r="A601" t="s">
        <v>1124</v>
      </c>
      <c r="B601" t="s">
        <v>1125</v>
      </c>
      <c r="C601" s="1">
        <v>45610</v>
      </c>
      <c r="D601" t="s">
        <v>33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62</v>
      </c>
      <c r="K601">
        <v>15</v>
      </c>
      <c r="L601">
        <v>0</v>
      </c>
      <c r="M601" t="str">
        <v>Full-Time</v>
      </c>
      <c r="N601">
        <v>5</v>
      </c>
      <c r="O601" t="str">
        <f t="shared" si="9"/>
        <v>Employed &gt;2 Years</v>
      </c>
    </row>
    <row r="602" spans="1:15" x14ac:dyDescent="0.25">
      <c r="A602" t="s">
        <v>1126</v>
      </c>
      <c r="B602" t="s">
        <v>1125</v>
      </c>
      <c r="C602" s="1">
        <v>45415</v>
      </c>
      <c r="D602" t="s">
        <v>47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27</v>
      </c>
      <c r="K602">
        <v>0</v>
      </c>
      <c r="L602">
        <v>0</v>
      </c>
      <c r="M602" t="str">
        <v>Full-Time</v>
      </c>
      <c r="N602">
        <v>5</v>
      </c>
      <c r="O602" t="str">
        <f t="shared" si="9"/>
        <v>Employed &gt;2 Years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1E9D-1C58-49AA-9C76-CE936C56629F}">
  <dimension ref="A7:A10"/>
  <sheetViews>
    <sheetView tabSelected="1" zoomScale="70" zoomScaleNormal="70" workbookViewId="0">
      <selection activeCell="AH9" sqref="AH9"/>
    </sheetView>
  </sheetViews>
  <sheetFormatPr defaultRowHeight="15" x14ac:dyDescent="0.25"/>
  <cols>
    <col min="1" max="16384" width="9.140625" style="7"/>
  </cols>
  <sheetData>
    <row r="7" s="10" customFormat="1" x14ac:dyDescent="0.25"/>
    <row r="8" s="10" customFormat="1" x14ac:dyDescent="0.25"/>
    <row r="9" s="9" customFormat="1" x14ac:dyDescent="0.25"/>
    <row r="10" s="10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loan_application_data</vt:lpstr>
      <vt:lpstr>default_rate_by_credit_score</vt:lpstr>
      <vt:lpstr>Detail1</vt:lpstr>
      <vt:lpstr>default_rate_by_dti</vt:lpstr>
      <vt:lpstr>default_rate_per_loan_amount</vt:lpstr>
      <vt:lpstr>default_risk_by_employment</vt:lpstr>
      <vt:lpstr>Loan Default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Sanford, Brittany M</dc:creator>
  <cp:lastModifiedBy>Sanford, Brittany M</cp:lastModifiedBy>
  <dcterms:created xsi:type="dcterms:W3CDTF">2026-09-16T13:10:49Z</dcterms:created>
  <dcterms:modified xsi:type="dcterms:W3CDTF">2026-10-09T18:12:21Z</dcterms:modified>
</cp:coreProperties>
</file>